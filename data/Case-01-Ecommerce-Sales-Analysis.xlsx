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RFM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B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_(&quot;Rp&quot;* #,##0_);_(&quot;Rp&quot;* (#,##0);_(&quot;Rp&quot;* &quot;-&quot;??_);_(@_)"/>
    <numFmt numFmtId="167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4" fontId="13" fillId="3" borderId="0" pivotButton="0" quotePrefix="0" xfId="0"/>
    <xf numFmtId="164" fontId="10" fillId="0" borderId="0" pivotButton="0" quotePrefix="0" xfId="0"/>
    <xf numFmtId="1" fontId="10" fillId="0" borderId="0" pivotButton="0" quotePrefix="0" xfId="0"/>
    <xf numFmtId="166" fontId="10" fillId="0" borderId="0" pivotButton="0" quotePrefix="0" xfId="0"/>
    <xf numFmtId="164" fontId="13" fillId="0" borderId="0" pivotButton="0" quotePrefix="0" xfId="0"/>
    <xf numFmtId="0" fontId="15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167" fontId="10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166" fontId="6" fillId="4" borderId="0" pivotButton="0" quotePrefix="0" xfId="0"/>
    <xf numFmtId="3" fontId="6" fillId="4" borderId="0" pivotButton="0" quotePrefix="0" xfId="0"/>
    <xf numFmtId="167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'Analysis'!C14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 w="28000">
              <a:solidFill>
                <a:srgbClr val="26262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'Analysis'!$A$15:$A$32</f>
            </numRef>
          </cat>
          <val>
            <numRef>
              <f>'Analysis'!$C$15:$C$32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doughnutChart>
        <varyColors val="1"/>
        <ser>
          <idx val="0"/>
          <order val="0"/>
          <tx>
            <strRef>
              <f>'Analysis'!G4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6262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A6A6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4A4A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prstDash val="solid"/>
              </a:ln>
            </spPr>
          </dPt>
          <cat>
            <numRef>
              <f>'Analysis'!$F$5:$F$8</f>
            </numRef>
          </cat>
          <val>
            <numRef>
              <f>'Analysis'!$G$5:$G$8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'Analysis'!G11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'Analysis'!$F$12:$F$16</f>
            </numRef>
          </cat>
          <val>
            <numRef>
              <f>'Analysis'!$G$12:$G$16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RFM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'Analysis'!G19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'Analysis'!$F$20:$F$25</f>
            </numRef>
          </cat>
          <val>
            <numRef>
              <f>'Analysis'!$G$20:$G$25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Pareto: top products and cumulative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'Analysis'!B36</f>
            </strRef>
          </tx>
          <spPr>
            <a:solidFill xmlns:a="http://schemas.openxmlformats.org/drawingml/2006/main">
              <a:srgbClr val="A4A4A4"/>
            </a:solidFill>
            <a:ln xmlns:a="http://schemas.openxmlformats.org/drawingml/2006/main">
              <a:solidFill>
                <a:srgbClr val="A4A4A4"/>
              </a:solidFill>
              <a:prstDash val="solid"/>
            </a:ln>
          </spPr>
          <cat>
            <numRef>
              <f>'Analysis'!$A$37:$A$48</f>
            </numRef>
          </cat>
          <val>
            <numRef>
              <f>'Analysis'!$B$37:$B$48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'Analysis'!C36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'Analysis'!$C$37:$C$48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2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26</row>
      <rowOff>0</rowOff>
    </from>
    <ext cx="5400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45</row>
      <rowOff>0</rowOff>
    </from>
    <ext cx="12240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64</row>
      <rowOff>0</rowOff>
    </from>
    <ext cx="12240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01</t>
        </is>
      </c>
    </row>
    <row r="3">
      <c r="B3" s="2" t="inlineStr">
        <is>
          <t>E-commerce Sales and Customer Analysis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Where does revenue come from, which customers keep the business alive, and who is slipping away? Management had four spreadsheets that never reconciled.</t>
        </is>
      </c>
    </row>
    <row r="9">
      <c r="B9" s="4" t="inlineStr">
        <is>
          <t>Dataset</t>
        </is>
      </c>
    </row>
    <row r="10" ht="46" customHeight="1">
      <c r="B10" s="5" t="inlineStr">
        <is>
          <t>1,564 order lines, Jan 2025 to Jun 2026. The raw export arrived with mixed date formats, text-numbers, duplicates, casing noise and blanks.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Profile the raw export.  2) Clean and standardise.  3) Model revenue by month, channel, category and run a full RFM customer segmentation and a Pareto product analysis with open formulas.  4) Summarise into a dashboard with recommendations.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Total revenue Rp 496,541,000. Top channel: Shopee. A Pareto core of products drives most sales. RFM shows which customers are Champions and which are slipping to At risk.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 run left to right: Raw Data, Cleaning, Clean Data, Analysis, RFM (per-customer scoring), Dashboard, VBA. Every number on Analysis, RFM and Dashboard is a live formula you can click and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2" customWidth="1" min="4" max="4"/>
    <col width="16" customWidth="1" min="5" max="5"/>
    <col width="9" customWidth="1" min="6" max="6"/>
    <col width="14" customWidth="1" min="7" max="7"/>
    <col width="19" customWidth="1" min="8" max="8"/>
    <col width="9" customWidth="1" min="9" max="9"/>
    <col width="12" customWidth="1" min="10" max="10"/>
    <col width="14" customWidth="1" min="11" max="11"/>
  </cols>
  <sheetData>
    <row r="1">
      <c r="A1" s="7" t="inlineStr">
        <is>
          <t>RAW DATA  (as received, before cleaning)</t>
        </is>
      </c>
    </row>
    <row r="2">
      <c r="A2" s="8" t="inlineStr">
        <is>
          <t>1,582 rows. Mixed date formats, 'Rp ...' text, duplicates, blanks, inconsistent casing.</t>
        </is>
      </c>
    </row>
    <row r="4" ht="26" customHeight="1">
      <c r="A4" s="9" t="inlineStr">
        <is>
          <t>order_id</t>
        </is>
      </c>
      <c r="B4" s="9" t="inlineStr">
        <is>
          <t>order_date</t>
        </is>
      </c>
      <c r="C4" s="9" t="inlineStr">
        <is>
          <t>customer_id</t>
        </is>
      </c>
      <c r="D4" s="9" t="inlineStr">
        <is>
          <t>cust_type</t>
        </is>
      </c>
      <c r="E4" s="9" t="inlineStr">
        <is>
          <t>channel</t>
        </is>
      </c>
      <c r="F4" s="9" t="inlineStr">
        <is>
          <t>region</t>
        </is>
      </c>
      <c r="G4" s="9" t="inlineStr">
        <is>
          <t>category</t>
        </is>
      </c>
      <c r="H4" s="9" t="inlineStr">
        <is>
          <t>product</t>
        </is>
      </c>
      <c r="I4" s="9" t="inlineStr">
        <is>
          <t>qty</t>
        </is>
      </c>
      <c r="J4" s="9" t="inlineStr">
        <is>
          <t>unit_price</t>
        </is>
      </c>
      <c r="K4" s="9" t="inlineStr">
        <is>
          <t>revenue</t>
        </is>
      </c>
    </row>
    <row r="5">
      <c r="A5" s="10" t="inlineStr">
        <is>
          <t>INV-70654</t>
        </is>
      </c>
      <c r="B5" s="10" t="inlineStr">
        <is>
          <t>2025-11-21</t>
        </is>
      </c>
      <c r="C5" s="10" t="inlineStr">
        <is>
          <t>C1179</t>
        </is>
      </c>
      <c r="D5" s="10" t="inlineStr">
        <is>
          <t>loyal</t>
        </is>
      </c>
      <c r="E5" s="10" t="inlineStr">
        <is>
          <t>TikTok Shop</t>
        </is>
      </c>
      <c r="F5" s="10" t="inlineStr">
        <is>
          <t>Jabodetabek</t>
        </is>
      </c>
      <c r="G5" s="10" t="inlineStr">
        <is>
          <t>Elektronik</t>
        </is>
      </c>
      <c r="H5" s="10" t="inlineStr">
        <is>
          <t>Smartwatch</t>
        </is>
      </c>
      <c r="I5" s="10" t="n">
        <v>2</v>
      </c>
      <c r="J5" s="10" t="n">
        <v>450000</v>
      </c>
      <c r="K5" s="10" t="inlineStr">
        <is>
          <t>Rp 900.000</t>
        </is>
      </c>
    </row>
    <row r="6">
      <c r="A6" s="10" t="inlineStr">
        <is>
          <t>INV-71047</t>
        </is>
      </c>
      <c r="B6" s="10" t="inlineStr">
        <is>
          <t>05 May 2026</t>
        </is>
      </c>
      <c r="C6" s="10" t="inlineStr">
        <is>
          <t>C1296</t>
        </is>
      </c>
      <c r="D6" s="10" t="inlineStr">
        <is>
          <t>loyal</t>
        </is>
      </c>
      <c r="E6" s="10" t="inlineStr">
        <is>
          <t>TikTok Shop</t>
        </is>
      </c>
      <c r="F6" s="10" t="inlineStr">
        <is>
          <t>Jawa Tengah</t>
        </is>
      </c>
      <c r="G6" s="10" t="inlineStr">
        <is>
          <t>Elektronik</t>
        </is>
      </c>
      <c r="H6" s="10" t="inlineStr">
        <is>
          <t>Smartwatch</t>
        </is>
      </c>
      <c r="I6" s="10" t="n">
        <v>1</v>
      </c>
      <c r="J6" s="10" t="n">
        <v>450000</v>
      </c>
      <c r="K6" s="10" t="n">
        <v>450000</v>
      </c>
    </row>
    <row r="7">
      <c r="A7" s="10" t="inlineStr">
        <is>
          <t>INV-71542</t>
        </is>
      </c>
      <c r="B7" s="10" t="inlineStr">
        <is>
          <t>2025-03-23</t>
        </is>
      </c>
      <c r="C7" s="10" t="inlineStr">
        <is>
          <t>C1425</t>
        </is>
      </c>
      <c r="D7" s="10" t="inlineStr">
        <is>
          <t>loyal</t>
        </is>
      </c>
      <c r="E7" s="10" t="inlineStr">
        <is>
          <t>Tokopedia</t>
        </is>
      </c>
      <c r="F7" s="10" t="inlineStr">
        <is>
          <t>Jawa Barat</t>
        </is>
      </c>
      <c r="G7" s="10" t="inlineStr">
        <is>
          <t>Kecantikan</t>
        </is>
      </c>
      <c r="H7" s="10" t="inlineStr">
        <is>
          <t>Masker Wajah (5s)</t>
        </is>
      </c>
      <c r="I7" s="10" t="n">
        <v>1</v>
      </c>
      <c r="J7" s="10" t="n">
        <v>55000</v>
      </c>
      <c r="K7" s="10" t="n">
        <v>40000</v>
      </c>
    </row>
    <row r="8">
      <c r="A8" s="10" t="inlineStr">
        <is>
          <t>INV-70219</t>
        </is>
      </c>
      <c r="B8" s="10" t="inlineStr">
        <is>
          <t>19/11/2025</t>
        </is>
      </c>
      <c r="C8" s="10" t="inlineStr">
        <is>
          <t>C1061</t>
        </is>
      </c>
      <c r="D8" s="10" t="inlineStr">
        <is>
          <t>occasional</t>
        </is>
      </c>
      <c r="E8" s="10" t="inlineStr">
        <is>
          <t>TikTok Shop</t>
        </is>
      </c>
      <c r="F8" s="10" t="inlineStr">
        <is>
          <t>Jabodetabek</t>
        </is>
      </c>
      <c r="G8" s="10" t="inlineStr">
        <is>
          <t>Rumah Tangga</t>
        </is>
      </c>
      <c r="H8" s="10" t="inlineStr">
        <is>
          <t>Set Wadah Kedap</t>
        </is>
      </c>
      <c r="I8" s="10" t="n">
        <v>1</v>
      </c>
      <c r="J8" s="10" t="n">
        <v>135000</v>
      </c>
      <c r="K8" s="10" t="n">
        <v>135000</v>
      </c>
    </row>
    <row r="9">
      <c r="A9" s="10" t="inlineStr">
        <is>
          <t>INV-70103</t>
        </is>
      </c>
      <c r="B9" s="10" t="inlineStr">
        <is>
          <t>2025-12-04</t>
        </is>
      </c>
      <c r="C9" s="10" t="inlineStr">
        <is>
          <t>C1029</t>
        </is>
      </c>
      <c r="D9" s="10" t="inlineStr">
        <is>
          <t>champion</t>
        </is>
      </c>
      <c r="E9" s="10" t="inlineStr">
        <is>
          <t>Tokopedia</t>
        </is>
      </c>
      <c r="F9" s="10" t="inlineStr">
        <is>
          <t>Jawa Tengah</t>
        </is>
      </c>
      <c r="G9" s="10" t="inlineStr">
        <is>
          <t>Rumah Tangga</t>
        </is>
      </c>
      <c r="H9" s="10" t="inlineStr">
        <is>
          <t>Diffuser Aroma</t>
        </is>
      </c>
      <c r="I9" s="10" t="n">
        <v>4</v>
      </c>
      <c r="J9" s="10" t="n">
        <v>195000</v>
      </c>
      <c r="K9" s="10" t="n">
        <v>780000</v>
      </c>
    </row>
    <row r="10">
      <c r="A10" s="10" t="inlineStr">
        <is>
          <t>INV-71397</t>
        </is>
      </c>
      <c r="B10" s="10" t="inlineStr">
        <is>
          <t>2026-03-26</t>
        </is>
      </c>
      <c r="C10" s="10" t="inlineStr">
        <is>
          <t>C1386</t>
        </is>
      </c>
      <c r="D10" s="10" t="inlineStr">
        <is>
          <t>loyal</t>
        </is>
      </c>
      <c r="E10" s="10" t="inlineStr">
        <is>
          <t>Offline Store</t>
        </is>
      </c>
      <c r="F10" s="10" t="inlineStr">
        <is>
          <t>Lainnya</t>
        </is>
      </c>
      <c r="G10" s="10" t="inlineStr">
        <is>
          <t>Rumah Tangga</t>
        </is>
      </c>
      <c r="H10" s="10" t="inlineStr">
        <is>
          <t>Diffuser Aroma</t>
        </is>
      </c>
      <c r="I10" s="10" t="n">
        <v>4</v>
      </c>
      <c r="J10" s="10" t="n">
        <v>195000</v>
      </c>
      <c r="K10" s="10" t="n">
        <v>780000</v>
      </c>
    </row>
    <row r="11">
      <c r="A11" s="10" t="inlineStr">
        <is>
          <t>INV-70701</t>
        </is>
      </c>
      <c r="B11" s="10" t="inlineStr">
        <is>
          <t>2025-06-03</t>
        </is>
      </c>
      <c r="C11" s="10" t="inlineStr">
        <is>
          <t>C1195</t>
        </is>
      </c>
      <c r="D11" s="10" t="inlineStr">
        <is>
          <t>champion</t>
        </is>
      </c>
      <c r="E11" s="10" t="inlineStr">
        <is>
          <t>Shopee</t>
        </is>
      </c>
      <c r="F11" s="10" t="n"/>
      <c r="G11" s="10" t="inlineStr">
        <is>
          <t>Fashion</t>
        </is>
      </c>
      <c r="H11" s="10" t="inlineStr">
        <is>
          <t>Celana Chino</t>
        </is>
      </c>
      <c r="I11" s="10" t="n">
        <v>4</v>
      </c>
      <c r="J11" s="10" t="n">
        <v>195000</v>
      </c>
      <c r="K11" s="10" t="n">
        <v>780000</v>
      </c>
    </row>
    <row r="12">
      <c r="A12" s="10" t="inlineStr">
        <is>
          <t>INV-70125</t>
        </is>
      </c>
      <c r="B12" s="10" t="inlineStr">
        <is>
          <t>04 May 2026</t>
        </is>
      </c>
      <c r="C12" s="10" t="inlineStr">
        <is>
          <t>C1038</t>
        </is>
      </c>
      <c r="D12" s="10" t="inlineStr">
        <is>
          <t>champion</t>
        </is>
      </c>
      <c r="E12" s="10" t="inlineStr">
        <is>
          <t>SHOPEE</t>
        </is>
      </c>
      <c r="F12" s="10" t="inlineStr">
        <is>
          <t>Jabodetabek</t>
        </is>
      </c>
      <c r="G12" s="10" t="inlineStr">
        <is>
          <t>Rumah Tangga</t>
        </is>
      </c>
      <c r="H12" s="10" t="inlineStr">
        <is>
          <t>Set Wadah Kedap</t>
        </is>
      </c>
      <c r="I12" s="10" t="n">
        <v>1</v>
      </c>
      <c r="J12" s="10" t="n">
        <v>135000</v>
      </c>
      <c r="K12" s="10" t="inlineStr">
        <is>
          <t>Rp 135.000</t>
        </is>
      </c>
    </row>
    <row r="13">
      <c r="A13" s="10" t="inlineStr">
        <is>
          <t>INV-70538</t>
        </is>
      </c>
      <c r="B13" s="10" t="inlineStr">
        <is>
          <t>2026-04-21</t>
        </is>
      </c>
      <c r="C13" s="10" t="inlineStr">
        <is>
          <t>C1149</t>
        </is>
      </c>
      <c r="D13" s="10" t="inlineStr">
        <is>
          <t>loyal</t>
        </is>
      </c>
      <c r="E13" s="10" t="inlineStr">
        <is>
          <t xml:space="preserve">Offline store </t>
        </is>
      </c>
      <c r="F13" s="10" t="inlineStr">
        <is>
          <t>Lainnya</t>
        </is>
      </c>
      <c r="G13" s="10" t="inlineStr">
        <is>
          <t>Rumah Tangga</t>
        </is>
      </c>
      <c r="H13" s="10" t="inlineStr">
        <is>
          <t>Set Wadah Kedap</t>
        </is>
      </c>
      <c r="I13" s="10" t="n">
        <v>4</v>
      </c>
      <c r="J13" s="10" t="n">
        <v>135000</v>
      </c>
      <c r="K13" s="10" t="n">
        <v>540000</v>
      </c>
    </row>
    <row r="14">
      <c r="A14" s="10" t="inlineStr">
        <is>
          <t>INV-70730</t>
        </is>
      </c>
      <c r="B14" s="10" t="inlineStr">
        <is>
          <t>2026-04-22</t>
        </is>
      </c>
      <c r="C14" s="10" t="inlineStr">
        <is>
          <t>C1206</t>
        </is>
      </c>
      <c r="D14" s="10" t="inlineStr">
        <is>
          <t>regular</t>
        </is>
      </c>
      <c r="E14" s="10" t="inlineStr">
        <is>
          <t>Offline Store</t>
        </is>
      </c>
      <c r="F14" s="10" t="inlineStr">
        <is>
          <t>Jabodetabek</t>
        </is>
      </c>
      <c r="G14" s="10" t="inlineStr">
        <is>
          <t>Rumah Tangga</t>
        </is>
      </c>
      <c r="H14" s="10" t="inlineStr">
        <is>
          <t>Set Wadah Kedap</t>
        </is>
      </c>
      <c r="I14" s="10" t="n">
        <v>3</v>
      </c>
      <c r="J14" s="10" t="n">
        <v>135000</v>
      </c>
      <c r="K14" s="10" t="n">
        <v>405000</v>
      </c>
    </row>
    <row r="15">
      <c r="A15" s="10" t="inlineStr">
        <is>
          <t>INV-71440</t>
        </is>
      </c>
      <c r="B15" s="10" t="inlineStr">
        <is>
          <t>2025-03-12</t>
        </is>
      </c>
      <c r="C15" s="10" t="inlineStr">
        <is>
          <t>C1396</t>
        </is>
      </c>
      <c r="D15" s="10" t="inlineStr">
        <is>
          <t>loyal</t>
        </is>
      </c>
      <c r="E15" s="10" t="inlineStr">
        <is>
          <t>Tiktok Shop</t>
        </is>
      </c>
      <c r="F15" s="10" t="inlineStr">
        <is>
          <t>Jabodetabek</t>
        </is>
      </c>
      <c r="G15" s="10" t="inlineStr">
        <is>
          <t>Elektronik</t>
        </is>
      </c>
      <c r="H15" s="10" t="inlineStr">
        <is>
          <t>Webcam HD</t>
        </is>
      </c>
      <c r="I15" s="10" t="n">
        <v>3</v>
      </c>
      <c r="J15" s="10" t="n">
        <v>210000</v>
      </c>
      <c r="K15" s="10" t="n">
        <v>630000</v>
      </c>
    </row>
    <row r="16">
      <c r="A16" s="10" t="inlineStr">
        <is>
          <t>INV-71549</t>
        </is>
      </c>
      <c r="B16" s="10" t="inlineStr">
        <is>
          <t>2025-10-23</t>
        </is>
      </c>
      <c r="C16" s="10" t="inlineStr">
        <is>
          <t>C1427</t>
        </is>
      </c>
      <c r="D16" s="10" t="inlineStr">
        <is>
          <t>occasional</t>
        </is>
      </c>
      <c r="E16" s="10" t="inlineStr">
        <is>
          <t>TikTok Shop</t>
        </is>
      </c>
      <c r="F16" s="10" t="inlineStr">
        <is>
          <t>Sumatera</t>
        </is>
      </c>
      <c r="G16" s="10" t="inlineStr">
        <is>
          <t>Elektronik</t>
        </is>
      </c>
      <c r="H16" s="10" t="inlineStr">
        <is>
          <t>Keyboard Mekanik</t>
        </is>
      </c>
      <c r="I16" s="10" t="n">
        <v>2</v>
      </c>
      <c r="J16" s="10" t="n">
        <v>380000</v>
      </c>
      <c r="K16" s="10" t="n">
        <v>760000</v>
      </c>
    </row>
    <row r="17">
      <c r="A17" s="10" t="inlineStr">
        <is>
          <t>INV-70357</t>
        </is>
      </c>
      <c r="B17" s="10" t="inlineStr">
        <is>
          <t>2026-01-21</t>
        </is>
      </c>
      <c r="C17" s="10" t="inlineStr">
        <is>
          <t>C1097</t>
        </is>
      </c>
      <c r="D17" s="10" t="inlineStr">
        <is>
          <t>regular</t>
        </is>
      </c>
      <c r="E17" s="10" t="inlineStr">
        <is>
          <t xml:space="preserve">Shopee </t>
        </is>
      </c>
      <c r="F17" s="10" t="inlineStr">
        <is>
          <t>Jabodetabek</t>
        </is>
      </c>
      <c r="G17" s="10" t="inlineStr">
        <is>
          <t>Rumah Tangga</t>
        </is>
      </c>
      <c r="H17" s="10" t="inlineStr">
        <is>
          <t>Set Wadah Kedap</t>
        </is>
      </c>
      <c r="I17" s="10" t="n">
        <v>3</v>
      </c>
      <c r="J17" s="10" t="n">
        <v>135000</v>
      </c>
      <c r="K17" s="10" t="inlineStr">
        <is>
          <t>Rp 405.000</t>
        </is>
      </c>
    </row>
    <row r="18">
      <c r="A18" s="10" t="inlineStr">
        <is>
          <t>INV-70619</t>
        </is>
      </c>
      <c r="B18" s="10" t="inlineStr">
        <is>
          <t>2025-02-01</t>
        </is>
      </c>
      <c r="C18" s="10" t="inlineStr">
        <is>
          <t>C1169</t>
        </is>
      </c>
      <c r="D18" s="10" t="inlineStr">
        <is>
          <t>occasional</t>
        </is>
      </c>
      <c r="E18" s="10" t="inlineStr">
        <is>
          <t>Shopee</t>
        </is>
      </c>
      <c r="F18" s="10" t="inlineStr">
        <is>
          <t>Jabodetabek</t>
        </is>
      </c>
      <c r="G18" s="10" t="inlineStr">
        <is>
          <t>Rumah Tangga</t>
        </is>
      </c>
      <c r="H18" s="10" t="inlineStr">
        <is>
          <t>Set Wadah Kedap</t>
        </is>
      </c>
      <c r="I18" s="10" t="n">
        <v>-1</v>
      </c>
      <c r="J18" s="10" t="n">
        <v>135000</v>
      </c>
      <c r="K18" s="10" t="n">
        <v>135000</v>
      </c>
    </row>
    <row r="19">
      <c r="A19" s="10" t="inlineStr">
        <is>
          <t>INV-70948</t>
        </is>
      </c>
      <c r="B19" s="10" t="inlineStr">
        <is>
          <t>2025-12-02</t>
        </is>
      </c>
      <c r="C19" s="10" t="inlineStr">
        <is>
          <t>C1268</t>
        </is>
      </c>
      <c r="D19" s="10" t="inlineStr">
        <is>
          <t>regular</t>
        </is>
      </c>
      <c r="E19" s="10" t="inlineStr">
        <is>
          <t>Shopee</t>
        </is>
      </c>
      <c r="F19" s="10" t="inlineStr">
        <is>
          <t>Sumatera</t>
        </is>
      </c>
      <c r="G19" s="10" t="inlineStr">
        <is>
          <t>Elektronik</t>
        </is>
      </c>
      <c r="H19" s="10" t="inlineStr">
        <is>
          <t>Smartwatch</t>
        </is>
      </c>
      <c r="I19" s="10" t="n">
        <v>4</v>
      </c>
      <c r="J19" s="10" t="n">
        <v>450000</v>
      </c>
      <c r="K19" s="10" t="n">
        <v>1800000</v>
      </c>
    </row>
    <row r="20">
      <c r="A20" s="10" t="inlineStr">
        <is>
          <t>INV-71062</t>
        </is>
      </c>
      <c r="B20" s="10" t="inlineStr">
        <is>
          <t>02/01/2025</t>
        </is>
      </c>
      <c r="C20" s="10" t="inlineStr">
        <is>
          <t>C1301</t>
        </is>
      </c>
      <c r="D20" s="10" t="inlineStr">
        <is>
          <t>regular</t>
        </is>
      </c>
      <c r="E20" s="10" t="inlineStr">
        <is>
          <t xml:space="preserve"> tokopedia</t>
        </is>
      </c>
      <c r="F20" s="10" t="inlineStr">
        <is>
          <t>Jabodetabek</t>
        </is>
      </c>
      <c r="G20" s="10" t="inlineStr">
        <is>
          <t>Rumah Tangga</t>
        </is>
      </c>
      <c r="H20" s="10" t="inlineStr">
        <is>
          <t>Set Wadah Kedap</t>
        </is>
      </c>
      <c r="I20" s="10" t="n">
        <v>1</v>
      </c>
      <c r="J20" s="10" t="n">
        <v>135000</v>
      </c>
      <c r="K20" s="10" t="n">
        <v>135000</v>
      </c>
    </row>
    <row r="21">
      <c r="A21" s="10" t="inlineStr">
        <is>
          <t>INV-70495</t>
        </is>
      </c>
      <c r="B21" s="10" t="inlineStr">
        <is>
          <t>2025-08-27</t>
        </is>
      </c>
      <c r="C21" s="10" t="inlineStr">
        <is>
          <t>C1139</t>
        </is>
      </c>
      <c r="D21" s="10" t="inlineStr">
        <is>
          <t>champion</t>
        </is>
      </c>
      <c r="E21" s="10" t="inlineStr">
        <is>
          <t>SHOPEE</t>
        </is>
      </c>
      <c r="F21" s="10" t="inlineStr">
        <is>
          <t>Jawa Tengah</t>
        </is>
      </c>
      <c r="G21" s="10" t="inlineStr">
        <is>
          <t>Rumah Tangga</t>
        </is>
      </c>
      <c r="H21" s="10" t="inlineStr">
        <is>
          <t>Organizer Laci</t>
        </is>
      </c>
      <c r="I21" s="10" t="n">
        <v>1</v>
      </c>
      <c r="J21" s="10" t="n">
        <v>78000</v>
      </c>
      <c r="K21" s="10" t="n">
        <v>78000</v>
      </c>
    </row>
    <row r="22">
      <c r="A22" s="10" t="inlineStr">
        <is>
          <t>INV-70838</t>
        </is>
      </c>
      <c r="B22" s="10" t="inlineStr">
        <is>
          <t>2025-02-02</t>
        </is>
      </c>
      <c r="C22" s="10" t="inlineStr">
        <is>
          <t>C1236</t>
        </is>
      </c>
      <c r="D22" s="10" t="inlineStr">
        <is>
          <t>onetime</t>
        </is>
      </c>
      <c r="E22" s="10" t="inlineStr">
        <is>
          <t>shopee</t>
        </is>
      </c>
      <c r="F22" s="10" t="inlineStr">
        <is>
          <t>Jawa Tengah</t>
        </is>
      </c>
      <c r="G22" s="10" t="inlineStr">
        <is>
          <t>Rumah Tangga</t>
        </is>
      </c>
      <c r="H22" s="10" t="inlineStr">
        <is>
          <t>Set Wadah Kedap</t>
        </is>
      </c>
      <c r="I22" s="10" t="n">
        <v>1</v>
      </c>
      <c r="J22" s="10" t="n">
        <v>135000</v>
      </c>
      <c r="K22" s="10" t="n">
        <v>135000</v>
      </c>
    </row>
    <row r="23">
      <c r="A23" s="10" t="inlineStr">
        <is>
          <t>INV-70167</t>
        </is>
      </c>
      <c r="B23" s="10" t="inlineStr">
        <is>
          <t>2026-04-26</t>
        </is>
      </c>
      <c r="C23" s="10" t="inlineStr">
        <is>
          <t>C1049</t>
        </is>
      </c>
      <c r="D23" s="10" t="inlineStr">
        <is>
          <t>champion</t>
        </is>
      </c>
      <c r="E23" s="10" t="inlineStr">
        <is>
          <t>Tokopedia</t>
        </is>
      </c>
      <c r="F23" s="10" t="inlineStr">
        <is>
          <t>Jawa Timur</t>
        </is>
      </c>
      <c r="G23" s="10" t="inlineStr">
        <is>
          <t>Fashion</t>
        </is>
      </c>
      <c r="H23" s="10" t="inlineStr">
        <is>
          <t>Kaos Premium</t>
        </is>
      </c>
      <c r="I23" s="10" t="n">
        <v>2</v>
      </c>
      <c r="J23" s="10" t="n">
        <v>95000</v>
      </c>
      <c r="K23" s="10" t="inlineStr">
        <is>
          <t>Rp 190.000</t>
        </is>
      </c>
    </row>
    <row r="24">
      <c r="A24" s="10" t="inlineStr">
        <is>
          <t>INV-70852</t>
        </is>
      </c>
      <c r="B24" s="10" t="inlineStr">
        <is>
          <t>21/01/2025</t>
        </is>
      </c>
      <c r="C24" s="10" t="inlineStr">
        <is>
          <t>C1240</t>
        </is>
      </c>
      <c r="D24" s="10" t="inlineStr">
        <is>
          <t>loyal</t>
        </is>
      </c>
      <c r="E24" s="10" t="inlineStr">
        <is>
          <t>Shopee</t>
        </is>
      </c>
      <c r="F24" s="10" t="inlineStr">
        <is>
          <t>Lainnya</t>
        </is>
      </c>
      <c r="G24" s="10" t="inlineStr">
        <is>
          <t>Fashion</t>
        </is>
      </c>
      <c r="H24" s="10" t="inlineStr">
        <is>
          <t>Celana Chino</t>
        </is>
      </c>
      <c r="I24" s="10" t="n">
        <v>3</v>
      </c>
      <c r="J24" s="10" t="n">
        <v>195000</v>
      </c>
      <c r="K24" s="10" t="n">
        <v>585000</v>
      </c>
    </row>
    <row r="25">
      <c r="A25" s="10" t="inlineStr">
        <is>
          <t>INV-70791</t>
        </is>
      </c>
      <c r="B25" s="10" t="inlineStr">
        <is>
          <t>02/04/2026</t>
        </is>
      </c>
      <c r="C25" s="10" t="inlineStr">
        <is>
          <t>C1222</t>
        </is>
      </c>
      <c r="D25" s="10" t="inlineStr">
        <is>
          <t>loyal</t>
        </is>
      </c>
      <c r="E25" s="10" t="inlineStr">
        <is>
          <t>tiktok shop</t>
        </is>
      </c>
      <c r="F25" s="10" t="inlineStr">
        <is>
          <t>Jabodetabek</t>
        </is>
      </c>
      <c r="G25" s="10" t="inlineStr">
        <is>
          <t>Kecantikan</t>
        </is>
      </c>
      <c r="H25" s="10" t="inlineStr">
        <is>
          <t>Masker Wajah (5s)</t>
        </is>
      </c>
      <c r="I25" s="10" t="n">
        <v>1</v>
      </c>
      <c r="J25" s="10" t="n">
        <v>55000</v>
      </c>
      <c r="K25" s="10" t="n">
        <v>55000</v>
      </c>
    </row>
    <row r="26">
      <c r="A26" s="10" t="inlineStr">
        <is>
          <t>INV-71370</t>
        </is>
      </c>
      <c r="B26" s="10" t="inlineStr">
        <is>
          <t>2026-04-06</t>
        </is>
      </c>
      <c r="C26" s="10" t="inlineStr">
        <is>
          <t>C1378</t>
        </is>
      </c>
      <c r="D26" s="10" t="inlineStr">
        <is>
          <t>regular</t>
        </is>
      </c>
      <c r="E26" s="10" t="inlineStr">
        <is>
          <t>shopee</t>
        </is>
      </c>
      <c r="F26" s="10" t="inlineStr">
        <is>
          <t>Jabodetabek</t>
        </is>
      </c>
      <c r="G26" s="10" t="inlineStr">
        <is>
          <t>Elektronik</t>
        </is>
      </c>
      <c r="H26" s="10" t="inlineStr">
        <is>
          <t>Smartwatch</t>
        </is>
      </c>
      <c r="I26" s="10" t="n">
        <v>1</v>
      </c>
      <c r="J26" s="10" t="n">
        <v>450000</v>
      </c>
      <c r="K26" s="10" t="n">
        <v>450000</v>
      </c>
    </row>
    <row r="27">
      <c r="A27" s="10" t="inlineStr">
        <is>
          <t>INV-71054</t>
        </is>
      </c>
      <c r="B27" s="10" t="inlineStr">
        <is>
          <t>21 Aug 2025</t>
        </is>
      </c>
      <c r="C27" s="10" t="inlineStr">
        <is>
          <t>C1299</t>
        </is>
      </c>
      <c r="D27" s="10" t="inlineStr">
        <is>
          <t>occasional</t>
        </is>
      </c>
      <c r="E27" s="10" t="inlineStr">
        <is>
          <t>TikTok Shop</t>
        </is>
      </c>
      <c r="F27" s="10" t="inlineStr">
        <is>
          <t>Sumatera</t>
        </is>
      </c>
      <c r="G27" s="10" t="inlineStr">
        <is>
          <t>Rumah Tangga</t>
        </is>
      </c>
      <c r="H27" s="10" t="inlineStr">
        <is>
          <t>Set Wadah Kedap</t>
        </is>
      </c>
      <c r="I27" s="10" t="n">
        <v>3</v>
      </c>
      <c r="J27" s="10" t="n">
        <v>135000</v>
      </c>
      <c r="K27" s="10" t="n">
        <v>405000</v>
      </c>
    </row>
    <row r="28">
      <c r="A28" s="10" t="inlineStr">
        <is>
          <t>INV-70430</t>
        </is>
      </c>
      <c r="B28" s="10" t="inlineStr">
        <is>
          <t>2025-10-25</t>
        </is>
      </c>
      <c r="C28" s="10" t="inlineStr">
        <is>
          <t>C1122</t>
        </is>
      </c>
      <c r="D28" s="10" t="inlineStr">
        <is>
          <t>loyal</t>
        </is>
      </c>
      <c r="E28" s="10" t="inlineStr">
        <is>
          <t xml:space="preserve"> tokopedia</t>
        </is>
      </c>
      <c r="F28" s="10" t="inlineStr">
        <is>
          <t>Jabodetabek</t>
        </is>
      </c>
      <c r="G28" s="10" t="inlineStr">
        <is>
          <t>Rumah Tangga</t>
        </is>
      </c>
      <c r="H28" s="10" t="inlineStr">
        <is>
          <t>Set Wadah Kedap</t>
        </is>
      </c>
      <c r="I28" s="10" t="n">
        <v>1</v>
      </c>
      <c r="J28" s="10" t="n">
        <v>135000</v>
      </c>
      <c r="K28" s="10" t="n">
        <v>135000</v>
      </c>
    </row>
    <row r="29">
      <c r="A29" s="10" t="inlineStr">
        <is>
          <t>INV-71543</t>
        </is>
      </c>
      <c r="B29" s="10" t="inlineStr">
        <is>
          <t>2026-02-18</t>
        </is>
      </c>
      <c r="C29" s="10" t="inlineStr">
        <is>
          <t>C1425</t>
        </is>
      </c>
      <c r="D29" s="10" t="inlineStr">
        <is>
          <t>loyal</t>
        </is>
      </c>
      <c r="E29" s="10" t="inlineStr">
        <is>
          <t>Shopee</t>
        </is>
      </c>
      <c r="F29" s="10" t="inlineStr">
        <is>
          <t>Jabodetabek</t>
        </is>
      </c>
      <c r="G29" s="10" t="inlineStr">
        <is>
          <t>Elektronik</t>
        </is>
      </c>
      <c r="H29" s="10" t="inlineStr">
        <is>
          <t>Smartwatch</t>
        </is>
      </c>
      <c r="I29" s="10" t="n">
        <v>1</v>
      </c>
      <c r="J29" s="10" t="n">
        <v>450000</v>
      </c>
      <c r="K29" s="10" t="n">
        <v>450000</v>
      </c>
    </row>
    <row r="30">
      <c r="A30" s="10" t="inlineStr">
        <is>
          <t>INV-71344</t>
        </is>
      </c>
      <c r="B30" s="10" t="inlineStr">
        <is>
          <t>2025-08-07</t>
        </is>
      </c>
      <c r="C30" s="10" t="inlineStr">
        <is>
          <t>C1369</t>
        </is>
      </c>
      <c r="D30" s="10" t="inlineStr">
        <is>
          <t>loyal</t>
        </is>
      </c>
      <c r="E30" s="10" t="inlineStr">
        <is>
          <t>tiktok shop</t>
        </is>
      </c>
      <c r="F30" s="10" t="inlineStr">
        <is>
          <t>Jabodetabek</t>
        </is>
      </c>
      <c r="G30" s="10" t="inlineStr">
        <is>
          <t>Rumah Tangga</t>
        </is>
      </c>
      <c r="H30" s="10" t="inlineStr">
        <is>
          <t>Organizer Laci</t>
        </is>
      </c>
      <c r="I30" s="10" t="n">
        <v>2</v>
      </c>
      <c r="J30" s="10" t="n">
        <v>78000</v>
      </c>
      <c r="K30" s="10" t="n">
        <v>156000</v>
      </c>
    </row>
    <row r="31">
      <c r="A31" s="10" t="inlineStr">
        <is>
          <t>INV-70263</t>
        </is>
      </c>
      <c r="B31" s="10" t="inlineStr">
        <is>
          <t>2025-04-26</t>
        </is>
      </c>
      <c r="C31" s="10" t="inlineStr">
        <is>
          <t>C1074</t>
        </is>
      </c>
      <c r="D31" s="10" t="inlineStr">
        <is>
          <t>regular</t>
        </is>
      </c>
      <c r="E31" s="10" t="inlineStr">
        <is>
          <t>Tokopedia</t>
        </is>
      </c>
      <c r="F31" s="10" t="inlineStr">
        <is>
          <t>Sumatera</t>
        </is>
      </c>
      <c r="G31" s="10" t="inlineStr">
        <is>
          <t>Kecantikan</t>
        </is>
      </c>
      <c r="H31" s="10" t="inlineStr">
        <is>
          <t>Masker Wajah (5s)</t>
        </is>
      </c>
      <c r="I31" s="10" t="n">
        <v>1</v>
      </c>
      <c r="J31" s="10" t="n">
        <v>55000</v>
      </c>
      <c r="K31" s="10" t="n">
        <v>55000</v>
      </c>
    </row>
    <row r="32">
      <c r="A32" s="10" t="inlineStr">
        <is>
          <t>INV-71281</t>
        </is>
      </c>
      <c r="B32" s="10" t="inlineStr">
        <is>
          <t>2026-04-27</t>
        </is>
      </c>
      <c r="C32" s="10" t="inlineStr">
        <is>
          <t>C1358</t>
        </is>
      </c>
      <c r="D32" s="10" t="inlineStr">
        <is>
          <t>champion</t>
        </is>
      </c>
      <c r="E32" s="10" t="inlineStr">
        <is>
          <t xml:space="preserve">Offline store </t>
        </is>
      </c>
      <c r="F32" s="10" t="inlineStr">
        <is>
          <t>Lainnya</t>
        </is>
      </c>
      <c r="G32" s="10" t="inlineStr">
        <is>
          <t>rumah tangga</t>
        </is>
      </c>
      <c r="H32" s="10" t="inlineStr">
        <is>
          <t>Set Wadah Kedap</t>
        </is>
      </c>
      <c r="I32" s="10" t="n">
        <v>2</v>
      </c>
      <c r="J32" s="10" t="n">
        <v>135000</v>
      </c>
      <c r="K32" s="10" t="n">
        <v>270000</v>
      </c>
    </row>
    <row r="33">
      <c r="A33" s="10" t="inlineStr">
        <is>
          <t>INV-70743</t>
        </is>
      </c>
      <c r="B33" s="10" t="inlineStr">
        <is>
          <t>05 Feb 2026</t>
        </is>
      </c>
      <c r="C33" s="10" t="inlineStr">
        <is>
          <t>C1207</t>
        </is>
      </c>
      <c r="D33" s="10" t="inlineStr">
        <is>
          <t>loyal</t>
        </is>
      </c>
      <c r="E33" s="10" t="inlineStr">
        <is>
          <t>TIKTOK SHOP</t>
        </is>
      </c>
      <c r="F33" s="10" t="inlineStr">
        <is>
          <t>Sumatera</t>
        </is>
      </c>
      <c r="G33" s="10" t="inlineStr">
        <is>
          <t>Makanan</t>
        </is>
      </c>
      <c r="H33" s="10" t="inlineStr">
        <is>
          <t>Madu Hutan 250ml</t>
        </is>
      </c>
      <c r="I33" s="10" t="n">
        <v>2</v>
      </c>
      <c r="J33" s="10" t="n">
        <v>110000</v>
      </c>
      <c r="K33" s="10" t="inlineStr">
        <is>
          <t>Rp 220.000</t>
        </is>
      </c>
    </row>
    <row r="34">
      <c r="A34" s="10" t="inlineStr">
        <is>
          <t>INV-70429</t>
        </is>
      </c>
      <c r="B34" s="10" t="inlineStr">
        <is>
          <t>06/06/2025</t>
        </is>
      </c>
      <c r="C34" s="10" t="inlineStr">
        <is>
          <t>C1122</t>
        </is>
      </c>
      <c r="D34" s="10" t="inlineStr">
        <is>
          <t>loyal</t>
        </is>
      </c>
      <c r="E34" s="10" t="inlineStr">
        <is>
          <t>Offline Store</t>
        </is>
      </c>
      <c r="F34" s="10" t="inlineStr">
        <is>
          <t>Jawa Barat</t>
        </is>
      </c>
      <c r="G34" s="10" t="inlineStr">
        <is>
          <t>Fashion</t>
        </is>
      </c>
      <c r="H34" s="10" t="inlineStr">
        <is>
          <t>Celana Chino</t>
        </is>
      </c>
      <c r="I34" s="10" t="n">
        <v>1</v>
      </c>
      <c r="J34" s="10" t="n">
        <v>195000</v>
      </c>
      <c r="K34" s="10" t="n">
        <v>195000</v>
      </c>
    </row>
    <row r="35">
      <c r="A35" s="10" t="inlineStr">
        <is>
          <t>INV-71165</t>
        </is>
      </c>
      <c r="B35" s="10" t="inlineStr">
        <is>
          <t>2026-02-01</t>
        </is>
      </c>
      <c r="C35" s="10" t="inlineStr">
        <is>
          <t>C1329</t>
        </is>
      </c>
      <c r="D35" s="10" t="inlineStr">
        <is>
          <t>regular</t>
        </is>
      </c>
      <c r="E35" s="10" t="inlineStr">
        <is>
          <t>TikTok Shop</t>
        </is>
      </c>
      <c r="F35" s="10" t="inlineStr">
        <is>
          <t>Jabodetabek</t>
        </is>
      </c>
      <c r="G35" s="10" t="inlineStr">
        <is>
          <t>Rumah Tangga</t>
        </is>
      </c>
      <c r="H35" s="10" t="inlineStr">
        <is>
          <t>Set Wadah Kedap</t>
        </is>
      </c>
      <c r="I35" s="10" t="n">
        <v>2</v>
      </c>
      <c r="J35" s="10" t="n">
        <v>135000</v>
      </c>
      <c r="K35" s="10" t="n">
        <v>270000</v>
      </c>
    </row>
    <row r="36">
      <c r="A36" s="10" t="inlineStr">
        <is>
          <t>INV-70381</t>
        </is>
      </c>
      <c r="B36" s="10" t="inlineStr">
        <is>
          <t>2025-01-10</t>
        </is>
      </c>
      <c r="C36" s="10" t="inlineStr">
        <is>
          <t>C1110</t>
        </is>
      </c>
      <c r="D36" s="10" t="inlineStr">
        <is>
          <t>loyal</t>
        </is>
      </c>
      <c r="E36" s="10" t="inlineStr">
        <is>
          <t>Tokopedia</t>
        </is>
      </c>
      <c r="F36" s="10" t="inlineStr">
        <is>
          <t>Sumatera</t>
        </is>
      </c>
      <c r="G36" s="10" t="inlineStr">
        <is>
          <t>Rumah Tangga</t>
        </is>
      </c>
      <c r="H36" s="10" t="inlineStr">
        <is>
          <t>Set Wadah Kedap</t>
        </is>
      </c>
      <c r="I36" s="10" t="n">
        <v>1</v>
      </c>
      <c r="J36" s="10" t="n">
        <v>135000</v>
      </c>
      <c r="K36" s="10" t="n">
        <v>135000</v>
      </c>
    </row>
    <row r="37">
      <c r="A37" s="10" t="inlineStr">
        <is>
          <t>INV-70995</t>
        </is>
      </c>
      <c r="B37" s="10" t="inlineStr">
        <is>
          <t>2025-02-07</t>
        </is>
      </c>
      <c r="C37" s="10" t="inlineStr">
        <is>
          <t>C1287</t>
        </is>
      </c>
      <c r="D37" s="10" t="inlineStr">
        <is>
          <t>champion</t>
        </is>
      </c>
      <c r="E37" s="10" t="inlineStr">
        <is>
          <t>Tokopedia</t>
        </is>
      </c>
      <c r="F37" s="10" t="inlineStr">
        <is>
          <t>Sumatera</t>
        </is>
      </c>
      <c r="G37" s="10" t="inlineStr">
        <is>
          <t>Rumah Tangga</t>
        </is>
      </c>
      <c r="H37" s="10" t="inlineStr">
        <is>
          <t>Lampu Meja LED</t>
        </is>
      </c>
      <c r="I37" s="10" t="n">
        <v>2</v>
      </c>
      <c r="J37" s="10" t="n">
        <v>165000</v>
      </c>
      <c r="K37" s="10" t="n">
        <v>330000</v>
      </c>
    </row>
    <row r="38">
      <c r="A38" s="10" t="inlineStr">
        <is>
          <t>INV-71190</t>
        </is>
      </c>
      <c r="B38" s="10" t="inlineStr">
        <is>
          <t>2025-11-24</t>
        </is>
      </c>
      <c r="C38" s="10" t="inlineStr">
        <is>
          <t>C1335</t>
        </is>
      </c>
      <c r="D38" s="10" t="inlineStr">
        <is>
          <t>regular</t>
        </is>
      </c>
      <c r="E38" s="10" t="inlineStr">
        <is>
          <t>Shopee</t>
        </is>
      </c>
      <c r="F38" s="10" t="inlineStr">
        <is>
          <t>Jawa Barat</t>
        </is>
      </c>
      <c r="G38" s="10" t="inlineStr">
        <is>
          <t>kecantikan</t>
        </is>
      </c>
      <c r="H38" s="10" t="inlineStr">
        <is>
          <t>Masker Wajah (5s)</t>
        </is>
      </c>
      <c r="I38" s="10" t="n">
        <v>2</v>
      </c>
      <c r="J38" s="10" t="n">
        <v>55000</v>
      </c>
      <c r="K38" s="10" t="n">
        <v>110000</v>
      </c>
    </row>
    <row r="39">
      <c r="A39" s="10" t="inlineStr">
        <is>
          <t>INV-70527</t>
        </is>
      </c>
      <c r="B39" s="10" t="inlineStr">
        <is>
          <t>05 Nov 2025</t>
        </is>
      </c>
      <c r="C39" s="10" t="inlineStr">
        <is>
          <t>C1146</t>
        </is>
      </c>
      <c r="D39" s="10" t="inlineStr">
        <is>
          <t>occasional</t>
        </is>
      </c>
      <c r="E39" s="10" t="inlineStr">
        <is>
          <t>Shopee</t>
        </is>
      </c>
      <c r="F39" s="10" t="inlineStr">
        <is>
          <t>Jawa Timur</t>
        </is>
      </c>
      <c r="G39" s="10" t="inlineStr">
        <is>
          <t>Makanan</t>
        </is>
      </c>
      <c r="H39" s="10" t="inlineStr">
        <is>
          <t>Madu Hutan 250ml</t>
        </is>
      </c>
      <c r="I39" s="10" t="n">
        <v>4</v>
      </c>
      <c r="J39" s="10" t="n">
        <v>110000</v>
      </c>
      <c r="K39" s="10" t="n">
        <v>440000</v>
      </c>
    </row>
    <row r="40">
      <c r="A40" s="10" t="inlineStr">
        <is>
          <t>INV-70465</t>
        </is>
      </c>
      <c r="B40" s="10" t="inlineStr">
        <is>
          <t>2026-04-18</t>
        </is>
      </c>
      <c r="C40" s="10" t="inlineStr">
        <is>
          <t>C1133</t>
        </is>
      </c>
      <c r="D40" s="10" t="inlineStr">
        <is>
          <t>regular</t>
        </is>
      </c>
      <c r="E40" s="10" t="inlineStr">
        <is>
          <t>Tokopedia</t>
        </is>
      </c>
      <c r="F40" s="10" t="inlineStr">
        <is>
          <t>Jawa Timur</t>
        </is>
      </c>
      <c r="G40" s="10" t="inlineStr">
        <is>
          <t>Rumah Tangga</t>
        </is>
      </c>
      <c r="H40" s="10" t="inlineStr">
        <is>
          <t>Set Wadah Kedap</t>
        </is>
      </c>
      <c r="I40" s="10" t="n">
        <v>1</v>
      </c>
      <c r="J40" s="10" t="n">
        <v>135000</v>
      </c>
      <c r="K40" s="10" t="n">
        <v>135000</v>
      </c>
    </row>
    <row r="41">
      <c r="A41" s="10" t="inlineStr">
        <is>
          <t>INV-70572</t>
        </is>
      </c>
      <c r="B41" s="10" t="inlineStr">
        <is>
          <t>2025-03-01</t>
        </is>
      </c>
      <c r="C41" s="10" t="inlineStr">
        <is>
          <t>C1156</t>
        </is>
      </c>
      <c r="D41" s="10" t="inlineStr">
        <is>
          <t>champion</t>
        </is>
      </c>
      <c r="E41" s="10" t="inlineStr">
        <is>
          <t>Offline Store</t>
        </is>
      </c>
      <c r="F41" s="10" t="inlineStr">
        <is>
          <t>Jawa Timur</t>
        </is>
      </c>
      <c r="G41" s="10" t="inlineStr">
        <is>
          <t>Rumah Tangga</t>
        </is>
      </c>
      <c r="H41" s="10" t="inlineStr">
        <is>
          <t>Set Wadah Kedap</t>
        </is>
      </c>
      <c r="I41" s="10" t="n">
        <v>1</v>
      </c>
      <c r="J41" s="10" t="n">
        <v>135000</v>
      </c>
      <c r="K41" s="10" t="n">
        <v>135000</v>
      </c>
    </row>
    <row r="42">
      <c r="A42" s="10" t="inlineStr">
        <is>
          <t>INV-70976</t>
        </is>
      </c>
      <c r="B42" s="10" t="inlineStr">
        <is>
          <t>2025-05-20</t>
        </is>
      </c>
      <c r="C42" s="10" t="inlineStr">
        <is>
          <t>C1279</t>
        </is>
      </c>
      <c r="D42" s="10" t="inlineStr">
        <is>
          <t>loyal</t>
        </is>
      </c>
      <c r="E42" s="10" t="inlineStr">
        <is>
          <t>Tiktok Shop</t>
        </is>
      </c>
      <c r="F42" s="10" t="inlineStr">
        <is>
          <t>Jawa Timur</t>
        </is>
      </c>
      <c r="G42" s="10" t="inlineStr">
        <is>
          <t>rumah tangga</t>
        </is>
      </c>
      <c r="H42" s="10" t="inlineStr">
        <is>
          <t>Organizer Laci</t>
        </is>
      </c>
      <c r="I42" s="10" t="n">
        <v>2</v>
      </c>
      <c r="J42" s="10" t="n">
        <v>78000</v>
      </c>
      <c r="K42" s="10" t="inlineStr">
        <is>
          <t>Rp 156.000</t>
        </is>
      </c>
    </row>
    <row r="43">
      <c r="A43" s="10" t="inlineStr">
        <is>
          <t>INV-70470</t>
        </is>
      </c>
      <c r="B43" s="10" t="inlineStr">
        <is>
          <t>10/09/2025</t>
        </is>
      </c>
      <c r="C43" s="10" t="inlineStr">
        <is>
          <t>C1135</t>
        </is>
      </c>
      <c r="D43" s="10" t="inlineStr">
        <is>
          <t>regular</t>
        </is>
      </c>
      <c r="E43" s="10" t="inlineStr">
        <is>
          <t>Shopee</t>
        </is>
      </c>
      <c r="F43" s="10" t="inlineStr">
        <is>
          <t>Jabodetabek</t>
        </is>
      </c>
      <c r="G43" s="10" t="inlineStr">
        <is>
          <t>Kecantikan</t>
        </is>
      </c>
      <c r="H43" s="10" t="inlineStr">
        <is>
          <t>Serum Vit C</t>
        </is>
      </c>
      <c r="I43" s="10" t="n">
        <v>1</v>
      </c>
      <c r="J43" s="10" t="n">
        <v>145000</v>
      </c>
      <c r="K43" s="10" t="n">
        <v>145000</v>
      </c>
    </row>
    <row r="44">
      <c r="A44" s="10" t="inlineStr">
        <is>
          <t>INV-70074</t>
        </is>
      </c>
      <c r="B44" s="10" t="inlineStr">
        <is>
          <t>04 Mar 2025</t>
        </is>
      </c>
      <c r="C44" s="10" t="inlineStr">
        <is>
          <t>C1023</t>
        </is>
      </c>
      <c r="D44" s="10" t="inlineStr">
        <is>
          <t>occasional</t>
        </is>
      </c>
      <c r="E44" s="10" t="inlineStr">
        <is>
          <t>Shopee</t>
        </is>
      </c>
      <c r="F44" s="10" t="inlineStr">
        <is>
          <t>Jabodetabek</t>
        </is>
      </c>
      <c r="G44" s="10" t="inlineStr">
        <is>
          <t>Kecantikan</t>
        </is>
      </c>
      <c r="H44" s="10" t="inlineStr">
        <is>
          <t>Masker Wajah (5s)</t>
        </is>
      </c>
      <c r="I44" s="10" t="n">
        <v>1</v>
      </c>
      <c r="J44" s="10" t="n">
        <v>55000</v>
      </c>
      <c r="K44" s="10" t="n">
        <v>55000</v>
      </c>
    </row>
    <row r="45">
      <c r="A45" s="10" t="inlineStr">
        <is>
          <t>INV-70952</t>
        </is>
      </c>
      <c r="B45" s="10" t="inlineStr">
        <is>
          <t>2025-01-25</t>
        </is>
      </c>
      <c r="C45" s="10" t="inlineStr">
        <is>
          <t>C1271</t>
        </is>
      </c>
      <c r="D45" s="10" t="inlineStr">
        <is>
          <t>regular</t>
        </is>
      </c>
      <c r="E45" s="10" t="inlineStr">
        <is>
          <t xml:space="preserve">Shopee </t>
        </is>
      </c>
      <c r="F45" s="10" t="inlineStr">
        <is>
          <t>Jabodetabek</t>
        </is>
      </c>
      <c r="G45" s="10" t="inlineStr">
        <is>
          <t>Kecantikan</t>
        </is>
      </c>
      <c r="H45" s="10" t="inlineStr">
        <is>
          <t>Masker Wajah (5s)</t>
        </is>
      </c>
      <c r="I45" s="10" t="n">
        <v>2</v>
      </c>
      <c r="J45" s="10" t="n">
        <v>55000</v>
      </c>
      <c r="K45" s="10" t="n">
        <v>110000</v>
      </c>
    </row>
    <row r="46">
      <c r="A46" s="10" t="inlineStr">
        <is>
          <t>INV-70933</t>
        </is>
      </c>
      <c r="B46" s="10" t="inlineStr">
        <is>
          <t>08/11/2025</t>
        </is>
      </c>
      <c r="C46" s="10" t="inlineStr">
        <is>
          <t>C1262</t>
        </is>
      </c>
      <c r="D46" s="10" t="inlineStr">
        <is>
          <t>regular</t>
        </is>
      </c>
      <c r="E46" s="10" t="inlineStr">
        <is>
          <t>TikTok Shop</t>
        </is>
      </c>
      <c r="F46" s="10" t="inlineStr">
        <is>
          <t>Jawa Barat</t>
        </is>
      </c>
      <c r="G46" s="10" t="inlineStr">
        <is>
          <t>Rumah Tangga</t>
        </is>
      </c>
      <c r="H46" s="10" t="inlineStr">
        <is>
          <t>Set Wadah Kedap</t>
        </is>
      </c>
      <c r="I46" s="10" t="n">
        <v>3</v>
      </c>
      <c r="J46" s="10" t="n">
        <v>135000</v>
      </c>
      <c r="K46" s="10" t="n">
        <v>405000</v>
      </c>
    </row>
    <row r="47">
      <c r="A47" s="10" t="inlineStr">
        <is>
          <t>INV-70807</t>
        </is>
      </c>
      <c r="B47" s="10" t="inlineStr">
        <is>
          <t>23/04/2026</t>
        </is>
      </c>
      <c r="C47" s="10" t="inlineStr">
        <is>
          <t>C1226</t>
        </is>
      </c>
      <c r="D47" s="10" t="inlineStr">
        <is>
          <t>occasional</t>
        </is>
      </c>
      <c r="E47" s="10" t="inlineStr">
        <is>
          <t>Shopee</t>
        </is>
      </c>
      <c r="F47" s="10" t="inlineStr">
        <is>
          <t>Jabodetabek</t>
        </is>
      </c>
      <c r="G47" s="10" t="inlineStr">
        <is>
          <t>Makanan</t>
        </is>
      </c>
      <c r="H47" s="10" t="inlineStr">
        <is>
          <t>Keripik Sehat</t>
        </is>
      </c>
      <c r="I47" s="10" t="n">
        <v>2</v>
      </c>
      <c r="J47" s="10" t="n">
        <v>45000</v>
      </c>
      <c r="K47" s="10" t="n">
        <v>90000</v>
      </c>
    </row>
    <row r="48">
      <c r="A48" s="10" t="inlineStr">
        <is>
          <t>INV-70555</t>
        </is>
      </c>
      <c r="B48" s="10" t="inlineStr">
        <is>
          <t>2026-01-12</t>
        </is>
      </c>
      <c r="C48" s="10" t="inlineStr">
        <is>
          <t>C1153</t>
        </is>
      </c>
      <c r="D48" s="10" t="inlineStr">
        <is>
          <t>loyal</t>
        </is>
      </c>
      <c r="E48" s="10" t="inlineStr">
        <is>
          <t>Offline Store</t>
        </is>
      </c>
      <c r="F48" s="10" t="inlineStr">
        <is>
          <t>Jawa Timur</t>
        </is>
      </c>
      <c r="G48" s="10" t="inlineStr">
        <is>
          <t>Elektronik</t>
        </is>
      </c>
      <c r="H48" s="10" t="inlineStr">
        <is>
          <t>Webcam HD</t>
        </is>
      </c>
      <c r="I48" s="10" t="n">
        <v>4</v>
      </c>
      <c r="J48" s="10" t="n">
        <v>210000</v>
      </c>
      <c r="K48" s="10" t="n">
        <v>840000</v>
      </c>
    </row>
    <row r="49">
      <c r="A49" s="10" t="inlineStr">
        <is>
          <t>INV-70459</t>
        </is>
      </c>
      <c r="B49" s="10" t="inlineStr">
        <is>
          <t>2026-03-25</t>
        </is>
      </c>
      <c r="C49" s="10" t="inlineStr">
        <is>
          <t>C1131</t>
        </is>
      </c>
      <c r="D49" s="10" t="inlineStr">
        <is>
          <t>occasional</t>
        </is>
      </c>
      <c r="E49" s="10" t="inlineStr">
        <is>
          <t>Tokopedia</t>
        </is>
      </c>
      <c r="F49" s="10" t="inlineStr">
        <is>
          <t>Jawa Timur</t>
        </is>
      </c>
      <c r="G49" s="10" t="inlineStr">
        <is>
          <t>Rumah Tangga</t>
        </is>
      </c>
      <c r="H49" s="10" t="inlineStr">
        <is>
          <t>Set Wadah Kedap</t>
        </is>
      </c>
      <c r="I49" s="10" t="n">
        <v>1</v>
      </c>
      <c r="J49" s="10" t="n">
        <v>135000</v>
      </c>
      <c r="K49" s="10" t="n">
        <v>135000</v>
      </c>
    </row>
    <row r="50">
      <c r="A50" s="10" t="inlineStr">
        <is>
          <t>INV-70528</t>
        </is>
      </c>
      <c r="B50" s="10" t="inlineStr">
        <is>
          <t>2026-05-06</t>
        </is>
      </c>
      <c r="C50" s="10" t="inlineStr">
        <is>
          <t>C1146</t>
        </is>
      </c>
      <c r="D50" s="10" t="inlineStr">
        <is>
          <t>occasional</t>
        </is>
      </c>
      <c r="E50" s="10" t="inlineStr">
        <is>
          <t>Offline Store</t>
        </is>
      </c>
      <c r="F50" s="10" t="inlineStr">
        <is>
          <t>Lainnya</t>
        </is>
      </c>
      <c r="G50" s="10" t="inlineStr">
        <is>
          <t>Kecantikan</t>
        </is>
      </c>
      <c r="H50" s="10" t="inlineStr">
        <is>
          <t>Masker Wajah (5s)</t>
        </is>
      </c>
      <c r="I50" s="10" t="n"/>
      <c r="J50" s="10" t="n">
        <v>55000</v>
      </c>
      <c r="K50" s="10" t="n">
        <v>110000</v>
      </c>
    </row>
    <row r="51">
      <c r="A51" s="10" t="inlineStr">
        <is>
          <t>INV-71557</t>
        </is>
      </c>
      <c r="B51" s="10" t="inlineStr">
        <is>
          <t>25 Dec 2025</t>
        </is>
      </c>
      <c r="C51" s="10" t="inlineStr">
        <is>
          <t>C1428</t>
        </is>
      </c>
      <c r="D51" s="10" t="inlineStr">
        <is>
          <t>loyal</t>
        </is>
      </c>
      <c r="E51" s="10" t="inlineStr">
        <is>
          <t>TikTok Shop</t>
        </is>
      </c>
      <c r="F51" s="10" t="inlineStr">
        <is>
          <t>Jawa Barat</t>
        </is>
      </c>
      <c r="G51" s="10" t="inlineStr">
        <is>
          <t>Fashion</t>
        </is>
      </c>
      <c r="H51" s="10" t="inlineStr">
        <is>
          <t>Celana Chino</t>
        </is>
      </c>
      <c r="I51" s="10" t="n">
        <v>2</v>
      </c>
      <c r="J51" s="10" t="n">
        <v>195000</v>
      </c>
      <c r="K51" s="10" t="n">
        <v>390000</v>
      </c>
    </row>
    <row r="52">
      <c r="A52" s="10" t="inlineStr">
        <is>
          <t>INV-71437</t>
        </is>
      </c>
      <c r="B52" s="10" t="inlineStr">
        <is>
          <t>2026-03-05</t>
        </is>
      </c>
      <c r="C52" s="10" t="inlineStr">
        <is>
          <t>C1396</t>
        </is>
      </c>
      <c r="D52" s="10" t="inlineStr">
        <is>
          <t>loyal</t>
        </is>
      </c>
      <c r="E52" s="10" t="inlineStr">
        <is>
          <t xml:space="preserve">Tokopedia </t>
        </is>
      </c>
      <c r="F52" s="10" t="inlineStr">
        <is>
          <t>Jabodetabek</t>
        </is>
      </c>
      <c r="G52" s="10" t="inlineStr">
        <is>
          <t>Elektronik</t>
        </is>
      </c>
      <c r="H52" s="10" t="inlineStr">
        <is>
          <t>Power Bank 20K</t>
        </is>
      </c>
      <c r="I52" s="10" t="n">
        <v>1</v>
      </c>
      <c r="J52" s="10" t="n">
        <v>185000</v>
      </c>
      <c r="K52" s="10" t="n">
        <v>185000</v>
      </c>
    </row>
    <row r="53">
      <c r="A53" s="10" t="inlineStr">
        <is>
          <t>INV-70986</t>
        </is>
      </c>
      <c r="B53" s="10" t="inlineStr">
        <is>
          <t>20 Feb 2025</t>
        </is>
      </c>
      <c r="C53" s="10" t="inlineStr">
        <is>
          <t>C1283</t>
        </is>
      </c>
      <c r="D53" s="10" t="inlineStr">
        <is>
          <t>loyal</t>
        </is>
      </c>
      <c r="E53" s="10" t="inlineStr">
        <is>
          <t>Shopee</t>
        </is>
      </c>
      <c r="F53" s="10" t="inlineStr">
        <is>
          <t>Jawa Timur</t>
        </is>
      </c>
      <c r="G53" s="10" t="inlineStr">
        <is>
          <t>Kecantikan</t>
        </is>
      </c>
      <c r="H53" s="10" t="inlineStr">
        <is>
          <t>Masker Wajah (5s)</t>
        </is>
      </c>
      <c r="I53" s="10" t="n">
        <v>1</v>
      </c>
      <c r="J53" s="10" t="n">
        <v>55000</v>
      </c>
      <c r="K53" s="10" t="inlineStr">
        <is>
          <t>Rp 55.000</t>
        </is>
      </c>
    </row>
    <row r="54">
      <c r="A54" s="10" t="inlineStr">
        <is>
          <t>INV-71158</t>
        </is>
      </c>
      <c r="B54" s="10" t="inlineStr">
        <is>
          <t>2025-05-02</t>
        </is>
      </c>
      <c r="C54" s="10" t="inlineStr">
        <is>
          <t>C1327</t>
        </is>
      </c>
      <c r="D54" s="10" t="inlineStr">
        <is>
          <t>regular</t>
        </is>
      </c>
      <c r="E54" s="10" t="inlineStr">
        <is>
          <t>Shopee</t>
        </is>
      </c>
      <c r="F54" s="10" t="inlineStr">
        <is>
          <t>Sumatera</t>
        </is>
      </c>
      <c r="G54" s="10" t="inlineStr">
        <is>
          <t>Rumah Tangga</t>
        </is>
      </c>
      <c r="H54" s="10" t="inlineStr">
        <is>
          <t>Organizer Laci</t>
        </is>
      </c>
      <c r="I54" s="10" t="n">
        <v>2</v>
      </c>
      <c r="J54" s="10" t="n">
        <v>78000</v>
      </c>
      <c r="K54" s="10" t="n">
        <v>156000</v>
      </c>
    </row>
    <row r="55">
      <c r="A55" s="10" t="inlineStr">
        <is>
          <t>INV-71474</t>
        </is>
      </c>
      <c r="B55" s="10" t="inlineStr">
        <is>
          <t>25/01/2025</t>
        </is>
      </c>
      <c r="C55" s="10" t="inlineStr">
        <is>
          <t>C1407</t>
        </is>
      </c>
      <c r="D55" s="10" t="inlineStr">
        <is>
          <t>occasional</t>
        </is>
      </c>
      <c r="E55" s="10" t="inlineStr">
        <is>
          <t>Tokopedia</t>
        </is>
      </c>
      <c r="F55" s="10" t="inlineStr">
        <is>
          <t>Jawa Barat</t>
        </is>
      </c>
      <c r="G55" s="10" t="inlineStr">
        <is>
          <t>Rumah Tangga</t>
        </is>
      </c>
      <c r="H55" s="10" t="inlineStr">
        <is>
          <t>Set Wadah Kedap</t>
        </is>
      </c>
      <c r="I55" s="10" t="n">
        <v>1</v>
      </c>
      <c r="J55" s="10" t="n">
        <v>135000</v>
      </c>
      <c r="K55" s="10" t="n">
        <v>135000</v>
      </c>
    </row>
    <row r="56">
      <c r="A56" s="10" t="inlineStr">
        <is>
          <t>INV-70994</t>
        </is>
      </c>
      <c r="B56" s="10" t="inlineStr">
        <is>
          <t>19/04/2025</t>
        </is>
      </c>
      <c r="C56" s="10" t="inlineStr">
        <is>
          <t>C1286</t>
        </is>
      </c>
      <c r="D56" s="10" t="inlineStr">
        <is>
          <t>regular</t>
        </is>
      </c>
      <c r="E56" s="10" t="inlineStr">
        <is>
          <t>Offline Store</t>
        </is>
      </c>
      <c r="F56" s="10" t="inlineStr">
        <is>
          <t>Jawa Barat</t>
        </is>
      </c>
      <c r="G56" s="10" t="inlineStr">
        <is>
          <t>Rumah Tangga</t>
        </is>
      </c>
      <c r="H56" s="10" t="inlineStr">
        <is>
          <t>Organizer Laci</t>
        </is>
      </c>
      <c r="I56" s="10" t="n">
        <v>2</v>
      </c>
      <c r="J56" s="10" t="n">
        <v>78000</v>
      </c>
      <c r="K56" s="10" t="n">
        <v>156000</v>
      </c>
    </row>
    <row r="57">
      <c r="A57" s="10" t="inlineStr">
        <is>
          <t>INV-70388</t>
        </is>
      </c>
      <c r="B57" s="10" t="inlineStr">
        <is>
          <t>27 May 2026</t>
        </is>
      </c>
      <c r="C57" s="10" t="inlineStr">
        <is>
          <t>C1111</t>
        </is>
      </c>
      <c r="D57" s="10" t="inlineStr">
        <is>
          <t>champion</t>
        </is>
      </c>
      <c r="E57" s="10" t="inlineStr">
        <is>
          <t>Offline Store</t>
        </is>
      </c>
      <c r="F57" s="10" t="inlineStr">
        <is>
          <t>Jabodetabek</t>
        </is>
      </c>
      <c r="G57" s="10" t="inlineStr">
        <is>
          <t>Rumah Tangga</t>
        </is>
      </c>
      <c r="H57" s="10" t="inlineStr">
        <is>
          <t>Set Wadah Kedap</t>
        </is>
      </c>
      <c r="I57" s="10" t="n">
        <v>2</v>
      </c>
      <c r="J57" s="10" t="n">
        <v>135000</v>
      </c>
      <c r="K57" s="10" t="n">
        <v>270000</v>
      </c>
    </row>
    <row r="58">
      <c r="A58" s="10" t="inlineStr">
        <is>
          <t>INV-70460</t>
        </is>
      </c>
      <c r="B58" s="10" t="inlineStr">
        <is>
          <t>13/12/2025</t>
        </is>
      </c>
      <c r="C58" s="10" t="inlineStr">
        <is>
          <t>C1131</t>
        </is>
      </c>
      <c r="D58" s="10" t="inlineStr">
        <is>
          <t>occasional</t>
        </is>
      </c>
      <c r="E58" s="10" t="inlineStr">
        <is>
          <t>TikTok Shop</t>
        </is>
      </c>
      <c r="F58" s="10" t="inlineStr">
        <is>
          <t>Jawa Barat</t>
        </is>
      </c>
      <c r="G58" s="10" t="inlineStr">
        <is>
          <t>Makanan</t>
        </is>
      </c>
      <c r="H58" s="10" t="inlineStr">
        <is>
          <t>Madu Hutan 250ml</t>
        </is>
      </c>
      <c r="I58" s="10" t="n">
        <v>4</v>
      </c>
      <c r="J58" s="10" t="n">
        <v>110000</v>
      </c>
      <c r="K58" s="10" t="n">
        <v>440000</v>
      </c>
    </row>
    <row r="59">
      <c r="A59" s="10" t="inlineStr">
        <is>
          <t>INV-71026</t>
        </is>
      </c>
      <c r="B59" s="10" t="inlineStr">
        <is>
          <t>2025-04-04</t>
        </is>
      </c>
      <c r="C59" s="10" t="inlineStr">
        <is>
          <t>C1292</t>
        </is>
      </c>
      <c r="D59" s="10" t="inlineStr">
        <is>
          <t>regular</t>
        </is>
      </c>
      <c r="E59" s="10" t="inlineStr">
        <is>
          <t>Shopee</t>
        </is>
      </c>
      <c r="F59" s="10" t="inlineStr">
        <is>
          <t>Jawa Barat</t>
        </is>
      </c>
      <c r="G59" s="10" t="inlineStr">
        <is>
          <t>Elektronik</t>
        </is>
      </c>
      <c r="H59" s="10" t="inlineStr">
        <is>
          <t>Webcam HD</t>
        </is>
      </c>
      <c r="I59" s="10" t="n">
        <v>4</v>
      </c>
      <c r="J59" s="10" t="n">
        <v>210000</v>
      </c>
      <c r="K59" s="10" t="n">
        <v>840000</v>
      </c>
    </row>
    <row r="60">
      <c r="A60" s="10" t="inlineStr">
        <is>
          <t>INV-70468</t>
        </is>
      </c>
      <c r="B60" s="10" t="inlineStr">
        <is>
          <t>2025-01-07</t>
        </is>
      </c>
      <c r="C60" s="10" t="inlineStr">
        <is>
          <t>C1133</t>
        </is>
      </c>
      <c r="D60" s="10" t="inlineStr">
        <is>
          <t>regular</t>
        </is>
      </c>
      <c r="E60" s="10" t="inlineStr">
        <is>
          <t>Tokopedia</t>
        </is>
      </c>
      <c r="F60" s="10" t="inlineStr">
        <is>
          <t>Lainnya</t>
        </is>
      </c>
      <c r="G60" s="10" t="inlineStr">
        <is>
          <t>Makanan</t>
        </is>
      </c>
      <c r="H60" s="10" t="inlineStr">
        <is>
          <t>Granola 500g</t>
        </is>
      </c>
      <c r="I60" s="10" t="n">
        <v>3</v>
      </c>
      <c r="J60" s="10" t="n">
        <v>92000</v>
      </c>
      <c r="K60" s="10" t="inlineStr">
        <is>
          <t>Rp 276.000</t>
        </is>
      </c>
    </row>
    <row r="61">
      <c r="A61" s="10" t="inlineStr">
        <is>
          <t>INV-71176</t>
        </is>
      </c>
      <c r="B61" s="10" t="inlineStr">
        <is>
          <t>2025-01-01</t>
        </is>
      </c>
      <c r="C61" s="10" t="inlineStr">
        <is>
          <t>C1334</t>
        </is>
      </c>
      <c r="D61" s="10" t="inlineStr">
        <is>
          <t>champion</t>
        </is>
      </c>
      <c r="E61" s="10" t="inlineStr">
        <is>
          <t>TikTok Shop</t>
        </is>
      </c>
      <c r="F61" s="10" t="inlineStr">
        <is>
          <t>Sumatera</t>
        </is>
      </c>
      <c r="G61" s="10" t="inlineStr">
        <is>
          <t>Kecantikan</t>
        </is>
      </c>
      <c r="H61" s="10" t="inlineStr">
        <is>
          <t>Masker Wajah (5s)</t>
        </is>
      </c>
      <c r="I61" s="10" t="n">
        <v>1</v>
      </c>
      <c r="J61" s="10" t="n">
        <v>55000</v>
      </c>
      <c r="K61" s="10" t="n">
        <v>55000</v>
      </c>
    </row>
    <row r="62">
      <c r="A62" s="10" t="inlineStr">
        <is>
          <t>INV-70302</t>
        </is>
      </c>
      <c r="B62" s="10" t="inlineStr">
        <is>
          <t>2026-01-02</t>
        </is>
      </c>
      <c r="C62" s="10" t="inlineStr">
        <is>
          <t>C1085</t>
        </is>
      </c>
      <c r="D62" s="10" t="inlineStr">
        <is>
          <t>occasional</t>
        </is>
      </c>
      <c r="E62" s="10" t="inlineStr">
        <is>
          <t>Tokopedia</t>
        </is>
      </c>
      <c r="F62" s="10" t="inlineStr">
        <is>
          <t>Jabodetabek</t>
        </is>
      </c>
      <c r="G62" s="10" t="inlineStr">
        <is>
          <t>rumah tangga</t>
        </is>
      </c>
      <c r="H62" s="10" t="inlineStr">
        <is>
          <t>Organizer Laci</t>
        </is>
      </c>
      <c r="I62" s="10" t="n">
        <v>1</v>
      </c>
      <c r="J62" s="10" t="n">
        <v>78000</v>
      </c>
      <c r="K62" s="10" t="n">
        <v>78000</v>
      </c>
    </row>
    <row r="63">
      <c r="A63" s="10" t="inlineStr">
        <is>
          <t>INV-71455</t>
        </is>
      </c>
      <c r="B63" s="10" t="inlineStr">
        <is>
          <t>2025-04-26</t>
        </is>
      </c>
      <c r="C63" s="10" t="inlineStr">
        <is>
          <t>C1402</t>
        </is>
      </c>
      <c r="D63" s="10" t="inlineStr">
        <is>
          <t>occasional</t>
        </is>
      </c>
      <c r="E63" s="10" t="inlineStr">
        <is>
          <t>Tokopedia</t>
        </is>
      </c>
      <c r="F63" s="10" t="inlineStr">
        <is>
          <t>Jawa Tengah</t>
        </is>
      </c>
      <c r="G63" s="10" t="inlineStr">
        <is>
          <t>Rumah Tangga</t>
        </is>
      </c>
      <c r="H63" s="10" t="inlineStr">
        <is>
          <t>Diffuser Aroma</t>
        </is>
      </c>
      <c r="I63" s="10" t="n">
        <v>4</v>
      </c>
      <c r="J63" s="10" t="n">
        <v>195000</v>
      </c>
      <c r="K63" s="10" t="n">
        <v>780000</v>
      </c>
    </row>
    <row r="64">
      <c r="A64" s="10" t="inlineStr">
        <is>
          <t>INV-71535</t>
        </is>
      </c>
      <c r="B64" s="10" t="inlineStr">
        <is>
          <t>25/01/2025</t>
        </is>
      </c>
      <c r="C64" s="10" t="inlineStr">
        <is>
          <t>C1423</t>
        </is>
      </c>
      <c r="D64" s="10" t="inlineStr">
        <is>
          <t>onetime</t>
        </is>
      </c>
      <c r="E64" s="10" t="inlineStr">
        <is>
          <t>Shopee</t>
        </is>
      </c>
      <c r="F64" s="10" t="inlineStr">
        <is>
          <t>Jawa Barat</t>
        </is>
      </c>
      <c r="G64" s="10" t="inlineStr">
        <is>
          <t>Makanan</t>
        </is>
      </c>
      <c r="H64" s="10" t="inlineStr">
        <is>
          <t>Granola 500g</t>
        </is>
      </c>
      <c r="I64" s="10" t="n">
        <v>3</v>
      </c>
      <c r="J64" s="10" t="n">
        <v>92000</v>
      </c>
      <c r="K64" s="10" t="n">
        <v>276000</v>
      </c>
    </row>
    <row r="65">
      <c r="A65" s="10" t="inlineStr">
        <is>
          <t>INV-70872</t>
        </is>
      </c>
      <c r="B65" s="10" t="inlineStr">
        <is>
          <t>2025-08-04</t>
        </is>
      </c>
      <c r="C65" s="10" t="inlineStr">
        <is>
          <t>C1246</t>
        </is>
      </c>
      <c r="D65" s="10" t="inlineStr">
        <is>
          <t>champion</t>
        </is>
      </c>
      <c r="E65" s="10" t="inlineStr">
        <is>
          <t>Tokopedia</t>
        </is>
      </c>
      <c r="F65" s="10" t="inlineStr">
        <is>
          <t>Jawa Tengah</t>
        </is>
      </c>
      <c r="G65" s="10" t="inlineStr">
        <is>
          <t>Fashion</t>
        </is>
      </c>
      <c r="H65" s="10" t="inlineStr">
        <is>
          <t>Kemeja Linen</t>
        </is>
      </c>
      <c r="I65" s="10" t="n">
        <v>2</v>
      </c>
      <c r="J65" s="10" t="n">
        <v>185000</v>
      </c>
      <c r="K65" s="10" t="n">
        <v>370000</v>
      </c>
    </row>
    <row r="66">
      <c r="A66" s="10" t="inlineStr">
        <is>
          <t>INV-70341</t>
        </is>
      </c>
      <c r="B66" s="10" t="inlineStr">
        <is>
          <t>2025-11-22</t>
        </is>
      </c>
      <c r="C66" s="10" t="inlineStr">
        <is>
          <t>C1093</t>
        </is>
      </c>
      <c r="D66" s="10" t="inlineStr">
        <is>
          <t>champion</t>
        </is>
      </c>
      <c r="E66" s="10" t="inlineStr">
        <is>
          <t xml:space="preserve"> tokopedia</t>
        </is>
      </c>
      <c r="F66" s="10" t="inlineStr">
        <is>
          <t>Jawa Tengah</t>
        </is>
      </c>
      <c r="G66" s="10" t="inlineStr">
        <is>
          <t>fashion</t>
        </is>
      </c>
      <c r="H66" s="10" t="inlineStr">
        <is>
          <t>Celana Chino</t>
        </is>
      </c>
      <c r="I66" s="10" t="n">
        <v>2</v>
      </c>
      <c r="J66" s="10" t="n">
        <v>195000</v>
      </c>
      <c r="K66" s="10" t="n">
        <v>390000</v>
      </c>
    </row>
    <row r="67">
      <c r="A67" s="10" t="inlineStr">
        <is>
          <t>INV-70945</t>
        </is>
      </c>
      <c r="B67" s="10" t="inlineStr">
        <is>
          <t>2026-03-15</t>
        </is>
      </c>
      <c r="C67" s="10" t="inlineStr">
        <is>
          <t>C1268</t>
        </is>
      </c>
      <c r="D67" s="10" t="inlineStr">
        <is>
          <t>regular</t>
        </is>
      </c>
      <c r="E67" s="10" t="inlineStr">
        <is>
          <t>Tokopedia</t>
        </is>
      </c>
      <c r="F67" s="10" t="inlineStr">
        <is>
          <t>Jabodetabek</t>
        </is>
      </c>
      <c r="G67" s="10" t="inlineStr">
        <is>
          <t>Fashion</t>
        </is>
      </c>
      <c r="H67" s="10" t="inlineStr">
        <is>
          <t>Dress Casual</t>
        </is>
      </c>
      <c r="I67" s="10" t="n">
        <v>2</v>
      </c>
      <c r="J67" s="10" t="n">
        <v>225000</v>
      </c>
      <c r="K67" s="10" t="n">
        <v>450000</v>
      </c>
    </row>
    <row r="68">
      <c r="A68" s="10" t="inlineStr">
        <is>
          <t>INV-70731</t>
        </is>
      </c>
      <c r="B68" s="10" t="inlineStr">
        <is>
          <t>2025-04-08</t>
        </is>
      </c>
      <c r="C68" s="10" t="inlineStr">
        <is>
          <t>C1206</t>
        </is>
      </c>
      <c r="D68" s="10" t="inlineStr">
        <is>
          <t>regular</t>
        </is>
      </c>
      <c r="E68" s="10" t="inlineStr">
        <is>
          <t>Shopee</t>
        </is>
      </c>
      <c r="F68" s="10" t="inlineStr">
        <is>
          <t>Jabodetabek</t>
        </is>
      </c>
      <c r="G68" s="10" t="inlineStr">
        <is>
          <t>Rumah Tangga</t>
        </is>
      </c>
      <c r="H68" s="10" t="inlineStr">
        <is>
          <t>Set Wadah Kedap</t>
        </is>
      </c>
      <c r="I68" s="10" t="n">
        <v>4</v>
      </c>
      <c r="J68" s="10" t="n">
        <v>135000</v>
      </c>
      <c r="K68" s="10" t="inlineStr">
        <is>
          <t>Rp 540.000</t>
        </is>
      </c>
    </row>
    <row r="69">
      <c r="A69" s="10" t="inlineStr">
        <is>
          <t>INV-70822</t>
        </is>
      </c>
      <c r="B69" s="10" t="inlineStr">
        <is>
          <t>2025-01-16</t>
        </is>
      </c>
      <c r="C69" s="10" t="inlineStr">
        <is>
          <t>C1232</t>
        </is>
      </c>
      <c r="D69" s="10" t="inlineStr">
        <is>
          <t>onetime</t>
        </is>
      </c>
      <c r="E69" s="10" t="inlineStr">
        <is>
          <t>Shopee</t>
        </is>
      </c>
      <c r="F69" s="10" t="inlineStr">
        <is>
          <t>Jawa Barat</t>
        </is>
      </c>
      <c r="G69" s="10" t="inlineStr">
        <is>
          <t>Fashion</t>
        </is>
      </c>
      <c r="H69" s="10" t="inlineStr">
        <is>
          <t>Celana Chino</t>
        </is>
      </c>
      <c r="I69" s="10" t="n">
        <v>4</v>
      </c>
      <c r="J69" s="10" t="n">
        <v>195000</v>
      </c>
      <c r="K69" s="10" t="n">
        <v>780000</v>
      </c>
    </row>
    <row r="70">
      <c r="A70" s="10" t="inlineStr">
        <is>
          <t>INV-71431</t>
        </is>
      </c>
      <c r="B70" s="10" t="inlineStr">
        <is>
          <t>2025-04-25</t>
        </is>
      </c>
      <c r="C70" s="10" t="inlineStr">
        <is>
          <t>C1394</t>
        </is>
      </c>
      <c r="D70" s="10" t="inlineStr">
        <is>
          <t>loyal</t>
        </is>
      </c>
      <c r="E70" s="10" t="inlineStr">
        <is>
          <t>Tokopedia</t>
        </is>
      </c>
      <c r="F70" s="10" t="inlineStr">
        <is>
          <t>Jabodetabek</t>
        </is>
      </c>
      <c r="G70" s="10" t="inlineStr">
        <is>
          <t>Rumah Tangga</t>
        </is>
      </c>
      <c r="H70" s="10" t="inlineStr">
        <is>
          <t>Set Wadah Kedap</t>
        </is>
      </c>
      <c r="I70" s="10" t="n">
        <v>1</v>
      </c>
      <c r="J70" s="10" t="n">
        <v>135000</v>
      </c>
      <c r="K70" s="10" t="n">
        <v>135000</v>
      </c>
    </row>
    <row r="71">
      <c r="A71" s="10" t="inlineStr">
        <is>
          <t>INV-70821</t>
        </is>
      </c>
      <c r="B71" s="10" t="inlineStr">
        <is>
          <t>2025-11-22</t>
        </is>
      </c>
      <c r="C71" s="10" t="inlineStr">
        <is>
          <t>C1232</t>
        </is>
      </c>
      <c r="D71" s="10" t="inlineStr">
        <is>
          <t>onetime</t>
        </is>
      </c>
      <c r="E71" s="10" t="inlineStr">
        <is>
          <t>Shopee</t>
        </is>
      </c>
      <c r="F71" s="10" t="inlineStr">
        <is>
          <t>Jawa Tengah</t>
        </is>
      </c>
      <c r="G71" s="10" t="inlineStr">
        <is>
          <t>Elektronik</t>
        </is>
      </c>
      <c r="H71" s="10" t="inlineStr">
        <is>
          <t>Webcam HD</t>
        </is>
      </c>
      <c r="I71" s="10" t="n">
        <v>1</v>
      </c>
      <c r="J71" s="10" t="n">
        <v>210000</v>
      </c>
      <c r="K71" s="10" t="n">
        <v>210000</v>
      </c>
    </row>
    <row r="72">
      <c r="A72" s="10" t="inlineStr">
        <is>
          <t>INV-70328</t>
        </is>
      </c>
      <c r="B72" s="10" t="inlineStr">
        <is>
          <t>2025-09-06</t>
        </is>
      </c>
      <c r="C72" s="10" t="inlineStr">
        <is>
          <t>C1090</t>
        </is>
      </c>
      <c r="D72" s="10" t="inlineStr">
        <is>
          <t>champion</t>
        </is>
      </c>
      <c r="E72" s="10" t="inlineStr">
        <is>
          <t>Tokopedia</t>
        </is>
      </c>
      <c r="F72" s="10" t="inlineStr">
        <is>
          <t>Jabodetabek</t>
        </is>
      </c>
      <c r="G72" s="10" t="inlineStr">
        <is>
          <t>Rumah Tangga</t>
        </is>
      </c>
      <c r="H72" s="10" t="inlineStr">
        <is>
          <t>Set Wadah Kedap</t>
        </is>
      </c>
      <c r="I72" s="10" t="n">
        <v>4</v>
      </c>
      <c r="J72" s="10" t="n">
        <v>135000</v>
      </c>
      <c r="K72" s="10" t="n">
        <v>540000</v>
      </c>
    </row>
    <row r="73">
      <c r="A73" s="10" t="inlineStr">
        <is>
          <t>INV-70213</t>
        </is>
      </c>
      <c r="B73" s="10" t="inlineStr">
        <is>
          <t>2026-01-07</t>
        </is>
      </c>
      <c r="C73" s="10" t="inlineStr">
        <is>
          <t>C1060</t>
        </is>
      </c>
      <c r="D73" s="10" t="inlineStr">
        <is>
          <t>loyal</t>
        </is>
      </c>
      <c r="E73" s="10" t="inlineStr">
        <is>
          <t xml:space="preserve">Shopee </t>
        </is>
      </c>
      <c r="F73" s="10" t="inlineStr">
        <is>
          <t>Jawa Barat</t>
        </is>
      </c>
      <c r="G73" s="10" t="inlineStr">
        <is>
          <t>Rumah Tangga</t>
        </is>
      </c>
      <c r="H73" s="10" t="inlineStr">
        <is>
          <t>Set Wadah Kedap</t>
        </is>
      </c>
      <c r="I73" s="10" t="n">
        <v>1</v>
      </c>
      <c r="J73" s="10" t="n">
        <v>135000</v>
      </c>
      <c r="K73" s="10" t="n">
        <v>135000</v>
      </c>
    </row>
    <row r="74">
      <c r="A74" s="10" t="inlineStr">
        <is>
          <t>INV-70207</t>
        </is>
      </c>
      <c r="B74" s="10" t="inlineStr">
        <is>
          <t>2025-02-26</t>
        </is>
      </c>
      <c r="C74" s="10" t="inlineStr">
        <is>
          <t>C1058</t>
        </is>
      </c>
      <c r="D74" s="10" t="inlineStr">
        <is>
          <t>regular</t>
        </is>
      </c>
      <c r="E74" s="10" t="inlineStr">
        <is>
          <t>Offline Store</t>
        </is>
      </c>
      <c r="F74" s="10" t="inlineStr">
        <is>
          <t>Jabodetabek</t>
        </is>
      </c>
      <c r="G74" s="10" t="inlineStr">
        <is>
          <t>rumah tangga</t>
        </is>
      </c>
      <c r="H74" s="10" t="inlineStr">
        <is>
          <t>Set Wadah Kedap</t>
        </is>
      </c>
      <c r="I74" s="10" t="n">
        <v>2</v>
      </c>
      <c r="J74" s="10" t="n">
        <v>135000</v>
      </c>
      <c r="K74" s="10" t="n">
        <v>270000</v>
      </c>
    </row>
    <row r="75">
      <c r="A75" s="10" t="inlineStr">
        <is>
          <t>INV-71237</t>
        </is>
      </c>
      <c r="B75" s="10" t="inlineStr">
        <is>
          <t>2026-06-17</t>
        </is>
      </c>
      <c r="C75" s="10" t="inlineStr">
        <is>
          <t>C1349</t>
        </is>
      </c>
      <c r="D75" s="10" t="inlineStr">
        <is>
          <t>champion</t>
        </is>
      </c>
      <c r="E75" s="10" t="inlineStr">
        <is>
          <t>tiktok shop</t>
        </is>
      </c>
      <c r="F75" s="10" t="inlineStr">
        <is>
          <t>Jabodetabek</t>
        </is>
      </c>
      <c r="G75" s="10" t="inlineStr">
        <is>
          <t>Makanan</t>
        </is>
      </c>
      <c r="H75" s="10" t="inlineStr">
        <is>
          <t>Granola 500g</t>
        </is>
      </c>
      <c r="I75" s="10" t="n">
        <v>2</v>
      </c>
      <c r="J75" s="10" t="n">
        <v>92000</v>
      </c>
      <c r="K75" s="10" t="n">
        <v>184000</v>
      </c>
    </row>
    <row r="76">
      <c r="A76" s="10" t="inlineStr">
        <is>
          <t>INV-71400</t>
        </is>
      </c>
      <c r="B76" s="10" t="inlineStr">
        <is>
          <t>2025-10-24</t>
        </is>
      </c>
      <c r="C76" s="10" t="inlineStr">
        <is>
          <t>C1386</t>
        </is>
      </c>
      <c r="D76" s="10" t="inlineStr">
        <is>
          <t>loyal</t>
        </is>
      </c>
      <c r="E76" s="10" t="inlineStr">
        <is>
          <t>Shopee</t>
        </is>
      </c>
      <c r="F76" s="10" t="inlineStr">
        <is>
          <t>Jabodetabek</t>
        </is>
      </c>
      <c r="G76" s="10" t="inlineStr">
        <is>
          <t>Rumah Tangga</t>
        </is>
      </c>
      <c r="H76" s="10" t="inlineStr">
        <is>
          <t>Organizer Laci</t>
        </is>
      </c>
      <c r="I76" s="10" t="n">
        <v>4</v>
      </c>
      <c r="J76" s="10" t="n">
        <v>78000</v>
      </c>
      <c r="K76" s="10" t="n">
        <v>312000</v>
      </c>
    </row>
    <row r="77">
      <c r="A77" s="10" t="inlineStr">
        <is>
          <t>INV-71115</t>
        </is>
      </c>
      <c r="B77" s="10" t="inlineStr">
        <is>
          <t>2025-01-12</t>
        </is>
      </c>
      <c r="C77" s="10" t="inlineStr">
        <is>
          <t>C1312</t>
        </is>
      </c>
      <c r="D77" s="10" t="inlineStr">
        <is>
          <t>champion</t>
        </is>
      </c>
      <c r="E77" s="10" t="inlineStr">
        <is>
          <t>Shopee</t>
        </is>
      </c>
      <c r="F77" s="10" t="inlineStr">
        <is>
          <t>Jawa Tengah</t>
        </is>
      </c>
      <c r="G77" s="10" t="inlineStr">
        <is>
          <t>Makanan</t>
        </is>
      </c>
      <c r="H77" s="10" t="inlineStr">
        <is>
          <t>Granola 500g</t>
        </is>
      </c>
      <c r="I77" s="10" t="n">
        <v>2</v>
      </c>
      <c r="J77" s="10" t="n">
        <v>92000</v>
      </c>
      <c r="K77" s="10" t="n">
        <v>184000</v>
      </c>
    </row>
    <row r="78">
      <c r="A78" s="10" t="inlineStr">
        <is>
          <t>INV-70680</t>
        </is>
      </c>
      <c r="B78" s="10" t="inlineStr">
        <is>
          <t>2025-01-16</t>
        </is>
      </c>
      <c r="C78" s="10" t="inlineStr">
        <is>
          <t>C1186</t>
        </is>
      </c>
      <c r="D78" s="10" t="inlineStr">
        <is>
          <t>loyal</t>
        </is>
      </c>
      <c r="E78" s="10" t="inlineStr">
        <is>
          <t>Shopee</t>
        </is>
      </c>
      <c r="F78" s="10" t="inlineStr">
        <is>
          <t>Sumatera</t>
        </is>
      </c>
      <c r="G78" s="10" t="inlineStr">
        <is>
          <t>rumah tangga</t>
        </is>
      </c>
      <c r="H78" s="10" t="inlineStr">
        <is>
          <t>Set Wadah Kedap</t>
        </is>
      </c>
      <c r="I78" s="10" t="n">
        <v>2</v>
      </c>
      <c r="J78" s="10" t="n">
        <v>135000</v>
      </c>
      <c r="K78" s="10" t="n">
        <v>270000</v>
      </c>
    </row>
    <row r="79">
      <c r="A79" s="10" t="inlineStr">
        <is>
          <t>INV-71559</t>
        </is>
      </c>
      <c r="B79" s="10" t="inlineStr">
        <is>
          <t>2025-12-15</t>
        </is>
      </c>
      <c r="C79" s="10" t="inlineStr">
        <is>
          <t>C1428</t>
        </is>
      </c>
      <c r="D79" s="10" t="inlineStr">
        <is>
          <t>loyal</t>
        </is>
      </c>
      <c r="E79" s="10" t="inlineStr">
        <is>
          <t>Shopee</t>
        </is>
      </c>
      <c r="F79" s="10" t="inlineStr">
        <is>
          <t>Jawa Tengah</t>
        </is>
      </c>
      <c r="G79" s="10" t="inlineStr">
        <is>
          <t>Elektronik</t>
        </is>
      </c>
      <c r="H79" s="10" t="inlineStr">
        <is>
          <t>Earbuds TWS</t>
        </is>
      </c>
      <c r="I79" s="10" t="n">
        <v>1</v>
      </c>
      <c r="J79" s="10" t="n">
        <v>265000</v>
      </c>
      <c r="K79" s="10" t="n">
        <v>265000</v>
      </c>
    </row>
    <row r="80">
      <c r="A80" s="10" t="inlineStr">
        <is>
          <t>INV-70231</t>
        </is>
      </c>
      <c r="B80" s="10" t="inlineStr">
        <is>
          <t>2025-09-13</t>
        </is>
      </c>
      <c r="C80" s="10" t="inlineStr">
        <is>
          <t>C1065</t>
        </is>
      </c>
      <c r="D80" s="10" t="inlineStr">
        <is>
          <t>occasional</t>
        </is>
      </c>
      <c r="E80" s="10" t="inlineStr">
        <is>
          <t>TikTok Shop</t>
        </is>
      </c>
      <c r="F80" s="10" t="inlineStr">
        <is>
          <t>Jabodetabek</t>
        </is>
      </c>
      <c r="G80" s="10" t="inlineStr">
        <is>
          <t>kecantikan</t>
        </is>
      </c>
      <c r="H80" s="10" t="inlineStr">
        <is>
          <t>Masker Wajah (5s)</t>
        </is>
      </c>
      <c r="I80" s="10" t="n">
        <v>4</v>
      </c>
      <c r="J80" s="10" t="n">
        <v>55000</v>
      </c>
      <c r="K80" s="10" t="n">
        <v>220000</v>
      </c>
    </row>
    <row r="81">
      <c r="A81" s="10" t="inlineStr">
        <is>
          <t>INV-70332</t>
        </is>
      </c>
      <c r="B81" s="10" t="inlineStr">
        <is>
          <t>2026-05-06</t>
        </is>
      </c>
      <c r="C81" s="10" t="inlineStr">
        <is>
          <t>C1090</t>
        </is>
      </c>
      <c r="D81" s="10" t="inlineStr">
        <is>
          <t>champion</t>
        </is>
      </c>
      <c r="E81" s="10" t="inlineStr">
        <is>
          <t>Shopee</t>
        </is>
      </c>
      <c r="F81" s="10" t="inlineStr">
        <is>
          <t>Sumatera</t>
        </is>
      </c>
      <c r="G81" s="10" t="inlineStr">
        <is>
          <t>Elektronik</t>
        </is>
      </c>
      <c r="H81" s="10" t="inlineStr">
        <is>
          <t>Smartwatch</t>
        </is>
      </c>
      <c r="I81" s="10" t="n">
        <v>1</v>
      </c>
      <c r="J81" s="10" t="n">
        <v>450000</v>
      </c>
      <c r="K81" s="10" t="n">
        <v>450000</v>
      </c>
    </row>
    <row r="82">
      <c r="A82" s="10" t="inlineStr">
        <is>
          <t>INV-70340</t>
        </is>
      </c>
      <c r="B82" s="10" t="inlineStr">
        <is>
          <t>2026-02-05</t>
        </is>
      </c>
      <c r="C82" s="10" t="inlineStr">
        <is>
          <t>C1093</t>
        </is>
      </c>
      <c r="D82" s="10" t="inlineStr">
        <is>
          <t>champion</t>
        </is>
      </c>
      <c r="E82" s="10" t="inlineStr">
        <is>
          <t>Tokopedia</t>
        </is>
      </c>
      <c r="F82" s="10" t="inlineStr">
        <is>
          <t>Jabodetabek</t>
        </is>
      </c>
      <c r="G82" s="10" t="inlineStr">
        <is>
          <t>Elektronik</t>
        </is>
      </c>
      <c r="H82" s="10" t="inlineStr">
        <is>
          <t>Keyboard Mekanik</t>
        </is>
      </c>
      <c r="I82" s="10" t="n">
        <v>2</v>
      </c>
      <c r="J82" s="10" t="n">
        <v>380000</v>
      </c>
      <c r="K82" s="10" t="n">
        <v>760000</v>
      </c>
    </row>
    <row r="83">
      <c r="A83" s="10" t="inlineStr">
        <is>
          <t>INV-70735</t>
        </is>
      </c>
      <c r="B83" s="10" t="inlineStr">
        <is>
          <t>04 Apr 2025</t>
        </is>
      </c>
      <c r="C83" s="10" t="inlineStr">
        <is>
          <t>C1207</t>
        </is>
      </c>
      <c r="D83" s="10" t="inlineStr">
        <is>
          <t>loyal</t>
        </is>
      </c>
      <c r="E83" s="10" t="inlineStr">
        <is>
          <t>Shopee</t>
        </is>
      </c>
      <c r="F83" s="10" t="inlineStr">
        <is>
          <t>Jawa Barat</t>
        </is>
      </c>
      <c r="G83" s="10" t="inlineStr">
        <is>
          <t>Fashion</t>
        </is>
      </c>
      <c r="H83" s="10" t="inlineStr">
        <is>
          <t>Dress Casual</t>
        </is>
      </c>
      <c r="I83" s="10" t="n">
        <v>2</v>
      </c>
      <c r="J83" s="10" t="n">
        <v>225000</v>
      </c>
      <c r="K83" s="10" t="n">
        <v>450000</v>
      </c>
    </row>
    <row r="84">
      <c r="A84" s="10" t="inlineStr">
        <is>
          <t>INV-71292</t>
        </is>
      </c>
      <c r="B84" s="10" t="inlineStr">
        <is>
          <t>2026-03-11</t>
        </is>
      </c>
      <c r="C84" s="10" t="inlineStr">
        <is>
          <t>C1359</t>
        </is>
      </c>
      <c r="D84" s="10" t="inlineStr">
        <is>
          <t>champion</t>
        </is>
      </c>
      <c r="E84" s="10" t="inlineStr">
        <is>
          <t>Offline Store</t>
        </is>
      </c>
      <c r="F84" s="10" t="inlineStr">
        <is>
          <t>Jawa Barat</t>
        </is>
      </c>
      <c r="G84" s="10" t="inlineStr">
        <is>
          <t>Makanan</t>
        </is>
      </c>
      <c r="H84" s="10" t="inlineStr">
        <is>
          <t>Granola 500g</t>
        </is>
      </c>
      <c r="I84" s="10" t="n">
        <v>4</v>
      </c>
      <c r="J84" s="10" t="n">
        <v>92000</v>
      </c>
      <c r="K84" s="10" t="n">
        <v>368000</v>
      </c>
    </row>
    <row r="85">
      <c r="A85" s="10" t="inlineStr">
        <is>
          <t>INV-70010</t>
        </is>
      </c>
      <c r="B85" s="10" t="inlineStr">
        <is>
          <t>2025-12-20</t>
        </is>
      </c>
      <c r="C85" s="10" t="inlineStr">
        <is>
          <t>C1002</t>
        </is>
      </c>
      <c r="D85" s="10" t="inlineStr">
        <is>
          <t>loyal</t>
        </is>
      </c>
      <c r="E85" s="10" t="inlineStr">
        <is>
          <t>Tokopedia</t>
        </is>
      </c>
      <c r="F85" s="10" t="inlineStr">
        <is>
          <t>Jabodetabek</t>
        </is>
      </c>
      <c r="G85" s="10" t="inlineStr">
        <is>
          <t>Rumah Tangga</t>
        </is>
      </c>
      <c r="H85" s="10" t="inlineStr">
        <is>
          <t>Set Wadah Kedap</t>
        </is>
      </c>
      <c r="I85" s="10" t="n">
        <v>2</v>
      </c>
      <c r="J85" s="10" t="n">
        <v>135000</v>
      </c>
      <c r="K85" s="10" t="inlineStr">
        <is>
          <t>Rp 270.000</t>
        </is>
      </c>
    </row>
    <row r="86">
      <c r="A86" s="10" t="inlineStr">
        <is>
          <t>INV-70433</t>
        </is>
      </c>
      <c r="B86" s="10" t="inlineStr">
        <is>
          <t>2025-04-24</t>
        </is>
      </c>
      <c r="C86" s="10" t="inlineStr">
        <is>
          <t>C1122</t>
        </is>
      </c>
      <c r="D86" s="10" t="inlineStr">
        <is>
          <t>loyal</t>
        </is>
      </c>
      <c r="E86" s="10" t="inlineStr">
        <is>
          <t xml:space="preserve">Tokopedia </t>
        </is>
      </c>
      <c r="F86" s="10" t="inlineStr">
        <is>
          <t>Lainnya</t>
        </is>
      </c>
      <c r="G86" s="10" t="inlineStr">
        <is>
          <t>Rumah Tangga</t>
        </is>
      </c>
      <c r="H86" s="10" t="inlineStr">
        <is>
          <t>Set Wadah Kedap</t>
        </is>
      </c>
      <c r="I86" s="10" t="n">
        <v>2</v>
      </c>
      <c r="J86" s="10" t="n">
        <v>135000</v>
      </c>
      <c r="K86" s="10" t="n">
        <v>270000</v>
      </c>
    </row>
    <row r="87">
      <c r="A87" s="10" t="inlineStr">
        <is>
          <t>INV-70076</t>
        </is>
      </c>
      <c r="B87" s="10" t="inlineStr">
        <is>
          <t>2025-08-12</t>
        </is>
      </c>
      <c r="C87" s="10" t="inlineStr">
        <is>
          <t>C1025</t>
        </is>
      </c>
      <c r="D87" s="10" t="inlineStr">
        <is>
          <t>loyal</t>
        </is>
      </c>
      <c r="E87" s="10" t="inlineStr">
        <is>
          <t>Tokopedia</t>
        </is>
      </c>
      <c r="F87" s="10" t="inlineStr">
        <is>
          <t>Jabodetabek</t>
        </is>
      </c>
      <c r="G87" s="10" t="inlineStr">
        <is>
          <t>Makanan</t>
        </is>
      </c>
      <c r="H87" s="10" t="inlineStr">
        <is>
          <t>Granola 500g</t>
        </is>
      </c>
      <c r="I87" s="10" t="n">
        <v>2</v>
      </c>
      <c r="J87" s="10" t="n">
        <v>92000</v>
      </c>
      <c r="K87" s="10" t="inlineStr">
        <is>
          <t>Rp 184.000</t>
        </is>
      </c>
    </row>
    <row r="88">
      <c r="A88" s="10" t="inlineStr">
        <is>
          <t>INV-71232</t>
        </is>
      </c>
      <c r="B88" s="10" t="inlineStr">
        <is>
          <t>2025-06-14</t>
        </is>
      </c>
      <c r="C88" s="10" t="inlineStr">
        <is>
          <t>C1349</t>
        </is>
      </c>
      <c r="D88" s="10" t="inlineStr">
        <is>
          <t>champion</t>
        </is>
      </c>
      <c r="E88" s="10" t="inlineStr">
        <is>
          <t>Offline Store</t>
        </is>
      </c>
      <c r="F88" s="10" t="inlineStr">
        <is>
          <t>Jabodetabek</t>
        </is>
      </c>
      <c r="G88" s="10" t="inlineStr">
        <is>
          <t>Kecantikan</t>
        </is>
      </c>
      <c r="H88" s="10" t="inlineStr">
        <is>
          <t>Masker Wajah (5s)</t>
        </is>
      </c>
      <c r="I88" s="10" t="n">
        <v>2</v>
      </c>
      <c r="J88" s="10" t="n">
        <v>55000</v>
      </c>
      <c r="K88" s="10" t="n">
        <v>110000</v>
      </c>
    </row>
    <row r="89">
      <c r="A89" s="10" t="inlineStr">
        <is>
          <t>INV-70526</t>
        </is>
      </c>
      <c r="B89" s="10" t="inlineStr">
        <is>
          <t>2026-03-08</t>
        </is>
      </c>
      <c r="C89" s="10" t="inlineStr">
        <is>
          <t>C1145</t>
        </is>
      </c>
      <c r="D89" s="10" t="inlineStr">
        <is>
          <t>occasional</t>
        </is>
      </c>
      <c r="E89" s="10" t="inlineStr">
        <is>
          <t xml:space="preserve">Offline store </t>
        </is>
      </c>
      <c r="F89" s="10" t="inlineStr">
        <is>
          <t>Sumatera</t>
        </is>
      </c>
      <c r="G89" s="10" t="inlineStr">
        <is>
          <t>Rumah Tangga</t>
        </is>
      </c>
      <c r="H89" s="10" t="inlineStr">
        <is>
          <t>Organizer Laci</t>
        </is>
      </c>
      <c r="I89" s="10" t="n">
        <v>1</v>
      </c>
      <c r="J89" s="10" t="n">
        <v>78000</v>
      </c>
      <c r="K89" s="10" t="n">
        <v>78000</v>
      </c>
    </row>
    <row r="90">
      <c r="A90" s="10" t="inlineStr">
        <is>
          <t>INV-70349</t>
        </is>
      </c>
      <c r="B90" s="10" t="inlineStr">
        <is>
          <t>14/11/2025</t>
        </is>
      </c>
      <c r="C90" s="10" t="inlineStr">
        <is>
          <t>C1094</t>
        </is>
      </c>
      <c r="D90" s="10" t="inlineStr">
        <is>
          <t>regular</t>
        </is>
      </c>
      <c r="E90" s="10" t="inlineStr">
        <is>
          <t>Shopee</t>
        </is>
      </c>
      <c r="F90" s="10" t="inlineStr">
        <is>
          <t>Jabodetabek</t>
        </is>
      </c>
      <c r="G90" s="10" t="inlineStr">
        <is>
          <t>Rumah Tangga</t>
        </is>
      </c>
      <c r="H90" s="10" t="inlineStr">
        <is>
          <t>Organizer Laci</t>
        </is>
      </c>
      <c r="I90" s="10" t="n">
        <v>2</v>
      </c>
      <c r="J90" s="10" t="n">
        <v>78000</v>
      </c>
      <c r="K90" s="10" t="n">
        <v>156000</v>
      </c>
    </row>
    <row r="91">
      <c r="A91" s="10" t="inlineStr">
        <is>
          <t>INV-71443</t>
        </is>
      </c>
      <c r="B91" s="10" t="inlineStr">
        <is>
          <t>06/11/2025</t>
        </is>
      </c>
      <c r="C91" s="10" t="inlineStr">
        <is>
          <t>C1398</t>
        </is>
      </c>
      <c r="D91" s="10" t="inlineStr">
        <is>
          <t>regular</t>
        </is>
      </c>
      <c r="E91" s="10" t="inlineStr">
        <is>
          <t>Tokopedia</t>
        </is>
      </c>
      <c r="F91" s="10" t="inlineStr">
        <is>
          <t>Jabodetabek</t>
        </is>
      </c>
      <c r="G91" s="10" t="inlineStr">
        <is>
          <t>Rumah Tangga</t>
        </is>
      </c>
      <c r="H91" s="10" t="inlineStr">
        <is>
          <t>Organizer Laci</t>
        </is>
      </c>
      <c r="I91" s="10" t="n">
        <v>1</v>
      </c>
      <c r="J91" s="10" t="n">
        <v>78000</v>
      </c>
      <c r="K91" s="10" t="n">
        <v>78000</v>
      </c>
    </row>
    <row r="92">
      <c r="A92" s="10" t="inlineStr">
        <is>
          <t>INV-70947</t>
        </is>
      </c>
      <c r="B92" s="10" t="inlineStr">
        <is>
          <t>2026-04-17</t>
        </is>
      </c>
      <c r="C92" s="10" t="inlineStr">
        <is>
          <t>C1268</t>
        </is>
      </c>
      <c r="D92" s="10" t="inlineStr">
        <is>
          <t>regular</t>
        </is>
      </c>
      <c r="E92" s="10" t="inlineStr">
        <is>
          <t xml:space="preserve"> tokopedia</t>
        </is>
      </c>
      <c r="F92" s="10" t="inlineStr">
        <is>
          <t>Jabodetabek</t>
        </is>
      </c>
      <c r="G92" s="10" t="inlineStr">
        <is>
          <t>Elektronik</t>
        </is>
      </c>
      <c r="H92" s="10" t="inlineStr">
        <is>
          <t>Webcam HD</t>
        </is>
      </c>
      <c r="I92" s="10" t="n">
        <v>1</v>
      </c>
      <c r="J92" s="10" t="n">
        <v>210000</v>
      </c>
      <c r="K92" s="10" t="inlineStr">
        <is>
          <t>Rp 210.000</t>
        </is>
      </c>
    </row>
    <row r="93">
      <c r="A93" s="10" t="inlineStr">
        <is>
          <t>INV-70984</t>
        </is>
      </c>
      <c r="B93" s="10" t="inlineStr">
        <is>
          <t>2025-10-24</t>
        </is>
      </c>
      <c r="C93" s="10" t="inlineStr">
        <is>
          <t>C1283</t>
        </is>
      </c>
      <c r="D93" s="10" t="inlineStr">
        <is>
          <t>loyal</t>
        </is>
      </c>
      <c r="E93" s="10" t="inlineStr">
        <is>
          <t>Offline Store</t>
        </is>
      </c>
      <c r="F93" s="10" t="inlineStr">
        <is>
          <t>Jabodetabek</t>
        </is>
      </c>
      <c r="G93" s="10" t="inlineStr">
        <is>
          <t>Fashion</t>
        </is>
      </c>
      <c r="H93" s="10" t="inlineStr">
        <is>
          <t>Jaket Denim</t>
        </is>
      </c>
      <c r="I93" s="10" t="n">
        <v>3</v>
      </c>
      <c r="J93" s="10" t="n">
        <v>320000</v>
      </c>
      <c r="K93" s="10" t="inlineStr">
        <is>
          <t>Rp 960.000</t>
        </is>
      </c>
    </row>
    <row r="94">
      <c r="A94" s="10" t="inlineStr">
        <is>
          <t>INV-70934</t>
        </is>
      </c>
      <c r="B94" s="10" t="inlineStr">
        <is>
          <t>2025-05-03</t>
        </is>
      </c>
      <c r="C94" s="10" t="inlineStr">
        <is>
          <t>C1262</t>
        </is>
      </c>
      <c r="D94" s="10" t="inlineStr">
        <is>
          <t>regular</t>
        </is>
      </c>
      <c r="E94" s="10" t="inlineStr">
        <is>
          <t>TIKTOK SHOP</t>
        </is>
      </c>
      <c r="F94" s="10" t="inlineStr">
        <is>
          <t>Jawa Barat</t>
        </is>
      </c>
      <c r="G94" s="10" t="inlineStr">
        <is>
          <t>elektronik</t>
        </is>
      </c>
      <c r="H94" s="10" t="inlineStr">
        <is>
          <t>Power Bank 20K</t>
        </is>
      </c>
      <c r="I94" s="10" t="n">
        <v>1</v>
      </c>
      <c r="J94" s="10" t="n">
        <v>185000</v>
      </c>
      <c r="K94" s="10" t="n">
        <v>185000</v>
      </c>
    </row>
    <row r="95">
      <c r="A95" s="10" t="inlineStr">
        <is>
          <t>INV-70317</t>
        </is>
      </c>
      <c r="B95" s="10" t="inlineStr">
        <is>
          <t>2025-03-12</t>
        </is>
      </c>
      <c r="C95" s="10" t="inlineStr">
        <is>
          <t>C1088</t>
        </is>
      </c>
      <c r="D95" s="10" t="inlineStr">
        <is>
          <t>champion</t>
        </is>
      </c>
      <c r="E95" s="10" t="inlineStr">
        <is>
          <t>Tokopedia</t>
        </is>
      </c>
      <c r="F95" s="10" t="inlineStr">
        <is>
          <t>Jabodetabek</t>
        </is>
      </c>
      <c r="G95" s="10" t="inlineStr">
        <is>
          <t>elektronik</t>
        </is>
      </c>
      <c r="H95" s="10" t="inlineStr">
        <is>
          <t>Webcam HD</t>
        </is>
      </c>
      <c r="I95" s="10" t="n">
        <v>1</v>
      </c>
      <c r="J95" s="10" t="n">
        <v>210000</v>
      </c>
      <c r="K95" s="10" t="n">
        <v>210000</v>
      </c>
    </row>
    <row r="96">
      <c r="A96" s="10" t="inlineStr">
        <is>
          <t>INV-70241</t>
        </is>
      </c>
      <c r="B96" s="10" t="inlineStr">
        <is>
          <t>2026-05-15</t>
        </is>
      </c>
      <c r="C96" s="10" t="inlineStr">
        <is>
          <t>C1069</t>
        </is>
      </c>
      <c r="D96" s="10" t="inlineStr">
        <is>
          <t>loyal</t>
        </is>
      </c>
      <c r="E96" s="10" t="inlineStr">
        <is>
          <t>shopee</t>
        </is>
      </c>
      <c r="F96" s="10" t="inlineStr">
        <is>
          <t>Lainnya</t>
        </is>
      </c>
      <c r="G96" s="10" t="inlineStr">
        <is>
          <t>Elektronik</t>
        </is>
      </c>
      <c r="H96" s="10" t="inlineStr">
        <is>
          <t>Webcam HD</t>
        </is>
      </c>
      <c r="I96" s="10" t="n">
        <v>4</v>
      </c>
      <c r="J96" s="10" t="n">
        <v>210000</v>
      </c>
      <c r="K96" s="10" t="n">
        <v>840000</v>
      </c>
    </row>
    <row r="97">
      <c r="A97" s="10" t="inlineStr">
        <is>
          <t>INV-70447</t>
        </is>
      </c>
      <c r="B97" s="10" t="inlineStr">
        <is>
          <t>19 Nov 2025</t>
        </is>
      </c>
      <c r="C97" s="10" t="inlineStr">
        <is>
          <t>C1126</t>
        </is>
      </c>
      <c r="D97" s="10" t="inlineStr">
        <is>
          <t>occasional</t>
        </is>
      </c>
      <c r="E97" s="10" t="inlineStr">
        <is>
          <t>Tokopedia</t>
        </is>
      </c>
      <c r="F97" s="10" t="inlineStr">
        <is>
          <t>Jawa Barat</t>
        </is>
      </c>
      <c r="G97" s="10" t="inlineStr">
        <is>
          <t>elektronik</t>
        </is>
      </c>
      <c r="H97" s="10" t="inlineStr">
        <is>
          <t>Keyboard Mekanik</t>
        </is>
      </c>
      <c r="I97" s="10" t="n">
        <v>4</v>
      </c>
      <c r="J97" s="10" t="n">
        <v>380000</v>
      </c>
      <c r="K97" s="10" t="n">
        <v>1520000</v>
      </c>
    </row>
    <row r="98">
      <c r="A98" s="10" t="inlineStr">
        <is>
          <t>INV-70985</t>
        </is>
      </c>
      <c r="B98" s="10" t="inlineStr">
        <is>
          <t>2025-02-11</t>
        </is>
      </c>
      <c r="C98" s="10" t="inlineStr">
        <is>
          <t>C1283</t>
        </is>
      </c>
      <c r="D98" s="10" t="inlineStr">
        <is>
          <t>loyal</t>
        </is>
      </c>
      <c r="E98" s="10" t="inlineStr">
        <is>
          <t xml:space="preserve">Shopee </t>
        </is>
      </c>
      <c r="F98" s="10" t="inlineStr">
        <is>
          <t>Jawa Tengah</t>
        </is>
      </c>
      <c r="G98" s="10" t="inlineStr">
        <is>
          <t>rumah tangga</t>
        </is>
      </c>
      <c r="H98" s="10" t="inlineStr">
        <is>
          <t>Organizer Laci</t>
        </is>
      </c>
      <c r="I98" s="10" t="n">
        <v>1</v>
      </c>
      <c r="J98" s="10" t="n">
        <v>78000</v>
      </c>
      <c r="K98" s="10" t="n">
        <v>78000</v>
      </c>
    </row>
    <row r="99">
      <c r="A99" s="10" t="inlineStr">
        <is>
          <t>INV-71082</t>
        </is>
      </c>
      <c r="B99" s="10" t="inlineStr">
        <is>
          <t>2026-01-13</t>
        </is>
      </c>
      <c r="C99" s="10" t="inlineStr">
        <is>
          <t>C1305</t>
        </is>
      </c>
      <c r="D99" s="10" t="inlineStr">
        <is>
          <t>champion</t>
        </is>
      </c>
      <c r="E99" s="10" t="inlineStr">
        <is>
          <t xml:space="preserve">Shopee </t>
        </is>
      </c>
      <c r="F99" s="10" t="inlineStr">
        <is>
          <t>Sumatera</t>
        </is>
      </c>
      <c r="G99" s="10" t="inlineStr">
        <is>
          <t>Kecantikan</t>
        </is>
      </c>
      <c r="H99" s="10" t="inlineStr">
        <is>
          <t>Masker Wajah (5s)</t>
        </is>
      </c>
      <c r="I99" s="10" t="n">
        <v>4</v>
      </c>
      <c r="J99" s="10" t="n">
        <v>55000</v>
      </c>
      <c r="K99" s="10" t="n">
        <v>220000</v>
      </c>
    </row>
    <row r="100">
      <c r="A100" s="10" t="inlineStr">
        <is>
          <t>INV-70860</t>
        </is>
      </c>
      <c r="B100" s="10" t="inlineStr">
        <is>
          <t>10 Apr 2025</t>
        </is>
      </c>
      <c r="C100" s="10" t="inlineStr">
        <is>
          <t>C1242</t>
        </is>
      </c>
      <c r="D100" s="10" t="inlineStr">
        <is>
          <t>regular</t>
        </is>
      </c>
      <c r="E100" s="10" t="inlineStr">
        <is>
          <t>Tokopedia</t>
        </is>
      </c>
      <c r="F100" s="10" t="inlineStr">
        <is>
          <t>Sumatera</t>
        </is>
      </c>
      <c r="G100" s="10" t="inlineStr">
        <is>
          <t>Rumah Tangga</t>
        </is>
      </c>
      <c r="H100" s="10" t="inlineStr">
        <is>
          <t>Karpet Bulu</t>
        </is>
      </c>
      <c r="I100" s="10" t="n">
        <v>1</v>
      </c>
      <c r="J100" s="10" t="n">
        <v>240000</v>
      </c>
      <c r="K100" s="10" t="n">
        <v>240000</v>
      </c>
    </row>
    <row r="101">
      <c r="A101" s="10" t="inlineStr">
        <is>
          <t>INV-71517</t>
        </is>
      </c>
      <c r="B101" s="10" t="inlineStr">
        <is>
          <t>2025-03-10</t>
        </is>
      </c>
      <c r="C101" s="10" t="inlineStr">
        <is>
          <t>C1417</t>
        </is>
      </c>
      <c r="D101" s="10" t="inlineStr">
        <is>
          <t>occasional</t>
        </is>
      </c>
      <c r="E101" s="10" t="inlineStr">
        <is>
          <t>Offline Store</t>
        </is>
      </c>
      <c r="F101" s="10" t="inlineStr">
        <is>
          <t>Jawa Barat</t>
        </is>
      </c>
      <c r="G101" s="10" t="inlineStr">
        <is>
          <t>rumah tangga</t>
        </is>
      </c>
      <c r="H101" s="10" t="inlineStr">
        <is>
          <t>Set Wadah Kedap</t>
        </is>
      </c>
      <c r="I101" s="10" t="n">
        <v>1</v>
      </c>
      <c r="J101" s="10" t="n">
        <v>135000</v>
      </c>
      <c r="K101" s="10" t="n">
        <v>135000</v>
      </c>
    </row>
    <row r="102">
      <c r="A102" s="10" t="inlineStr">
        <is>
          <t>INV-70305</t>
        </is>
      </c>
      <c r="B102" s="10" t="inlineStr">
        <is>
          <t>2025-12-22</t>
        </is>
      </c>
      <c r="C102" s="10" t="inlineStr">
        <is>
          <t>C1085</t>
        </is>
      </c>
      <c r="D102" s="10" t="inlineStr">
        <is>
          <t>occasional</t>
        </is>
      </c>
      <c r="E102" s="10" t="inlineStr">
        <is>
          <t>Shopee</t>
        </is>
      </c>
      <c r="F102" s="10" t="inlineStr">
        <is>
          <t>Jabodetabek</t>
        </is>
      </c>
      <c r="G102" s="10" t="inlineStr">
        <is>
          <t>Rumah Tangga</t>
        </is>
      </c>
      <c r="H102" s="10" t="inlineStr">
        <is>
          <t>Organizer Laci</t>
        </is>
      </c>
      <c r="I102" s="10" t="n">
        <v>4</v>
      </c>
      <c r="J102" s="10" t="n">
        <v>78000</v>
      </c>
      <c r="K102" s="10" t="n">
        <v>312000</v>
      </c>
    </row>
    <row r="103">
      <c r="A103" s="10" t="inlineStr">
        <is>
          <t>INV-71068</t>
        </is>
      </c>
      <c r="B103" s="10" t="inlineStr">
        <is>
          <t>2026-06-21</t>
        </is>
      </c>
      <c r="C103" s="10" t="inlineStr">
        <is>
          <t>C1301</t>
        </is>
      </c>
      <c r="D103" s="10" t="inlineStr">
        <is>
          <t>regular</t>
        </is>
      </c>
      <c r="E103" s="10" t="inlineStr">
        <is>
          <t>Tiktok Shop</t>
        </is>
      </c>
      <c r="F103" s="10" t="inlineStr">
        <is>
          <t>Jawa Barat</t>
        </is>
      </c>
      <c r="G103" s="10" t="inlineStr">
        <is>
          <t>Elektronik</t>
        </is>
      </c>
      <c r="H103" s="10" t="inlineStr">
        <is>
          <t>Power Bank 20K</t>
        </is>
      </c>
      <c r="I103" s="10" t="n">
        <v>2</v>
      </c>
      <c r="J103" s="10" t="n">
        <v>185000</v>
      </c>
      <c r="K103" s="10" t="n">
        <v>370000</v>
      </c>
    </row>
    <row r="104">
      <c r="A104" s="10" t="inlineStr">
        <is>
          <t>INV-71230</t>
        </is>
      </c>
      <c r="B104" s="10" t="inlineStr">
        <is>
          <t>2026-04-26</t>
        </is>
      </c>
      <c r="C104" s="10" t="inlineStr">
        <is>
          <t>C1349</t>
        </is>
      </c>
      <c r="D104" s="10" t="inlineStr">
        <is>
          <t>champion</t>
        </is>
      </c>
      <c r="E104" s="10" t="inlineStr">
        <is>
          <t xml:space="preserve">Offline store </t>
        </is>
      </c>
      <c r="F104" s="10" t="inlineStr">
        <is>
          <t>Jabodetabek</t>
        </is>
      </c>
      <c r="G104" s="10" t="inlineStr">
        <is>
          <t>Rumah Tangga</t>
        </is>
      </c>
      <c r="H104" s="10" t="inlineStr">
        <is>
          <t>Set Wadah Kedap</t>
        </is>
      </c>
      <c r="I104" s="10" t="n">
        <v>1</v>
      </c>
      <c r="J104" s="10" t="n">
        <v>135000</v>
      </c>
      <c r="K104" s="10" t="n">
        <v>135000</v>
      </c>
    </row>
    <row r="105">
      <c r="A105" s="10" t="inlineStr">
        <is>
          <t>INV-70965</t>
        </is>
      </c>
      <c r="B105" s="10" t="inlineStr">
        <is>
          <t>2026-01-02</t>
        </is>
      </c>
      <c r="C105" s="10" t="inlineStr">
        <is>
          <t>C1274</t>
        </is>
      </c>
      <c r="D105" s="10" t="inlineStr">
        <is>
          <t>regular</t>
        </is>
      </c>
      <c r="E105" s="10" t="inlineStr">
        <is>
          <t xml:space="preserve"> tokopedia</t>
        </is>
      </c>
      <c r="F105" s="10" t="inlineStr">
        <is>
          <t>Sumatera</t>
        </is>
      </c>
      <c r="G105" s="10" t="inlineStr">
        <is>
          <t>elektronik</t>
        </is>
      </c>
      <c r="H105" s="10" t="inlineStr">
        <is>
          <t>Smartwatch</t>
        </is>
      </c>
      <c r="I105" s="10" t="n">
        <v>4</v>
      </c>
      <c r="J105" s="10" t="n">
        <v>450000</v>
      </c>
      <c r="K105" s="10" t="inlineStr">
        <is>
          <t>Rp 1.800.000</t>
        </is>
      </c>
    </row>
    <row r="106">
      <c r="A106" s="10" t="inlineStr">
        <is>
          <t>INV-71347</t>
        </is>
      </c>
      <c r="B106" s="10" t="inlineStr">
        <is>
          <t>2026-05-21</t>
        </is>
      </c>
      <c r="C106" s="10" t="inlineStr">
        <is>
          <t>C1371</t>
        </is>
      </c>
      <c r="D106" s="10" t="inlineStr">
        <is>
          <t>regular</t>
        </is>
      </c>
      <c r="E106" s="10" t="inlineStr">
        <is>
          <t>TikTok Shop</t>
        </is>
      </c>
      <c r="F106" s="10" t="inlineStr">
        <is>
          <t>Jawa Timur</t>
        </is>
      </c>
      <c r="G106" s="10" t="inlineStr">
        <is>
          <t>Elektronik</t>
        </is>
      </c>
      <c r="H106" s="10" t="inlineStr">
        <is>
          <t>Webcam HD</t>
        </is>
      </c>
      <c r="I106" s="10" t="n">
        <v>2</v>
      </c>
      <c r="J106" s="10" t="n">
        <v>210000</v>
      </c>
      <c r="K106" s="10" t="n">
        <v>420000</v>
      </c>
    </row>
    <row r="107">
      <c r="A107" s="10" t="inlineStr">
        <is>
          <t>INV-70642</t>
        </is>
      </c>
      <c r="B107" s="10" t="inlineStr">
        <is>
          <t>2026-06-01</t>
        </is>
      </c>
      <c r="C107" s="10" t="inlineStr">
        <is>
          <t>C1174</t>
        </is>
      </c>
      <c r="D107" s="10" t="inlineStr">
        <is>
          <t>loyal</t>
        </is>
      </c>
      <c r="E107" s="10" t="inlineStr">
        <is>
          <t>TikTok Shop</t>
        </is>
      </c>
      <c r="F107" s="10" t="inlineStr">
        <is>
          <t>Jabodetabek</t>
        </is>
      </c>
      <c r="G107" s="10" t="inlineStr">
        <is>
          <t>Rumah Tangga</t>
        </is>
      </c>
      <c r="H107" s="10" t="inlineStr">
        <is>
          <t>Organizer Laci</t>
        </is>
      </c>
      <c r="I107" s="10" t="n">
        <v>1</v>
      </c>
      <c r="J107" s="10" t="n">
        <v>78000</v>
      </c>
      <c r="K107" s="10" t="n">
        <v>78000</v>
      </c>
    </row>
    <row r="108">
      <c r="A108" s="10" t="inlineStr">
        <is>
          <t>INV-71320</t>
        </is>
      </c>
      <c r="B108" s="10" t="inlineStr">
        <is>
          <t>2025-11-26</t>
        </is>
      </c>
      <c r="C108" s="10" t="inlineStr">
        <is>
          <t>C1364</t>
        </is>
      </c>
      <c r="D108" s="10" t="inlineStr">
        <is>
          <t>champion</t>
        </is>
      </c>
      <c r="E108" s="10" t="inlineStr">
        <is>
          <t>Offline Store</t>
        </is>
      </c>
      <c r="F108" s="10" t="inlineStr">
        <is>
          <t>Jawa Timur</t>
        </is>
      </c>
      <c r="G108" s="10" t="inlineStr">
        <is>
          <t>Rumah Tangga</t>
        </is>
      </c>
      <c r="H108" s="10" t="inlineStr">
        <is>
          <t>Set Wadah Kedap</t>
        </is>
      </c>
      <c r="I108" s="10" t="n">
        <v>1</v>
      </c>
      <c r="J108" s="10" t="n">
        <v>135000</v>
      </c>
      <c r="K108" s="10" t="n">
        <v>135000</v>
      </c>
    </row>
    <row r="109">
      <c r="A109" s="10" t="inlineStr">
        <is>
          <t>INV-70544</t>
        </is>
      </c>
      <c r="B109" s="10" t="inlineStr">
        <is>
          <t>21 Jul 2025</t>
        </is>
      </c>
      <c r="C109" s="10" t="inlineStr">
        <is>
          <t>C1150</t>
        </is>
      </c>
      <c r="D109" s="10" t="inlineStr">
        <is>
          <t>champion</t>
        </is>
      </c>
      <c r="E109" s="10" t="inlineStr">
        <is>
          <t>TikTok Shop</t>
        </is>
      </c>
      <c r="F109" s="10" t="inlineStr">
        <is>
          <t>Jabodetabek</t>
        </is>
      </c>
      <c r="G109" s="10" t="inlineStr">
        <is>
          <t>Rumah Tangga</t>
        </is>
      </c>
      <c r="H109" s="10" t="inlineStr">
        <is>
          <t>Organizer Laci</t>
        </is>
      </c>
      <c r="I109" s="10" t="n">
        <v>2</v>
      </c>
      <c r="J109" s="10" t="n">
        <v>78000</v>
      </c>
      <c r="K109" s="10" t="n">
        <v>156000</v>
      </c>
    </row>
    <row r="110">
      <c r="A110" s="10" t="inlineStr">
        <is>
          <t>INV-70252</t>
        </is>
      </c>
      <c r="B110" s="10" t="inlineStr">
        <is>
          <t>15 Feb 2026</t>
        </is>
      </c>
      <c r="C110" s="10" t="inlineStr">
        <is>
          <t>C1072</t>
        </is>
      </c>
      <c r="D110" s="10" t="inlineStr">
        <is>
          <t>champion</t>
        </is>
      </c>
      <c r="E110" s="10" t="inlineStr">
        <is>
          <t>TikTok Shop</t>
        </is>
      </c>
      <c r="F110" s="10" t="inlineStr">
        <is>
          <t>Jawa Timur</t>
        </is>
      </c>
      <c r="G110" s="10" t="inlineStr">
        <is>
          <t>Rumah Tangga</t>
        </is>
      </c>
      <c r="H110" s="10" t="inlineStr">
        <is>
          <t>Set Wadah Kedap</t>
        </is>
      </c>
      <c r="I110" s="10" t="n">
        <v>1</v>
      </c>
      <c r="J110" s="10" t="n">
        <v>135000</v>
      </c>
      <c r="K110" s="10" t="n">
        <v>135000</v>
      </c>
    </row>
    <row r="111">
      <c r="A111" s="10" t="inlineStr">
        <is>
          <t>INV-70741</t>
        </is>
      </c>
      <c r="B111" s="10" t="inlineStr">
        <is>
          <t>2025-08-01</t>
        </is>
      </c>
      <c r="C111" s="10" t="inlineStr">
        <is>
          <t>C1207</t>
        </is>
      </c>
      <c r="D111" s="10" t="inlineStr">
        <is>
          <t>loyal</t>
        </is>
      </c>
      <c r="E111" s="10" t="inlineStr">
        <is>
          <t>Shopee</t>
        </is>
      </c>
      <c r="F111" s="10" t="inlineStr">
        <is>
          <t>Jawa Tengah</t>
        </is>
      </c>
      <c r="G111" s="10" t="inlineStr">
        <is>
          <t>Rumah Tangga</t>
        </is>
      </c>
      <c r="H111" s="10" t="inlineStr">
        <is>
          <t>Diffuser Aroma</t>
        </is>
      </c>
      <c r="I111" s="10" t="n">
        <v>1</v>
      </c>
      <c r="J111" s="10" t="n">
        <v>195000</v>
      </c>
      <c r="K111" s="10" t="n">
        <v>195000</v>
      </c>
    </row>
    <row r="112">
      <c r="A112" s="10" t="inlineStr">
        <is>
          <t>INV-70327</t>
        </is>
      </c>
      <c r="B112" s="10" t="inlineStr">
        <is>
          <t>25 May 2026</t>
        </is>
      </c>
      <c r="C112" s="10" t="inlineStr">
        <is>
          <t>C1090</t>
        </is>
      </c>
      <c r="D112" s="10" t="inlineStr">
        <is>
          <t>champion</t>
        </is>
      </c>
      <c r="E112" s="10" t="inlineStr">
        <is>
          <t>TikTok Shop</t>
        </is>
      </c>
      <c r="F112" s="10" t="inlineStr">
        <is>
          <t>Jabodetabek</t>
        </is>
      </c>
      <c r="G112" s="10" t="inlineStr">
        <is>
          <t>Fashion</t>
        </is>
      </c>
      <c r="H112" s="10" t="inlineStr">
        <is>
          <t>Dress Casual</t>
        </is>
      </c>
      <c r="I112" s="10" t="n">
        <v>3</v>
      </c>
      <c r="J112" s="10" t="n">
        <v>225000</v>
      </c>
      <c r="K112" s="10" t="n">
        <v>675000</v>
      </c>
    </row>
    <row r="113">
      <c r="A113" s="10" t="inlineStr">
        <is>
          <t>INV-71253</t>
        </is>
      </c>
      <c r="B113" s="10" t="inlineStr">
        <is>
          <t>2025-11-22</t>
        </is>
      </c>
      <c r="C113" s="10" t="inlineStr">
        <is>
          <t>C1352</t>
        </is>
      </c>
      <c r="D113" s="10" t="inlineStr">
        <is>
          <t>loyal</t>
        </is>
      </c>
      <c r="E113" s="10" t="inlineStr">
        <is>
          <t>Shopee</t>
        </is>
      </c>
      <c r="F113" s="10" t="inlineStr">
        <is>
          <t>Jabodetabek</t>
        </is>
      </c>
      <c r="G113" s="10" t="inlineStr">
        <is>
          <t>rumah tangga</t>
        </is>
      </c>
      <c r="H113" s="10" t="inlineStr">
        <is>
          <t>Set Wadah Kedap</t>
        </is>
      </c>
      <c r="I113" s="10" t="n">
        <v>1</v>
      </c>
      <c r="J113" s="10" t="n">
        <v>135000</v>
      </c>
      <c r="K113" s="10" t="inlineStr">
        <is>
          <t>Rp 135.000</t>
        </is>
      </c>
    </row>
    <row r="114">
      <c r="A114" s="10" t="inlineStr">
        <is>
          <t>INV-70598</t>
        </is>
      </c>
      <c r="B114" s="10" t="inlineStr">
        <is>
          <t>14 Mar 2025</t>
        </is>
      </c>
      <c r="C114" s="10" t="inlineStr">
        <is>
          <t>C1161</t>
        </is>
      </c>
      <c r="D114" s="10" t="inlineStr">
        <is>
          <t>champion</t>
        </is>
      </c>
      <c r="E114" s="10" t="inlineStr">
        <is>
          <t>Shopee</t>
        </is>
      </c>
      <c r="F114" s="10" t="inlineStr">
        <is>
          <t>Jawa Barat</t>
        </is>
      </c>
      <c r="G114" s="10" t="inlineStr">
        <is>
          <t>Kecantikan</t>
        </is>
      </c>
      <c r="H114" s="10" t="inlineStr">
        <is>
          <t>Lip Tint</t>
        </is>
      </c>
      <c r="I114" s="10" t="n">
        <v>4</v>
      </c>
      <c r="J114" s="10" t="n">
        <v>65000</v>
      </c>
      <c r="K114" s="10" t="n">
        <v>260000</v>
      </c>
    </row>
    <row r="115">
      <c r="A115" s="10" t="inlineStr">
        <is>
          <t>INV-70677</t>
        </is>
      </c>
      <c r="B115" s="10" t="inlineStr">
        <is>
          <t>2025-09-09</t>
        </is>
      </c>
      <c r="C115" s="10" t="inlineStr">
        <is>
          <t>C1185</t>
        </is>
      </c>
      <c r="D115" s="10" t="inlineStr">
        <is>
          <t>occasional</t>
        </is>
      </c>
      <c r="E115" s="10" t="inlineStr">
        <is>
          <t>Tokopedia</t>
        </is>
      </c>
      <c r="F115" s="10" t="inlineStr">
        <is>
          <t>Jawa Tengah</t>
        </is>
      </c>
      <c r="G115" s="10" t="inlineStr">
        <is>
          <t>Elektronik</t>
        </is>
      </c>
      <c r="H115" s="10" t="inlineStr">
        <is>
          <t>Webcam HD</t>
        </is>
      </c>
      <c r="I115" s="10" t="n">
        <v>3</v>
      </c>
      <c r="J115" s="10" t="n">
        <v>210000</v>
      </c>
      <c r="K115" s="10" t="n">
        <v>630000</v>
      </c>
    </row>
    <row r="116">
      <c r="A116" s="10" t="inlineStr">
        <is>
          <t>INV-70117</t>
        </is>
      </c>
      <c r="B116" s="10" t="inlineStr">
        <is>
          <t>2025-03-22</t>
        </is>
      </c>
      <c r="C116" s="10" t="inlineStr">
        <is>
          <t>C1037</t>
        </is>
      </c>
      <c r="D116" s="10" t="inlineStr">
        <is>
          <t>occasional</t>
        </is>
      </c>
      <c r="E116" s="10" t="inlineStr">
        <is>
          <t>Offline Store</t>
        </is>
      </c>
      <c r="F116" s="10" t="inlineStr">
        <is>
          <t>Jabodetabek</t>
        </is>
      </c>
      <c r="G116" s="10" t="inlineStr">
        <is>
          <t>Elektronik</t>
        </is>
      </c>
      <c r="H116" s="10" t="inlineStr">
        <is>
          <t>Power Bank 20K</t>
        </is>
      </c>
      <c r="I116" s="10" t="n">
        <v>1</v>
      </c>
      <c r="J116" s="10" t="n">
        <v>185000</v>
      </c>
      <c r="K116" s="10" t="n">
        <v>185000</v>
      </c>
    </row>
    <row r="117">
      <c r="A117" s="10" t="inlineStr">
        <is>
          <t>INV-70310</t>
        </is>
      </c>
      <c r="B117" s="10" t="inlineStr">
        <is>
          <t>2026-04-19</t>
        </is>
      </c>
      <c r="C117" s="10" t="inlineStr">
        <is>
          <t>C1087</t>
        </is>
      </c>
      <c r="D117" s="10" t="inlineStr">
        <is>
          <t>loyal</t>
        </is>
      </c>
      <c r="E117" s="10" t="inlineStr">
        <is>
          <t xml:space="preserve">Tokopedia </t>
        </is>
      </c>
      <c r="F117" s="10" t="inlineStr">
        <is>
          <t>Lainnya</t>
        </is>
      </c>
      <c r="G117" s="10" t="inlineStr">
        <is>
          <t>Kecantikan</t>
        </is>
      </c>
      <c r="H117" s="10" t="inlineStr">
        <is>
          <t>Masker Wajah (5s)</t>
        </is>
      </c>
      <c r="I117" s="10" t="n">
        <v>1</v>
      </c>
      <c r="J117" s="10" t="n">
        <v>55000</v>
      </c>
      <c r="K117" s="10" t="n">
        <v>55000</v>
      </c>
    </row>
    <row r="118">
      <c r="A118" s="10" t="inlineStr">
        <is>
          <t>INV-70896</t>
        </is>
      </c>
      <c r="B118" s="10" t="inlineStr">
        <is>
          <t>2025-12-18</t>
        </is>
      </c>
      <c r="C118" s="10" t="inlineStr">
        <is>
          <t>C1252</t>
        </is>
      </c>
      <c r="D118" s="10" t="inlineStr">
        <is>
          <t>regular</t>
        </is>
      </c>
      <c r="E118" s="10" t="inlineStr">
        <is>
          <t>Offline Store</t>
        </is>
      </c>
      <c r="F118" s="10" t="inlineStr">
        <is>
          <t>Lainnya</t>
        </is>
      </c>
      <c r="G118" s="10" t="inlineStr">
        <is>
          <t>Rumah Tangga</t>
        </is>
      </c>
      <c r="H118" s="10" t="inlineStr">
        <is>
          <t>Diffuser Aroma</t>
        </is>
      </c>
      <c r="I118" s="10" t="n">
        <v>4</v>
      </c>
      <c r="J118" s="10" t="n">
        <v>195000</v>
      </c>
      <c r="K118" s="10" t="n">
        <v>780000</v>
      </c>
    </row>
    <row r="119">
      <c r="A119" s="10" t="inlineStr">
        <is>
          <t>INV-71415</t>
        </is>
      </c>
      <c r="B119" s="10" t="inlineStr">
        <is>
          <t>2025-04-13</t>
        </is>
      </c>
      <c r="C119" s="10" t="inlineStr">
        <is>
          <t>C1392</t>
        </is>
      </c>
      <c r="D119" s="10" t="inlineStr">
        <is>
          <t>loyal</t>
        </is>
      </c>
      <c r="E119" s="10" t="inlineStr">
        <is>
          <t xml:space="preserve">Shopee </t>
        </is>
      </c>
      <c r="F119" s="10" t="inlineStr">
        <is>
          <t>Jawa Tengah</t>
        </is>
      </c>
      <c r="G119" s="10" t="inlineStr">
        <is>
          <t>Kecantikan</t>
        </is>
      </c>
      <c r="H119" s="10" t="inlineStr">
        <is>
          <t>Serum Vit C</t>
        </is>
      </c>
      <c r="I119" s="10" t="n">
        <v>4</v>
      </c>
      <c r="J119" s="10" t="n">
        <v>145000</v>
      </c>
      <c r="K119" s="10" t="n">
        <v>580000</v>
      </c>
    </row>
    <row r="120">
      <c r="A120" s="10" t="inlineStr">
        <is>
          <t>INV-71271</t>
        </is>
      </c>
      <c r="B120" s="10" t="inlineStr">
        <is>
          <t>23 Oct 2025</t>
        </is>
      </c>
      <c r="C120" s="10" t="inlineStr">
        <is>
          <t>C1358</t>
        </is>
      </c>
      <c r="D120" s="10" t="inlineStr">
        <is>
          <t>champion</t>
        </is>
      </c>
      <c r="E120" s="10" t="inlineStr">
        <is>
          <t>Tokopedia</t>
        </is>
      </c>
      <c r="F120" s="10" t="n"/>
      <c r="G120" s="10" t="inlineStr">
        <is>
          <t>Elektronik</t>
        </is>
      </c>
      <c r="H120" s="10" t="inlineStr">
        <is>
          <t>Webcam HD</t>
        </is>
      </c>
      <c r="I120" s="10" t="n">
        <v>3</v>
      </c>
      <c r="J120" s="10" t="n">
        <v>210000</v>
      </c>
      <c r="K120" s="10" t="inlineStr">
        <is>
          <t>Rp 630.000</t>
        </is>
      </c>
    </row>
    <row r="121">
      <c r="A121" s="10" t="inlineStr">
        <is>
          <t>INV-70919</t>
        </is>
      </c>
      <c r="B121" s="10" t="inlineStr">
        <is>
          <t>2025-09-05</t>
        </is>
      </c>
      <c r="C121" s="10" t="inlineStr">
        <is>
          <t>C1260</t>
        </is>
      </c>
      <c r="D121" s="10" t="inlineStr">
        <is>
          <t>occasional</t>
        </is>
      </c>
      <c r="E121" s="10" t="inlineStr">
        <is>
          <t>Offline Store</t>
        </is>
      </c>
      <c r="F121" s="10" t="inlineStr">
        <is>
          <t>Jawa Barat</t>
        </is>
      </c>
      <c r="G121" s="10" t="inlineStr">
        <is>
          <t>Kecantikan</t>
        </is>
      </c>
      <c r="H121" s="10" t="inlineStr">
        <is>
          <t>Masker Wajah (5s)</t>
        </is>
      </c>
      <c r="I121" s="10" t="n">
        <v>1</v>
      </c>
      <c r="J121" s="10" t="n">
        <v>55000</v>
      </c>
      <c r="K121" s="10" t="inlineStr">
        <is>
          <t>Rp 55.000</t>
        </is>
      </c>
    </row>
    <row r="122">
      <c r="A122" s="10" t="inlineStr">
        <is>
          <t>INV-70286</t>
        </is>
      </c>
      <c r="B122" s="10" t="inlineStr">
        <is>
          <t>2025-12-05</t>
        </is>
      </c>
      <c r="C122" s="10" t="inlineStr">
        <is>
          <t>C1081</t>
        </is>
      </c>
      <c r="D122" s="10" t="inlineStr">
        <is>
          <t>occasional</t>
        </is>
      </c>
      <c r="E122" s="10" t="inlineStr">
        <is>
          <t>TikTok Shop</t>
        </is>
      </c>
      <c r="F122" s="10" t="inlineStr">
        <is>
          <t>Jawa Barat</t>
        </is>
      </c>
      <c r="G122" s="10" t="inlineStr">
        <is>
          <t>Rumah Tangga</t>
        </is>
      </c>
      <c r="H122" s="10" t="inlineStr">
        <is>
          <t>Diffuser Aroma</t>
        </is>
      </c>
      <c r="I122" s="10" t="n">
        <v>1</v>
      </c>
      <c r="J122" s="10" t="n">
        <v>195000</v>
      </c>
      <c r="K122" s="10" t="n">
        <v>195000</v>
      </c>
    </row>
    <row r="123">
      <c r="A123" s="10" t="inlineStr">
        <is>
          <t>INV-70696</t>
        </is>
      </c>
      <c r="B123" s="10" t="inlineStr">
        <is>
          <t>2026-01-08</t>
        </is>
      </c>
      <c r="C123" s="10" t="inlineStr">
        <is>
          <t>C1193</t>
        </is>
      </c>
      <c r="D123" s="10" t="inlineStr">
        <is>
          <t>loyal</t>
        </is>
      </c>
      <c r="E123" s="10" t="inlineStr">
        <is>
          <t>Tiktok Shop</t>
        </is>
      </c>
      <c r="F123" s="10" t="inlineStr">
        <is>
          <t>Jawa Barat</t>
        </is>
      </c>
      <c r="G123" s="10" t="inlineStr">
        <is>
          <t>Makanan</t>
        </is>
      </c>
      <c r="H123" s="10" t="inlineStr">
        <is>
          <t>Granola 500g</t>
        </is>
      </c>
      <c r="I123" s="10" t="n">
        <v>3</v>
      </c>
      <c r="J123" s="10" t="n">
        <v>92000</v>
      </c>
      <c r="K123" s="10" t="n">
        <v>276000</v>
      </c>
    </row>
    <row r="124">
      <c r="A124" s="10" t="inlineStr">
        <is>
          <t>INV-70993</t>
        </is>
      </c>
      <c r="B124" s="10" t="inlineStr">
        <is>
          <t>2025-04-20</t>
        </is>
      </c>
      <c r="C124" s="10" t="inlineStr">
        <is>
          <t>C1286</t>
        </is>
      </c>
      <c r="D124" s="10" t="inlineStr">
        <is>
          <t>regular</t>
        </is>
      </c>
      <c r="E124" s="10" t="inlineStr">
        <is>
          <t>Shopee</t>
        </is>
      </c>
      <c r="F124" s="10" t="inlineStr">
        <is>
          <t>Jawa Tengah</t>
        </is>
      </c>
      <c r="G124" s="10" t="inlineStr">
        <is>
          <t>Rumah Tangga</t>
        </is>
      </c>
      <c r="H124" s="10" t="inlineStr">
        <is>
          <t>Set Wadah Kedap</t>
        </is>
      </c>
      <c r="I124" s="10" t="n">
        <v>3</v>
      </c>
      <c r="J124" s="10" t="n">
        <v>135000</v>
      </c>
      <c r="K124" s="10" t="n">
        <v>405000</v>
      </c>
    </row>
    <row r="125">
      <c r="A125" s="10" t="inlineStr">
        <is>
          <t>INV-70104</t>
        </is>
      </c>
      <c r="B125" s="10" t="inlineStr">
        <is>
          <t>2025-12-02</t>
        </is>
      </c>
      <c r="C125" s="10" t="inlineStr">
        <is>
          <t>C1029</t>
        </is>
      </c>
      <c r="D125" s="10" t="inlineStr">
        <is>
          <t>champion</t>
        </is>
      </c>
      <c r="E125" s="10" t="inlineStr">
        <is>
          <t xml:space="preserve">Shopee </t>
        </is>
      </c>
      <c r="F125" s="10" t="inlineStr">
        <is>
          <t>Jabodetabek</t>
        </is>
      </c>
      <c r="G125" s="10" t="inlineStr">
        <is>
          <t>rumah tangga</t>
        </is>
      </c>
      <c r="H125" s="10" t="inlineStr">
        <is>
          <t>Set Wadah Kedap</t>
        </is>
      </c>
      <c r="I125" s="10" t="n">
        <v>2</v>
      </c>
      <c r="J125" s="10" t="n">
        <v>135000</v>
      </c>
      <c r="K125" s="10" t="n">
        <v>270000</v>
      </c>
    </row>
    <row r="126">
      <c r="A126" s="10" t="inlineStr">
        <is>
          <t>INV-71388</t>
        </is>
      </c>
      <c r="B126" s="10" t="inlineStr">
        <is>
          <t>2025-10-26</t>
        </is>
      </c>
      <c r="C126" s="10" t="inlineStr">
        <is>
          <t>C1384</t>
        </is>
      </c>
      <c r="D126" s="10" t="inlineStr">
        <is>
          <t>regular</t>
        </is>
      </c>
      <c r="E126" s="10" t="inlineStr">
        <is>
          <t>offline store</t>
        </is>
      </c>
      <c r="F126" s="10" t="n"/>
      <c r="G126" s="10" t="inlineStr">
        <is>
          <t>Rumah Tangga</t>
        </is>
      </c>
      <c r="H126" s="10" t="inlineStr">
        <is>
          <t>Set Wadah Kedap</t>
        </is>
      </c>
      <c r="I126" s="10" t="n">
        <v>1</v>
      </c>
      <c r="J126" s="10" t="n">
        <v>135000</v>
      </c>
      <c r="K126" s="10" t="inlineStr">
        <is>
          <t>Rp 135.000</t>
        </is>
      </c>
    </row>
    <row r="127">
      <c r="A127" s="10" t="inlineStr">
        <is>
          <t>INV-71231</t>
        </is>
      </c>
      <c r="B127" s="10" t="inlineStr">
        <is>
          <t>2026-06-16</t>
        </is>
      </c>
      <c r="C127" s="10" t="inlineStr">
        <is>
          <t>C1349</t>
        </is>
      </c>
      <c r="D127" s="10" t="inlineStr">
        <is>
          <t>champion</t>
        </is>
      </c>
      <c r="E127" s="10" t="inlineStr">
        <is>
          <t>Tokopedia</t>
        </is>
      </c>
      <c r="F127" s="10" t="inlineStr">
        <is>
          <t>Lainnya</t>
        </is>
      </c>
      <c r="G127" s="10" t="inlineStr">
        <is>
          <t>Rumah Tangga</t>
        </is>
      </c>
      <c r="H127" s="10" t="inlineStr">
        <is>
          <t>Diffuser Aroma</t>
        </is>
      </c>
      <c r="I127" s="10" t="n">
        <v>1</v>
      </c>
      <c r="J127" s="10" t="n">
        <v>195000</v>
      </c>
      <c r="K127" s="10" t="n">
        <v>195000</v>
      </c>
    </row>
    <row r="128">
      <c r="A128" s="10" t="inlineStr">
        <is>
          <t>INV-71299</t>
        </is>
      </c>
      <c r="B128" s="10" t="inlineStr">
        <is>
          <t>2025-03-11</t>
        </is>
      </c>
      <c r="C128" s="10" t="inlineStr">
        <is>
          <t>C1360</t>
        </is>
      </c>
      <c r="D128" s="10" t="inlineStr">
        <is>
          <t>occasional</t>
        </is>
      </c>
      <c r="E128" s="10" t="inlineStr">
        <is>
          <t>Shopee</t>
        </is>
      </c>
      <c r="F128" s="10" t="inlineStr">
        <is>
          <t>Lainnya</t>
        </is>
      </c>
      <c r="G128" s="10" t="inlineStr">
        <is>
          <t>Rumah Tangga</t>
        </is>
      </c>
      <c r="H128" s="10" t="inlineStr">
        <is>
          <t>Organizer Laci</t>
        </is>
      </c>
      <c r="I128" s="10" t="n">
        <v>1</v>
      </c>
      <c r="J128" s="10" t="n">
        <v>78000</v>
      </c>
      <c r="K128" s="10" t="n">
        <v>78000</v>
      </c>
    </row>
    <row r="129">
      <c r="A129" s="10" t="inlineStr">
        <is>
          <t>INV-70053</t>
        </is>
      </c>
      <c r="B129" s="10" t="inlineStr">
        <is>
          <t>18/09/2025</t>
        </is>
      </c>
      <c r="C129" s="10" t="inlineStr">
        <is>
          <t>C1013</t>
        </is>
      </c>
      <c r="D129" s="10" t="inlineStr">
        <is>
          <t>regular</t>
        </is>
      </c>
      <c r="E129" s="10" t="inlineStr">
        <is>
          <t>Shopee</t>
        </is>
      </c>
      <c r="F129" s="10" t="inlineStr">
        <is>
          <t>Jawa Tengah</t>
        </is>
      </c>
      <c r="G129" s="10" t="inlineStr">
        <is>
          <t>Makanan</t>
        </is>
      </c>
      <c r="H129" s="10" t="inlineStr">
        <is>
          <t>Granola 500g</t>
        </is>
      </c>
      <c r="I129" s="10" t="n">
        <v>2</v>
      </c>
      <c r="J129" s="10" t="n">
        <v>92000</v>
      </c>
      <c r="K129" s="10" t="n">
        <v>184000</v>
      </c>
    </row>
    <row r="130">
      <c r="A130" s="10" t="inlineStr">
        <is>
          <t>INV-71345</t>
        </is>
      </c>
      <c r="B130" s="10" t="inlineStr">
        <is>
          <t>21/03/2026</t>
        </is>
      </c>
      <c r="C130" s="10" t="inlineStr">
        <is>
          <t>C1370</t>
        </is>
      </c>
      <c r="D130" s="10" t="inlineStr">
        <is>
          <t>onetime</t>
        </is>
      </c>
      <c r="E130" s="10" t="inlineStr">
        <is>
          <t xml:space="preserve">Tokopedia </t>
        </is>
      </c>
      <c r="F130" s="10" t="inlineStr">
        <is>
          <t>Jawa Tengah</t>
        </is>
      </c>
      <c r="G130" s="10" t="inlineStr">
        <is>
          <t>rumah tangga</t>
        </is>
      </c>
      <c r="H130" s="10" t="inlineStr">
        <is>
          <t>Organizer Laci</t>
        </is>
      </c>
      <c r="I130" s="10" t="n">
        <v>3</v>
      </c>
      <c r="J130" s="10" t="n">
        <v>78000</v>
      </c>
      <c r="K130" s="10" t="n">
        <v>234000</v>
      </c>
    </row>
    <row r="131">
      <c r="A131" s="10" t="inlineStr">
        <is>
          <t>INV-70761</t>
        </is>
      </c>
      <c r="B131" s="10" t="inlineStr">
        <is>
          <t>11/04/2026</t>
        </is>
      </c>
      <c r="C131" s="10" t="inlineStr">
        <is>
          <t>C1212</t>
        </is>
      </c>
      <c r="D131" s="10" t="inlineStr">
        <is>
          <t>occasional</t>
        </is>
      </c>
      <c r="E131" s="10" t="inlineStr">
        <is>
          <t>Shopee</t>
        </is>
      </c>
      <c r="F131" s="10" t="inlineStr">
        <is>
          <t>Jabodetabek</t>
        </is>
      </c>
      <c r="G131" s="10" t="inlineStr">
        <is>
          <t>Fashion</t>
        </is>
      </c>
      <c r="H131" s="10" t="inlineStr">
        <is>
          <t>Celana Chino</t>
        </is>
      </c>
      <c r="I131" s="10" t="n">
        <v>3</v>
      </c>
      <c r="J131" s="10" t="n">
        <v>195000</v>
      </c>
      <c r="K131" s="10" t="n">
        <v>585000</v>
      </c>
    </row>
    <row r="132">
      <c r="A132" s="10" t="inlineStr">
        <is>
          <t>INV-70903</t>
        </is>
      </c>
      <c r="B132" s="10" t="inlineStr">
        <is>
          <t>2026-04-08</t>
        </is>
      </c>
      <c r="C132" s="10" t="inlineStr">
        <is>
          <t>C1254</t>
        </is>
      </c>
      <c r="D132" s="10" t="inlineStr">
        <is>
          <t>occasional</t>
        </is>
      </c>
      <c r="E132" s="10" t="inlineStr">
        <is>
          <t>TikTok Shop</t>
        </is>
      </c>
      <c r="F132" s="10" t="inlineStr">
        <is>
          <t>Jabodetabek</t>
        </is>
      </c>
      <c r="G132" s="10" t="inlineStr">
        <is>
          <t>Elektronik</t>
        </is>
      </c>
      <c r="H132" s="10" t="inlineStr">
        <is>
          <t>Earbuds TWS</t>
        </is>
      </c>
      <c r="I132" s="10" t="n">
        <v>2</v>
      </c>
      <c r="J132" s="10" t="n">
        <v>265000</v>
      </c>
      <c r="K132" s="10" t="n">
        <v>530000</v>
      </c>
    </row>
    <row r="133">
      <c r="A133" s="10" t="inlineStr">
        <is>
          <t>INV-71029</t>
        </is>
      </c>
      <c r="B133" s="10" t="inlineStr">
        <is>
          <t>2025-11-07</t>
        </is>
      </c>
      <c r="C133" s="10" t="inlineStr">
        <is>
          <t>C1292</t>
        </is>
      </c>
      <c r="D133" s="10" t="inlineStr">
        <is>
          <t>regular</t>
        </is>
      </c>
      <c r="E133" s="10" t="inlineStr">
        <is>
          <t>TikTok Shop</t>
        </is>
      </c>
      <c r="F133" s="10" t="inlineStr">
        <is>
          <t>Jabodetabek</t>
        </is>
      </c>
      <c r="G133" s="10" t="inlineStr">
        <is>
          <t>Rumah Tangga</t>
        </is>
      </c>
      <c r="H133" s="10" t="inlineStr">
        <is>
          <t>Set Wadah Kedap</t>
        </is>
      </c>
      <c r="I133" s="10" t="n">
        <v>2</v>
      </c>
      <c r="J133" s="10" t="n">
        <v>135000</v>
      </c>
      <c r="K133" s="10" t="n">
        <v>270000</v>
      </c>
    </row>
    <row r="134">
      <c r="A134" s="10" t="inlineStr">
        <is>
          <t>INV-70196</t>
        </is>
      </c>
      <c r="B134" s="10" t="inlineStr">
        <is>
          <t>05/05/2025</t>
        </is>
      </c>
      <c r="C134" s="10" t="inlineStr">
        <is>
          <t>C1056</t>
        </is>
      </c>
      <c r="D134" s="10" t="inlineStr">
        <is>
          <t>loyal</t>
        </is>
      </c>
      <c r="E134" s="10" t="inlineStr">
        <is>
          <t>SHOPEE</t>
        </is>
      </c>
      <c r="F134" s="10" t="inlineStr">
        <is>
          <t>Lainnya</t>
        </is>
      </c>
      <c r="G134" s="10" t="inlineStr">
        <is>
          <t>Elektronik</t>
        </is>
      </c>
      <c r="H134" s="10" t="inlineStr">
        <is>
          <t>Power Bank 20K</t>
        </is>
      </c>
      <c r="I134" s="10" t="n">
        <v>1</v>
      </c>
      <c r="J134" s="10" t="n">
        <v>185000</v>
      </c>
      <c r="K134" s="10" t="n">
        <v>185000</v>
      </c>
    </row>
    <row r="135">
      <c r="A135" s="10" t="inlineStr">
        <is>
          <t>INV-70145</t>
        </is>
      </c>
      <c r="B135" s="10" t="inlineStr">
        <is>
          <t>23 May 2026</t>
        </is>
      </c>
      <c r="C135" s="10" t="inlineStr">
        <is>
          <t>C1042</t>
        </is>
      </c>
      <c r="D135" s="10" t="inlineStr">
        <is>
          <t>loyal</t>
        </is>
      </c>
      <c r="E135" s="10" t="inlineStr">
        <is>
          <t>TIKTOK SHOP</t>
        </is>
      </c>
      <c r="F135" s="10" t="inlineStr">
        <is>
          <t>Jawa Timur</t>
        </is>
      </c>
      <c r="G135" s="10" t="inlineStr">
        <is>
          <t>Rumah Tangga</t>
        </is>
      </c>
      <c r="H135" s="10" t="inlineStr">
        <is>
          <t>Organizer Laci</t>
        </is>
      </c>
      <c r="I135" s="10" t="n">
        <v>2</v>
      </c>
      <c r="J135" s="10" t="n">
        <v>78000</v>
      </c>
      <c r="K135" s="10" t="n">
        <v>156000</v>
      </c>
    </row>
    <row r="136">
      <c r="A136" s="10" t="inlineStr">
        <is>
          <t>INV-70557</t>
        </is>
      </c>
      <c r="B136" s="10" t="inlineStr">
        <is>
          <t>2026-01-07</t>
        </is>
      </c>
      <c r="C136" s="10" t="inlineStr">
        <is>
          <t>C1153</t>
        </is>
      </c>
      <c r="D136" s="10" t="inlineStr">
        <is>
          <t>loyal</t>
        </is>
      </c>
      <c r="E136" s="10" t="inlineStr">
        <is>
          <t>tiktok shop</t>
        </is>
      </c>
      <c r="F136" s="10" t="inlineStr">
        <is>
          <t>Jawa Timur</t>
        </is>
      </c>
      <c r="G136" s="10" t="inlineStr">
        <is>
          <t>Makanan</t>
        </is>
      </c>
      <c r="H136" s="10" t="inlineStr">
        <is>
          <t>Granola 500g</t>
        </is>
      </c>
      <c r="I136" s="10" t="n">
        <v>3</v>
      </c>
      <c r="J136" s="10" t="n">
        <v>92000</v>
      </c>
      <c r="K136" s="10" t="n">
        <v>276000</v>
      </c>
    </row>
    <row r="137">
      <c r="A137" s="10" t="inlineStr">
        <is>
          <t>INV-70155</t>
        </is>
      </c>
      <c r="B137" s="10" t="inlineStr">
        <is>
          <t>2026-01-20</t>
        </is>
      </c>
      <c r="C137" s="10" t="inlineStr">
        <is>
          <t>C1046</t>
        </is>
      </c>
      <c r="D137" s="10" t="inlineStr">
        <is>
          <t>regular</t>
        </is>
      </c>
      <c r="E137" s="10" t="inlineStr">
        <is>
          <t>offline store</t>
        </is>
      </c>
      <c r="F137" s="10" t="inlineStr">
        <is>
          <t>Jawa Tengah</t>
        </is>
      </c>
      <c r="G137" s="10" t="inlineStr">
        <is>
          <t>Kecantikan</t>
        </is>
      </c>
      <c r="H137" s="10" t="inlineStr">
        <is>
          <t>Masker Wajah (5s)</t>
        </is>
      </c>
      <c r="I137" s="10" t="n">
        <v>2</v>
      </c>
      <c r="J137" s="10" t="n">
        <v>55000</v>
      </c>
      <c r="K137" s="10" t="n">
        <v>110000</v>
      </c>
    </row>
    <row r="138">
      <c r="A138" s="10" t="inlineStr">
        <is>
          <t>INV-70871</t>
        </is>
      </c>
      <c r="B138" s="10" t="inlineStr">
        <is>
          <t>2025-12-21</t>
        </is>
      </c>
      <c r="C138" s="10" t="inlineStr">
        <is>
          <t>C1246</t>
        </is>
      </c>
      <c r="D138" s="10" t="inlineStr">
        <is>
          <t>champion</t>
        </is>
      </c>
      <c r="E138" s="10" t="inlineStr">
        <is>
          <t>offline store</t>
        </is>
      </c>
      <c r="F138" s="10" t="inlineStr">
        <is>
          <t>Jawa Tengah</t>
        </is>
      </c>
      <c r="G138" s="10" t="inlineStr">
        <is>
          <t>Rumah Tangga</t>
        </is>
      </c>
      <c r="H138" s="10" t="inlineStr">
        <is>
          <t>Set Wadah Kedap</t>
        </is>
      </c>
      <c r="I138" s="10" t="n">
        <v>-2</v>
      </c>
      <c r="J138" s="10" t="n">
        <v>135000</v>
      </c>
      <c r="K138" s="10" t="n">
        <v>270000</v>
      </c>
    </row>
    <row r="139">
      <c r="A139" s="10" t="inlineStr">
        <is>
          <t>INV-71105</t>
        </is>
      </c>
      <c r="B139" s="10" t="inlineStr">
        <is>
          <t>2025-11-08</t>
        </is>
      </c>
      <c r="C139" s="10" t="inlineStr">
        <is>
          <t>C1310</t>
        </is>
      </c>
      <c r="D139" s="10" t="inlineStr">
        <is>
          <t>loyal</t>
        </is>
      </c>
      <c r="E139" s="10" t="inlineStr">
        <is>
          <t>Shopee</t>
        </is>
      </c>
      <c r="F139" s="10" t="inlineStr">
        <is>
          <t>Jawa Tengah</t>
        </is>
      </c>
      <c r="G139" s="10" t="inlineStr">
        <is>
          <t>Elektronik</t>
        </is>
      </c>
      <c r="H139" s="10" t="inlineStr">
        <is>
          <t>Power Bank 20K</t>
        </is>
      </c>
      <c r="I139" s="10" t="n">
        <v>1</v>
      </c>
      <c r="J139" s="10" t="n">
        <v>185000</v>
      </c>
      <c r="K139" s="10" t="n">
        <v>185000</v>
      </c>
    </row>
    <row r="140">
      <c r="A140" s="10" t="inlineStr">
        <is>
          <t>INV-70173</t>
        </is>
      </c>
      <c r="B140" s="10" t="inlineStr">
        <is>
          <t>2026-06-11</t>
        </is>
      </c>
      <c r="C140" s="10" t="inlineStr">
        <is>
          <t>C1049</t>
        </is>
      </c>
      <c r="D140" s="10" t="inlineStr">
        <is>
          <t>champion</t>
        </is>
      </c>
      <c r="E140" s="10" t="inlineStr">
        <is>
          <t>Offline Store</t>
        </is>
      </c>
      <c r="F140" s="10" t="inlineStr">
        <is>
          <t>Jawa Barat</t>
        </is>
      </c>
      <c r="G140" s="10" t="inlineStr">
        <is>
          <t>rumah tangga</t>
        </is>
      </c>
      <c r="H140" s="10" t="inlineStr">
        <is>
          <t>Karpet Bulu</t>
        </is>
      </c>
      <c r="I140" s="10" t="n">
        <v>2</v>
      </c>
      <c r="J140" s="10" t="n">
        <v>240000</v>
      </c>
      <c r="K140" s="10" t="n">
        <v>480000</v>
      </c>
    </row>
    <row r="141">
      <c r="A141" s="10" t="inlineStr">
        <is>
          <t>INV-70494</t>
        </is>
      </c>
      <c r="B141" s="10" t="inlineStr">
        <is>
          <t>2025-07-19</t>
        </is>
      </c>
      <c r="C141" s="10" t="inlineStr">
        <is>
          <t>C1139</t>
        </is>
      </c>
      <c r="D141" s="10" t="inlineStr">
        <is>
          <t>champion</t>
        </is>
      </c>
      <c r="E141" s="10" t="inlineStr">
        <is>
          <t>Shopee</t>
        </is>
      </c>
      <c r="F141" s="10" t="inlineStr">
        <is>
          <t>Jabodetabek</t>
        </is>
      </c>
      <c r="G141" s="10" t="inlineStr">
        <is>
          <t>rumah tangga</t>
        </is>
      </c>
      <c r="H141" s="10" t="inlineStr">
        <is>
          <t>Set Wadah Kedap</t>
        </is>
      </c>
      <c r="I141" s="10" t="n">
        <v>3</v>
      </c>
      <c r="J141" s="10" t="n">
        <v>135000</v>
      </c>
      <c r="K141" s="10" t="n">
        <v>405000</v>
      </c>
    </row>
    <row r="142">
      <c r="A142" s="10" t="inlineStr">
        <is>
          <t>INV-71294</t>
        </is>
      </c>
      <c r="B142" s="10" t="inlineStr">
        <is>
          <t>2025-06-10</t>
        </is>
      </c>
      <c r="C142" s="10" t="inlineStr">
        <is>
          <t>C1359</t>
        </is>
      </c>
      <c r="D142" s="10" t="inlineStr">
        <is>
          <t>champion</t>
        </is>
      </c>
      <c r="E142" s="10" t="inlineStr">
        <is>
          <t>TikTok Shop</t>
        </is>
      </c>
      <c r="F142" s="10" t="inlineStr">
        <is>
          <t>Sumatera</t>
        </is>
      </c>
      <c r="G142" s="10" t="inlineStr">
        <is>
          <t>Rumah Tangga</t>
        </is>
      </c>
      <c r="H142" s="10" t="inlineStr">
        <is>
          <t>Set Wadah Kedap</t>
        </is>
      </c>
      <c r="I142" s="10" t="n">
        <v>4</v>
      </c>
      <c r="J142" s="10" t="n">
        <v>135000</v>
      </c>
      <c r="K142" s="10" t="n">
        <v>540000</v>
      </c>
    </row>
    <row r="143">
      <c r="A143" s="10" t="inlineStr">
        <is>
          <t>INV-71444</t>
        </is>
      </c>
      <c r="B143" s="10" t="inlineStr">
        <is>
          <t>2025-06-18</t>
        </is>
      </c>
      <c r="C143" s="10" t="inlineStr">
        <is>
          <t>C1398</t>
        </is>
      </c>
      <c r="D143" s="10" t="inlineStr">
        <is>
          <t>regular</t>
        </is>
      </c>
      <c r="E143" s="10" t="inlineStr">
        <is>
          <t xml:space="preserve">Offline store </t>
        </is>
      </c>
      <c r="F143" s="10" t="inlineStr">
        <is>
          <t>Jawa Barat</t>
        </is>
      </c>
      <c r="G143" s="10" t="inlineStr">
        <is>
          <t>Elektronik</t>
        </is>
      </c>
      <c r="H143" s="10" t="inlineStr">
        <is>
          <t>Webcam HD</t>
        </is>
      </c>
      <c r="I143" s="10" t="n">
        <v>4</v>
      </c>
      <c r="J143" s="10" t="n">
        <v>210000</v>
      </c>
      <c r="K143" s="10" t="n">
        <v>840000</v>
      </c>
    </row>
    <row r="144">
      <c r="A144" s="10" t="inlineStr">
        <is>
          <t>INV-70957</t>
        </is>
      </c>
      <c r="B144" s="10" t="inlineStr">
        <is>
          <t>2025-04-04</t>
        </is>
      </c>
      <c r="C144" s="10" t="inlineStr">
        <is>
          <t>C1272</t>
        </is>
      </c>
      <c r="D144" s="10" t="inlineStr">
        <is>
          <t>regular</t>
        </is>
      </c>
      <c r="E144" s="10" t="inlineStr">
        <is>
          <t xml:space="preserve">Tokopedia </t>
        </is>
      </c>
      <c r="F144" s="10" t="inlineStr">
        <is>
          <t>Sumatera</t>
        </is>
      </c>
      <c r="G144" s="10" t="inlineStr">
        <is>
          <t>rumah tangga</t>
        </is>
      </c>
      <c r="H144" s="10" t="inlineStr">
        <is>
          <t>Set Wadah Kedap</t>
        </is>
      </c>
      <c r="I144" s="10" t="n">
        <v>4</v>
      </c>
      <c r="J144" s="10" t="n">
        <v>135000</v>
      </c>
      <c r="K144" s="10" t="inlineStr">
        <is>
          <t>Rp 540.000</t>
        </is>
      </c>
    </row>
    <row r="145">
      <c r="A145" s="10" t="inlineStr">
        <is>
          <t>INV-70277</t>
        </is>
      </c>
      <c r="B145" s="10" t="inlineStr">
        <is>
          <t>2025-10-16</t>
        </is>
      </c>
      <c r="C145" s="10" t="inlineStr">
        <is>
          <t>C1078</t>
        </is>
      </c>
      <c r="D145" s="10" t="inlineStr">
        <is>
          <t>regular</t>
        </is>
      </c>
      <c r="E145" s="10" t="inlineStr">
        <is>
          <t>Shopee</t>
        </is>
      </c>
      <c r="F145" s="10" t="inlineStr">
        <is>
          <t>Jabodetabek</t>
        </is>
      </c>
      <c r="G145" s="10" t="inlineStr">
        <is>
          <t>Kecantikan</t>
        </is>
      </c>
      <c r="H145" s="10" t="inlineStr">
        <is>
          <t>Serum Vit C</t>
        </is>
      </c>
      <c r="I145" s="10" t="n">
        <v>4</v>
      </c>
      <c r="J145" s="10" t="n">
        <v>145000</v>
      </c>
      <c r="K145" s="10" t="n">
        <v>580000</v>
      </c>
    </row>
    <row r="146">
      <c r="A146" s="10" t="inlineStr">
        <is>
          <t>INV-71278</t>
        </is>
      </c>
      <c r="B146" s="10" t="inlineStr">
        <is>
          <t>2026-03-23</t>
        </is>
      </c>
      <c r="C146" s="10" t="inlineStr">
        <is>
          <t>C1358</t>
        </is>
      </c>
      <c r="D146" s="10" t="inlineStr">
        <is>
          <t>champion</t>
        </is>
      </c>
      <c r="E146" s="10" t="inlineStr">
        <is>
          <t>Offline Store</t>
        </is>
      </c>
      <c r="F146" s="10" t="inlineStr">
        <is>
          <t>Jawa Barat</t>
        </is>
      </c>
      <c r="G146" s="10" t="inlineStr">
        <is>
          <t>Rumah Tangga</t>
        </is>
      </c>
      <c r="H146" s="10" t="inlineStr">
        <is>
          <t>Organizer Laci</t>
        </is>
      </c>
      <c r="I146" s="10" t="n">
        <v>2</v>
      </c>
      <c r="J146" s="10" t="n">
        <v>78000</v>
      </c>
      <c r="K146" s="10" t="inlineStr">
        <is>
          <t>Rp 156.000</t>
        </is>
      </c>
    </row>
    <row r="147">
      <c r="A147" s="10" t="inlineStr">
        <is>
          <t>INV-71419</t>
        </is>
      </c>
      <c r="B147" s="10" t="inlineStr">
        <is>
          <t>2025-03-05</t>
        </is>
      </c>
      <c r="C147" s="10" t="inlineStr">
        <is>
          <t>C1392</t>
        </is>
      </c>
      <c r="D147" s="10" t="inlineStr">
        <is>
          <t>loyal</t>
        </is>
      </c>
      <c r="E147" s="10" t="inlineStr">
        <is>
          <t>Tokopedia</t>
        </is>
      </c>
      <c r="F147" s="10" t="inlineStr">
        <is>
          <t>Jabodetabek</t>
        </is>
      </c>
      <c r="G147" s="10" t="inlineStr">
        <is>
          <t>Rumah Tangga</t>
        </is>
      </c>
      <c r="H147" s="10" t="inlineStr">
        <is>
          <t>Set Wadah Kedap</t>
        </is>
      </c>
      <c r="I147" s="10" t="n">
        <v>1</v>
      </c>
      <c r="J147" s="10" t="n">
        <v>135000</v>
      </c>
      <c r="K147" s="10" t="n">
        <v>135000</v>
      </c>
    </row>
    <row r="148">
      <c r="A148" s="10" t="inlineStr">
        <is>
          <t>INV-70968</t>
        </is>
      </c>
      <c r="B148" s="10" t="inlineStr">
        <is>
          <t>24 Nov 2025</t>
        </is>
      </c>
      <c r="C148" s="10" t="inlineStr">
        <is>
          <t>C1276</t>
        </is>
      </c>
      <c r="D148" s="10" t="inlineStr">
        <is>
          <t>onetime</t>
        </is>
      </c>
      <c r="E148" s="10" t="inlineStr">
        <is>
          <t>Shopee</t>
        </is>
      </c>
      <c r="F148" s="10" t="inlineStr">
        <is>
          <t>Jawa Tengah</t>
        </is>
      </c>
      <c r="G148" s="10" t="inlineStr">
        <is>
          <t>Fashion</t>
        </is>
      </c>
      <c r="H148" s="10" t="inlineStr">
        <is>
          <t>Kemeja Linen</t>
        </is>
      </c>
      <c r="I148" s="10" t="n">
        <v>4</v>
      </c>
      <c r="J148" s="10" t="n">
        <v>185000</v>
      </c>
      <c r="K148" s="10" t="n">
        <v>740000</v>
      </c>
    </row>
    <row r="149">
      <c r="A149" s="10" t="inlineStr">
        <is>
          <t>INV-71193</t>
        </is>
      </c>
      <c r="B149" s="10" t="inlineStr">
        <is>
          <t>25 Jul 2025</t>
        </is>
      </c>
      <c r="C149" s="10" t="inlineStr">
        <is>
          <t>C1335</t>
        </is>
      </c>
      <c r="D149" s="10" t="inlineStr">
        <is>
          <t>regular</t>
        </is>
      </c>
      <c r="E149" s="10" t="inlineStr">
        <is>
          <t>Shopee</t>
        </is>
      </c>
      <c r="F149" s="10" t="inlineStr">
        <is>
          <t>Jawa Barat</t>
        </is>
      </c>
      <c r="G149" s="10" t="inlineStr">
        <is>
          <t>Makanan</t>
        </is>
      </c>
      <c r="H149" s="10" t="inlineStr">
        <is>
          <t>Granola 500g</t>
        </is>
      </c>
      <c r="I149" s="10" t="n">
        <v>2</v>
      </c>
      <c r="J149" s="10" t="n">
        <v>92000</v>
      </c>
      <c r="K149" s="10" t="inlineStr">
        <is>
          <t>Rp 184.000</t>
        </is>
      </c>
    </row>
    <row r="150">
      <c r="A150" s="10" t="inlineStr">
        <is>
          <t>INV-71086</t>
        </is>
      </c>
      <c r="B150" s="10" t="inlineStr">
        <is>
          <t>2026-02-20</t>
        </is>
      </c>
      <c r="C150" s="10" t="inlineStr">
        <is>
          <t>C1305</t>
        </is>
      </c>
      <c r="D150" s="10" t="inlineStr">
        <is>
          <t>champion</t>
        </is>
      </c>
      <c r="E150" s="10" t="inlineStr">
        <is>
          <t>Tokopedia</t>
        </is>
      </c>
      <c r="F150" s="10" t="inlineStr">
        <is>
          <t>Jawa Barat</t>
        </is>
      </c>
      <c r="G150" s="10" t="inlineStr">
        <is>
          <t>Fashion</t>
        </is>
      </c>
      <c r="H150" s="10" t="inlineStr">
        <is>
          <t>Dress Casual</t>
        </is>
      </c>
      <c r="I150" s="10" t="n">
        <v>1</v>
      </c>
      <c r="J150" s="10" t="n">
        <v>225000</v>
      </c>
      <c r="K150" s="10" t="inlineStr">
        <is>
          <t>Rp 225.000</t>
        </is>
      </c>
    </row>
    <row r="151">
      <c r="A151" s="10" t="inlineStr">
        <is>
          <t>INV-71328</t>
        </is>
      </c>
      <c r="B151" s="10" t="inlineStr">
        <is>
          <t>2026-03-10</t>
        </is>
      </c>
      <c r="C151" s="10" t="inlineStr">
        <is>
          <t>C1366</t>
        </is>
      </c>
      <c r="D151" s="10" t="inlineStr">
        <is>
          <t>loyal</t>
        </is>
      </c>
      <c r="E151" s="10" t="inlineStr">
        <is>
          <t>Offline Store</t>
        </is>
      </c>
      <c r="F151" s="10" t="inlineStr">
        <is>
          <t>Jabodetabek</t>
        </is>
      </c>
      <c r="G151" s="10" t="inlineStr">
        <is>
          <t>Elektronik</t>
        </is>
      </c>
      <c r="H151" s="10" t="inlineStr">
        <is>
          <t>Webcam HD</t>
        </is>
      </c>
      <c r="I151" s="10" t="n">
        <v>3</v>
      </c>
      <c r="J151" s="10" t="n">
        <v>210000</v>
      </c>
      <c r="K151" s="10" t="n">
        <v>630000</v>
      </c>
    </row>
    <row r="152">
      <c r="A152" s="10" t="inlineStr">
        <is>
          <t>INV-70893</t>
        </is>
      </c>
      <c r="B152" s="10" t="inlineStr">
        <is>
          <t>2026-01-16</t>
        </is>
      </c>
      <c r="C152" s="10" t="inlineStr">
        <is>
          <t>C1250</t>
        </is>
      </c>
      <c r="D152" s="10" t="inlineStr">
        <is>
          <t>regular</t>
        </is>
      </c>
      <c r="E152" s="10" t="inlineStr">
        <is>
          <t xml:space="preserve">Offline store </t>
        </is>
      </c>
      <c r="F152" s="10" t="inlineStr">
        <is>
          <t>Jawa Tengah</t>
        </is>
      </c>
      <c r="G152" s="10" t="inlineStr">
        <is>
          <t>Kecantikan</t>
        </is>
      </c>
      <c r="H152" s="10" t="inlineStr">
        <is>
          <t>Masker Wajah (5s)</t>
        </is>
      </c>
      <c r="I152" s="10" t="n">
        <v>2</v>
      </c>
      <c r="J152" s="10" t="n">
        <v>55000</v>
      </c>
      <c r="K152" s="10" t="n">
        <v>110000</v>
      </c>
    </row>
    <row r="153">
      <c r="A153" s="10" t="inlineStr">
        <is>
          <t>INV-70573</t>
        </is>
      </c>
      <c r="B153" s="10" t="inlineStr">
        <is>
          <t>2026-06-02</t>
        </is>
      </c>
      <c r="C153" s="10" t="inlineStr">
        <is>
          <t>C1156</t>
        </is>
      </c>
      <c r="D153" s="10" t="inlineStr">
        <is>
          <t>champion</t>
        </is>
      </c>
      <c r="E153" s="10" t="inlineStr">
        <is>
          <t>Shopee</t>
        </is>
      </c>
      <c r="F153" s="10" t="n"/>
      <c r="G153" s="10" t="inlineStr">
        <is>
          <t>Fashion</t>
        </is>
      </c>
      <c r="H153" s="10" t="inlineStr">
        <is>
          <t>Dress Casual</t>
        </is>
      </c>
      <c r="I153" s="10" t="n">
        <v>2</v>
      </c>
      <c r="J153" s="10" t="n">
        <v>225000</v>
      </c>
      <c r="K153" s="10" t="n">
        <v>450000</v>
      </c>
    </row>
    <row r="154">
      <c r="A154" s="10" t="inlineStr">
        <is>
          <t>INV-70318</t>
        </is>
      </c>
      <c r="B154" s="10" t="inlineStr">
        <is>
          <t>2026-01-23</t>
        </is>
      </c>
      <c r="C154" s="10" t="inlineStr">
        <is>
          <t>C1088</t>
        </is>
      </c>
      <c r="D154" s="10" t="inlineStr">
        <is>
          <t>champion</t>
        </is>
      </c>
      <c r="E154" s="10" t="inlineStr">
        <is>
          <t>Shopee</t>
        </is>
      </c>
      <c r="F154" s="10" t="inlineStr">
        <is>
          <t>Sumatera</t>
        </is>
      </c>
      <c r="G154" s="10" t="inlineStr">
        <is>
          <t>Rumah Tangga</t>
        </is>
      </c>
      <c r="H154" s="10" t="inlineStr">
        <is>
          <t>Karpet Bulu</t>
        </is>
      </c>
      <c r="I154" s="10" t="n">
        <v>3</v>
      </c>
      <c r="J154" s="10" t="n">
        <v>240000</v>
      </c>
      <c r="K154" s="10" t="n">
        <v>720000</v>
      </c>
    </row>
    <row r="155">
      <c r="A155" s="10" t="inlineStr">
        <is>
          <t>INV-71303</t>
        </is>
      </c>
      <c r="B155" s="10" t="inlineStr">
        <is>
          <t>2025-05-13</t>
        </is>
      </c>
      <c r="C155" s="10" t="inlineStr">
        <is>
          <t>C1361</t>
        </is>
      </c>
      <c r="D155" s="10" t="inlineStr">
        <is>
          <t>champion</t>
        </is>
      </c>
      <c r="E155" s="10" t="inlineStr">
        <is>
          <t>Shopee</t>
        </is>
      </c>
      <c r="F155" s="10" t="inlineStr">
        <is>
          <t>Jabodetabek</t>
        </is>
      </c>
      <c r="G155" s="10" t="inlineStr">
        <is>
          <t>Kecantikan</t>
        </is>
      </c>
      <c r="H155" s="10" t="inlineStr">
        <is>
          <t>Masker Wajah (5s)</t>
        </is>
      </c>
      <c r="I155" s="10" t="n">
        <v>1</v>
      </c>
      <c r="J155" s="10" t="n">
        <v>55000</v>
      </c>
      <c r="K155" s="10" t="n">
        <v>55000</v>
      </c>
    </row>
    <row r="156">
      <c r="A156" s="10" t="inlineStr">
        <is>
          <t>INV-71252</t>
        </is>
      </c>
      <c r="B156" s="10" t="inlineStr">
        <is>
          <t>2026-06-21</t>
        </is>
      </c>
      <c r="C156" s="10" t="inlineStr">
        <is>
          <t>C1352</t>
        </is>
      </c>
      <c r="D156" s="10" t="inlineStr">
        <is>
          <t>loyal</t>
        </is>
      </c>
      <c r="E156" s="10" t="inlineStr">
        <is>
          <t>Shopee</t>
        </is>
      </c>
      <c r="F156" s="10" t="inlineStr">
        <is>
          <t>Jawa Timur</t>
        </is>
      </c>
      <c r="G156" s="10" t="inlineStr">
        <is>
          <t>Fashion</t>
        </is>
      </c>
      <c r="H156" s="10" t="inlineStr">
        <is>
          <t>Kemeja Linen</t>
        </is>
      </c>
      <c r="I156" s="10" t="n">
        <v>2</v>
      </c>
      <c r="J156" s="10" t="n">
        <v>185000</v>
      </c>
      <c r="K156" s="10" t="n">
        <v>370000</v>
      </c>
    </row>
    <row r="157">
      <c r="A157" s="10" t="inlineStr">
        <is>
          <t>INV-71385</t>
        </is>
      </c>
      <c r="B157" s="10" t="inlineStr">
        <is>
          <t>2025-10-08</t>
        </is>
      </c>
      <c r="C157" s="10" t="inlineStr">
        <is>
          <t>C1383</t>
        </is>
      </c>
      <c r="D157" s="10" t="inlineStr">
        <is>
          <t>loyal</t>
        </is>
      </c>
      <c r="E157" s="10" t="inlineStr">
        <is>
          <t xml:space="preserve"> tokopedia</t>
        </is>
      </c>
      <c r="F157" s="10" t="inlineStr">
        <is>
          <t>Jawa Barat</t>
        </is>
      </c>
      <c r="G157" s="10" t="inlineStr">
        <is>
          <t>Fashion</t>
        </is>
      </c>
      <c r="H157" s="10" t="inlineStr">
        <is>
          <t>Dress Casual</t>
        </is>
      </c>
      <c r="I157" s="10" t="n">
        <v>2</v>
      </c>
      <c r="J157" s="10" t="n">
        <v>225000</v>
      </c>
      <c r="K157" s="10" t="n">
        <v>450000</v>
      </c>
    </row>
    <row r="158">
      <c r="A158" s="10" t="inlineStr">
        <is>
          <t>INV-70577</t>
        </is>
      </c>
      <c r="B158" s="10" t="inlineStr">
        <is>
          <t>12/04/2026</t>
        </is>
      </c>
      <c r="C158" s="10" t="inlineStr">
        <is>
          <t>C1157</t>
        </is>
      </c>
      <c r="D158" s="10" t="inlineStr">
        <is>
          <t>loyal</t>
        </is>
      </c>
      <c r="E158" s="10" t="inlineStr">
        <is>
          <t>Shopee</t>
        </is>
      </c>
      <c r="F158" s="10" t="inlineStr">
        <is>
          <t>Jabodetabek</t>
        </is>
      </c>
      <c r="G158" s="10" t="inlineStr">
        <is>
          <t>Rumah Tangga</t>
        </is>
      </c>
      <c r="H158" s="10" t="inlineStr">
        <is>
          <t>Set Wadah Kedap</t>
        </is>
      </c>
      <c r="I158" s="10" t="n">
        <v>1</v>
      </c>
      <c r="J158" s="10" t="n">
        <v>135000</v>
      </c>
      <c r="K158" s="10" t="inlineStr">
        <is>
          <t>Rp 135.000</t>
        </is>
      </c>
    </row>
    <row r="159">
      <c r="A159" s="10" t="inlineStr">
        <is>
          <t>INV-71030</t>
        </is>
      </c>
      <c r="B159" s="10" t="inlineStr">
        <is>
          <t>16 Mar 2026</t>
        </is>
      </c>
      <c r="C159" s="10" t="inlineStr">
        <is>
          <t>C1292</t>
        </is>
      </c>
      <c r="D159" s="10" t="inlineStr">
        <is>
          <t>regular</t>
        </is>
      </c>
      <c r="E159" s="10" t="inlineStr">
        <is>
          <t>Shopee</t>
        </is>
      </c>
      <c r="F159" s="10" t="inlineStr">
        <is>
          <t>Sumatera</t>
        </is>
      </c>
      <c r="G159" s="10" t="inlineStr">
        <is>
          <t>Elektronik</t>
        </is>
      </c>
      <c r="H159" s="10" t="inlineStr">
        <is>
          <t>Smartwatch</t>
        </is>
      </c>
      <c r="I159" s="10" t="n">
        <v>3</v>
      </c>
      <c r="J159" s="10" t="n">
        <v>450000</v>
      </c>
      <c r="K159" s="10" t="n">
        <v>1350000</v>
      </c>
    </row>
    <row r="160">
      <c r="A160" s="10" t="inlineStr">
        <is>
          <t>INV-70751</t>
        </is>
      </c>
      <c r="B160" s="10" t="inlineStr">
        <is>
          <t>16 Mar 2026</t>
        </is>
      </c>
      <c r="C160" s="10" t="inlineStr">
        <is>
          <t>C1210</t>
        </is>
      </c>
      <c r="D160" s="10" t="inlineStr">
        <is>
          <t>loyal</t>
        </is>
      </c>
      <c r="E160" s="10" t="inlineStr">
        <is>
          <t>Tokopedia</t>
        </is>
      </c>
      <c r="F160" s="10" t="inlineStr">
        <is>
          <t>Jabodetabek</t>
        </is>
      </c>
      <c r="G160" s="10" t="inlineStr">
        <is>
          <t>Rumah Tangga</t>
        </is>
      </c>
      <c r="H160" s="10" t="inlineStr">
        <is>
          <t>Set Wadah Kedap</t>
        </is>
      </c>
      <c r="I160" s="10" t="n">
        <v>1</v>
      </c>
      <c r="J160" s="10" t="n">
        <v>135000</v>
      </c>
      <c r="K160" s="10" t="n">
        <v>135000</v>
      </c>
    </row>
    <row r="161">
      <c r="A161" s="10" t="inlineStr">
        <is>
          <t>INV-70428</t>
        </is>
      </c>
      <c r="B161" s="10" t="inlineStr">
        <is>
          <t>2025-04-04</t>
        </is>
      </c>
      <c r="C161" s="10" t="inlineStr">
        <is>
          <t>C1122</t>
        </is>
      </c>
      <c r="D161" s="10" t="inlineStr">
        <is>
          <t>loyal</t>
        </is>
      </c>
      <c r="E161" s="10" t="inlineStr">
        <is>
          <t>Offline Store</t>
        </is>
      </c>
      <c r="F161" s="10" t="inlineStr">
        <is>
          <t>Jawa Timur</t>
        </is>
      </c>
      <c r="G161" s="10" t="inlineStr">
        <is>
          <t>Rumah Tangga</t>
        </is>
      </c>
      <c r="H161" s="10" t="inlineStr">
        <is>
          <t>Organizer Laci</t>
        </is>
      </c>
      <c r="I161" s="10" t="n">
        <v>1</v>
      </c>
      <c r="J161" s="10" t="n">
        <v>78000</v>
      </c>
      <c r="K161" s="10" t="n">
        <v>78000</v>
      </c>
    </row>
    <row r="162">
      <c r="A162" s="10" t="inlineStr">
        <is>
          <t>INV-70009</t>
        </is>
      </c>
      <c r="B162" s="10" t="inlineStr">
        <is>
          <t>2025-06-14</t>
        </is>
      </c>
      <c r="C162" s="10" t="inlineStr">
        <is>
          <t>C1002</t>
        </is>
      </c>
      <c r="D162" s="10" t="inlineStr">
        <is>
          <t>loyal</t>
        </is>
      </c>
      <c r="E162" s="10" t="inlineStr">
        <is>
          <t>TikTok Shop</t>
        </is>
      </c>
      <c r="F162" s="10" t="inlineStr">
        <is>
          <t>Jabodetabek</t>
        </is>
      </c>
      <c r="G162" s="10" t="inlineStr">
        <is>
          <t>Kecantikan</t>
        </is>
      </c>
      <c r="H162" s="10" t="inlineStr">
        <is>
          <t>Masker Wajah (5s)</t>
        </is>
      </c>
      <c r="I162" s="10" t="n">
        <v>2</v>
      </c>
      <c r="J162" s="10" t="n">
        <v>55000</v>
      </c>
      <c r="K162" s="10" t="inlineStr">
        <is>
          <t>Rp 110.000</t>
        </is>
      </c>
    </row>
    <row r="163">
      <c r="A163" s="10" t="inlineStr">
        <is>
          <t>INV-71375</t>
        </is>
      </c>
      <c r="B163" s="10" t="inlineStr">
        <is>
          <t>06/11/2025</t>
        </is>
      </c>
      <c r="C163" s="10" t="inlineStr">
        <is>
          <t>C1380</t>
        </is>
      </c>
      <c r="D163" s="10" t="inlineStr">
        <is>
          <t>onetime</t>
        </is>
      </c>
      <c r="E163" s="10" t="inlineStr">
        <is>
          <t>Shopee</t>
        </is>
      </c>
      <c r="F163" s="10" t="inlineStr">
        <is>
          <t>Jabodetabek</t>
        </is>
      </c>
      <c r="G163" s="10" t="inlineStr">
        <is>
          <t>Elektronik</t>
        </is>
      </c>
      <c r="H163" s="10" t="inlineStr">
        <is>
          <t>Webcam HD</t>
        </is>
      </c>
      <c r="I163" s="10" t="n">
        <v>1</v>
      </c>
      <c r="J163" s="10" t="n">
        <v>210000</v>
      </c>
      <c r="K163" s="10" t="inlineStr">
        <is>
          <t>Rp 210.000</t>
        </is>
      </c>
    </row>
    <row r="164">
      <c r="A164" s="10" t="inlineStr">
        <is>
          <t>INV-70222</t>
        </is>
      </c>
      <c r="B164" s="10" t="inlineStr">
        <is>
          <t>2025-02-06</t>
        </is>
      </c>
      <c r="C164" s="10" t="inlineStr">
        <is>
          <t>C1062</t>
        </is>
      </c>
      <c r="D164" s="10" t="inlineStr">
        <is>
          <t>occasional</t>
        </is>
      </c>
      <c r="E164" s="10" t="inlineStr">
        <is>
          <t>Tokopedia</t>
        </is>
      </c>
      <c r="F164" s="10" t="inlineStr">
        <is>
          <t>Jabodetabek</t>
        </is>
      </c>
      <c r="G164" s="10" t="inlineStr">
        <is>
          <t>Rumah Tangga</t>
        </is>
      </c>
      <c r="H164" s="10" t="inlineStr">
        <is>
          <t>Set Wadah Kedap</t>
        </is>
      </c>
      <c r="I164" s="10" t="n">
        <v>1</v>
      </c>
      <c r="J164" s="10" t="n">
        <v>135000</v>
      </c>
      <c r="K164" s="10" t="n">
        <v>135000</v>
      </c>
    </row>
    <row r="165">
      <c r="A165" s="10" t="inlineStr">
        <is>
          <t>INV-71427</t>
        </is>
      </c>
      <c r="B165" s="10" t="inlineStr">
        <is>
          <t>13 Dec 2025</t>
        </is>
      </c>
      <c r="C165" s="10" t="inlineStr">
        <is>
          <t>C1393</t>
        </is>
      </c>
      <c r="D165" s="10" t="inlineStr">
        <is>
          <t>regular</t>
        </is>
      </c>
      <c r="E165" s="10" t="inlineStr">
        <is>
          <t>Tokopedia</t>
        </is>
      </c>
      <c r="F165" s="10" t="inlineStr">
        <is>
          <t>Jawa Barat</t>
        </is>
      </c>
      <c r="G165" s="10" t="inlineStr">
        <is>
          <t>Fashion</t>
        </is>
      </c>
      <c r="H165" s="10" t="inlineStr">
        <is>
          <t>Kemeja Linen</t>
        </is>
      </c>
      <c r="I165" s="10" t="n">
        <v>2</v>
      </c>
      <c r="J165" s="10" t="n">
        <v>185000</v>
      </c>
      <c r="K165" s="10" t="n">
        <v>370000</v>
      </c>
    </row>
    <row r="166">
      <c r="A166" s="10" t="inlineStr">
        <is>
          <t>INV-70815</t>
        </is>
      </c>
      <c r="B166" s="10" t="inlineStr">
        <is>
          <t>2026-04-01</t>
        </is>
      </c>
      <c r="C166" s="10" t="inlineStr">
        <is>
          <t>C1230</t>
        </is>
      </c>
      <c r="D166" s="10" t="inlineStr">
        <is>
          <t>occasional</t>
        </is>
      </c>
      <c r="E166" s="10" t="inlineStr">
        <is>
          <t xml:space="preserve"> tokopedia</t>
        </is>
      </c>
      <c r="F166" s="10" t="inlineStr">
        <is>
          <t>Jabodetabek</t>
        </is>
      </c>
      <c r="G166" s="10" t="inlineStr">
        <is>
          <t>Rumah Tangga</t>
        </is>
      </c>
      <c r="H166" s="10" t="inlineStr">
        <is>
          <t>Set Wadah Kedap</t>
        </is>
      </c>
      <c r="I166" s="10" t="n">
        <v>2</v>
      </c>
      <c r="J166" s="10" t="n">
        <v>135000</v>
      </c>
      <c r="K166" s="10" t="inlineStr">
        <is>
          <t>Rp 270.000</t>
        </is>
      </c>
    </row>
    <row r="167">
      <c r="A167" s="10" t="inlineStr">
        <is>
          <t>INV-71441</t>
        </is>
      </c>
      <c r="B167" s="10" t="inlineStr">
        <is>
          <t>01/06/2026</t>
        </is>
      </c>
      <c r="C167" s="10" t="inlineStr">
        <is>
          <t>C1396</t>
        </is>
      </c>
      <c r="D167" s="10" t="inlineStr">
        <is>
          <t>loyal</t>
        </is>
      </c>
      <c r="E167" s="10" t="inlineStr">
        <is>
          <t>Tokopedia</t>
        </is>
      </c>
      <c r="F167" s="10" t="inlineStr">
        <is>
          <t>Jabodetabek</t>
        </is>
      </c>
      <c r="G167" s="10" t="inlineStr">
        <is>
          <t>kecantikan</t>
        </is>
      </c>
      <c r="H167" s="10" t="inlineStr">
        <is>
          <t>Masker Wajah (5s)</t>
        </is>
      </c>
      <c r="I167" s="10" t="n">
        <v>1</v>
      </c>
      <c r="J167" s="10" t="n">
        <v>55000</v>
      </c>
      <c r="K167" s="10" t="inlineStr">
        <is>
          <t>Rp 55.000</t>
        </is>
      </c>
    </row>
    <row r="168">
      <c r="A168" s="10" t="inlineStr">
        <is>
          <t>INV-70034</t>
        </is>
      </c>
      <c r="B168" s="10" t="inlineStr">
        <is>
          <t>04/12/2025</t>
        </is>
      </c>
      <c r="C168" s="10" t="inlineStr">
        <is>
          <t>C1008</t>
        </is>
      </c>
      <c r="D168" s="10" t="inlineStr">
        <is>
          <t>regular</t>
        </is>
      </c>
      <c r="E168" s="10" t="inlineStr">
        <is>
          <t>Offline Store</t>
        </is>
      </c>
      <c r="F168" s="10" t="inlineStr">
        <is>
          <t>Sumatera</t>
        </is>
      </c>
      <c r="G168" s="10" t="inlineStr">
        <is>
          <t>makanan</t>
        </is>
      </c>
      <c r="H168" s="10" t="inlineStr">
        <is>
          <t>Granola 500g</t>
        </is>
      </c>
      <c r="I168" s="10" t="n">
        <v>1</v>
      </c>
      <c r="J168" s="10" t="n">
        <v>92000</v>
      </c>
      <c r="K168" s="10" t="n">
        <v>92000</v>
      </c>
    </row>
    <row r="169">
      <c r="A169" s="10" t="inlineStr">
        <is>
          <t>INV-70749</t>
        </is>
      </c>
      <c r="B169" s="10" t="inlineStr">
        <is>
          <t>2026-03-07</t>
        </is>
      </c>
      <c r="C169" s="10" t="inlineStr">
        <is>
          <t>C1210</t>
        </is>
      </c>
      <c r="D169" s="10" t="inlineStr">
        <is>
          <t>loyal</t>
        </is>
      </c>
      <c r="E169" s="10" t="inlineStr">
        <is>
          <t>Shopee</t>
        </is>
      </c>
      <c r="F169" s="10" t="inlineStr">
        <is>
          <t>Jabodetabek</t>
        </is>
      </c>
      <c r="G169" s="10" t="inlineStr">
        <is>
          <t>Elektronik</t>
        </is>
      </c>
      <c r="H169" s="10" t="inlineStr">
        <is>
          <t>Smartwatch</t>
        </is>
      </c>
      <c r="I169" s="10" t="n">
        <v>1</v>
      </c>
      <c r="J169" s="10" t="n">
        <v>450000</v>
      </c>
      <c r="K169" s="10" t="n">
        <v>450000</v>
      </c>
    </row>
    <row r="170">
      <c r="A170" s="10" t="inlineStr">
        <is>
          <t>INV-71561</t>
        </is>
      </c>
      <c r="B170" s="10" t="inlineStr">
        <is>
          <t>2025-07-15</t>
        </is>
      </c>
      <c r="C170" s="10" t="inlineStr">
        <is>
          <t>C1428</t>
        </is>
      </c>
      <c r="D170" s="10" t="inlineStr">
        <is>
          <t>loyal</t>
        </is>
      </c>
      <c r="E170" s="10" t="inlineStr">
        <is>
          <t>Shopee</t>
        </is>
      </c>
      <c r="F170" s="10" t="inlineStr">
        <is>
          <t>Jabodetabek</t>
        </is>
      </c>
      <c r="G170" s="10" t="inlineStr">
        <is>
          <t>Rumah Tangga</t>
        </is>
      </c>
      <c r="H170" s="10" t="inlineStr">
        <is>
          <t>Set Wadah Kedap</t>
        </is>
      </c>
      <c r="I170" s="10" t="n">
        <v>4</v>
      </c>
      <c r="J170" s="10" t="n">
        <v>135000</v>
      </c>
      <c r="K170" s="10" t="n">
        <v>540000</v>
      </c>
    </row>
    <row r="171">
      <c r="A171" s="10" t="inlineStr">
        <is>
          <t>INV-70271</t>
        </is>
      </c>
      <c r="B171" s="10" t="inlineStr">
        <is>
          <t>2025-12-24</t>
        </is>
      </c>
      <c r="C171" s="10" t="inlineStr">
        <is>
          <t>C1076</t>
        </is>
      </c>
      <c r="D171" s="10" t="inlineStr">
        <is>
          <t>loyal</t>
        </is>
      </c>
      <c r="E171" s="10" t="inlineStr">
        <is>
          <t>Shopee</t>
        </is>
      </c>
      <c r="F171" s="10" t="inlineStr">
        <is>
          <t>Sumatera</t>
        </is>
      </c>
      <c r="G171" s="10" t="inlineStr">
        <is>
          <t>Elektronik</t>
        </is>
      </c>
      <c r="H171" s="10" t="inlineStr">
        <is>
          <t>Smartwatch</t>
        </is>
      </c>
      <c r="I171" s="10" t="n">
        <v>4</v>
      </c>
      <c r="J171" s="10" t="n">
        <v>450000</v>
      </c>
      <c r="K171" s="10" t="inlineStr">
        <is>
          <t>Rp 1.800.000</t>
        </is>
      </c>
    </row>
    <row r="172">
      <c r="A172" s="10" t="inlineStr">
        <is>
          <t>INV-70920</t>
        </is>
      </c>
      <c r="B172" s="10" t="inlineStr">
        <is>
          <t>2026-02-02</t>
        </is>
      </c>
      <c r="C172" s="10" t="inlineStr">
        <is>
          <t>C1260</t>
        </is>
      </c>
      <c r="D172" s="10" t="inlineStr">
        <is>
          <t>occasional</t>
        </is>
      </c>
      <c r="E172" s="10" t="inlineStr">
        <is>
          <t>tiktok shop</t>
        </is>
      </c>
      <c r="F172" s="10" t="inlineStr">
        <is>
          <t>Jabodetabek</t>
        </is>
      </c>
      <c r="G172" s="10" t="inlineStr">
        <is>
          <t>Rumah Tangga</t>
        </is>
      </c>
      <c r="H172" s="10" t="inlineStr">
        <is>
          <t>Set Wadah Kedap</t>
        </is>
      </c>
      <c r="I172" s="10" t="n">
        <v>1</v>
      </c>
      <c r="J172" s="10" t="n">
        <v>135000</v>
      </c>
      <c r="K172" s="10" t="n">
        <v>135000</v>
      </c>
    </row>
    <row r="173">
      <c r="A173" s="10" t="inlineStr">
        <is>
          <t>INV-71049</t>
        </is>
      </c>
      <c r="B173" s="10" t="inlineStr">
        <is>
          <t>2025-03-02</t>
        </is>
      </c>
      <c r="C173" s="10" t="inlineStr">
        <is>
          <t>C1296</t>
        </is>
      </c>
      <c r="D173" s="10" t="inlineStr">
        <is>
          <t>loyal</t>
        </is>
      </c>
      <c r="E173" s="10" t="inlineStr">
        <is>
          <t>Offline Store</t>
        </is>
      </c>
      <c r="F173" s="10" t="inlineStr">
        <is>
          <t>Sumatera</t>
        </is>
      </c>
      <c r="G173" s="10" t="inlineStr">
        <is>
          <t>Fashion</t>
        </is>
      </c>
      <c r="H173" s="10" t="inlineStr">
        <is>
          <t>Jaket Denim</t>
        </is>
      </c>
      <c r="I173" s="10" t="n">
        <v>1</v>
      </c>
      <c r="J173" s="10" t="n">
        <v>320000</v>
      </c>
      <c r="K173" s="10" t="inlineStr">
        <is>
          <t>Rp 320.000</t>
        </is>
      </c>
    </row>
    <row r="174">
      <c r="A174" s="10" t="inlineStr">
        <is>
          <t>INV-70003</t>
        </is>
      </c>
      <c r="B174" s="10" t="inlineStr">
        <is>
          <t>2025-04-08</t>
        </is>
      </c>
      <c r="C174" s="10" t="inlineStr">
        <is>
          <t>C1000</t>
        </is>
      </c>
      <c r="D174" s="10" t="inlineStr">
        <is>
          <t>loyal</t>
        </is>
      </c>
      <c r="E174" s="10" t="inlineStr">
        <is>
          <t>tiktok shop</t>
        </is>
      </c>
      <c r="F174" s="10" t="inlineStr">
        <is>
          <t>Jawa Timur</t>
        </is>
      </c>
      <c r="G174" s="10" t="inlineStr">
        <is>
          <t>Fashion</t>
        </is>
      </c>
      <c r="H174" s="10" t="inlineStr">
        <is>
          <t>Dress Casual</t>
        </is>
      </c>
      <c r="I174" s="10" t="n">
        <v>2</v>
      </c>
      <c r="J174" s="10" t="n">
        <v>225000</v>
      </c>
      <c r="K174" s="10" t="inlineStr">
        <is>
          <t>Rp 450.000</t>
        </is>
      </c>
    </row>
    <row r="175">
      <c r="A175" s="10" t="inlineStr">
        <is>
          <t>INV-71106</t>
        </is>
      </c>
      <c r="B175" s="10" t="inlineStr">
        <is>
          <t>2025-02-21</t>
        </is>
      </c>
      <c r="C175" s="10" t="inlineStr">
        <is>
          <t>C1310</t>
        </is>
      </c>
      <c r="D175" s="10" t="inlineStr">
        <is>
          <t>loyal</t>
        </is>
      </c>
      <c r="E175" s="10" t="inlineStr">
        <is>
          <t>Shopee</t>
        </is>
      </c>
      <c r="F175" s="10" t="inlineStr">
        <is>
          <t>Jawa Tengah</t>
        </is>
      </c>
      <c r="G175" s="10" t="inlineStr">
        <is>
          <t>Rumah Tangga</t>
        </is>
      </c>
      <c r="H175" s="10" t="inlineStr">
        <is>
          <t>Set Wadah Kedap</t>
        </is>
      </c>
      <c r="I175" s="10" t="n">
        <v>1</v>
      </c>
      <c r="J175" s="10" t="n">
        <v>135000</v>
      </c>
      <c r="K175" s="10" t="inlineStr">
        <is>
          <t>Rp 135.000</t>
        </is>
      </c>
    </row>
    <row r="176">
      <c r="A176" s="10" t="inlineStr">
        <is>
          <t>INV-70243</t>
        </is>
      </c>
      <c r="B176" s="10" t="inlineStr">
        <is>
          <t>2026-06-18</t>
        </is>
      </c>
      <c r="C176" s="10" t="inlineStr">
        <is>
          <t>C1069</t>
        </is>
      </c>
      <c r="D176" s="10" t="inlineStr">
        <is>
          <t>loyal</t>
        </is>
      </c>
      <c r="E176" s="10" t="inlineStr">
        <is>
          <t>Tokopedia</t>
        </is>
      </c>
      <c r="F176" s="10" t="inlineStr">
        <is>
          <t>Jawa Timur</t>
        </is>
      </c>
      <c r="G176" s="10" t="inlineStr">
        <is>
          <t>elektronik</t>
        </is>
      </c>
      <c r="H176" s="10" t="inlineStr">
        <is>
          <t>Earbuds TWS</t>
        </is>
      </c>
      <c r="I176" s="10" t="n">
        <v>1</v>
      </c>
      <c r="J176" s="10" t="n">
        <v>265000</v>
      </c>
      <c r="K176" s="10" t="inlineStr">
        <is>
          <t>Rp 265.000</t>
        </is>
      </c>
    </row>
    <row r="177">
      <c r="A177" s="10" t="inlineStr">
        <is>
          <t>INV-71506</t>
        </is>
      </c>
      <c r="B177" s="10" t="inlineStr">
        <is>
          <t>12 Jun 2025</t>
        </is>
      </c>
      <c r="C177" s="10" t="inlineStr">
        <is>
          <t>C1413</t>
        </is>
      </c>
      <c r="D177" s="10" t="inlineStr">
        <is>
          <t>occasional</t>
        </is>
      </c>
      <c r="E177" s="10" t="inlineStr">
        <is>
          <t>Shopee</t>
        </is>
      </c>
      <c r="F177" s="10" t="inlineStr">
        <is>
          <t>Jabodetabek</t>
        </is>
      </c>
      <c r="G177" s="10" t="inlineStr">
        <is>
          <t>Elektronik</t>
        </is>
      </c>
      <c r="H177" s="10" t="inlineStr">
        <is>
          <t>Webcam HD</t>
        </is>
      </c>
      <c r="I177" s="10" t="n">
        <v>4</v>
      </c>
      <c r="J177" s="10" t="n">
        <v>210000</v>
      </c>
      <c r="K177" s="10" t="n">
        <v>840000</v>
      </c>
    </row>
    <row r="178">
      <c r="A178" s="10" t="inlineStr">
        <is>
          <t>INV-70203</t>
        </is>
      </c>
      <c r="B178" s="10" t="inlineStr">
        <is>
          <t>2026-05-03</t>
        </is>
      </c>
      <c r="C178" s="10" t="inlineStr">
        <is>
          <t>C1057</t>
        </is>
      </c>
      <c r="D178" s="10" t="inlineStr">
        <is>
          <t>regular</t>
        </is>
      </c>
      <c r="E178" s="10" t="inlineStr">
        <is>
          <t>TikTok Shop</t>
        </is>
      </c>
      <c r="F178" s="10" t="inlineStr">
        <is>
          <t>Jabodetabek</t>
        </is>
      </c>
      <c r="G178" s="10" t="inlineStr">
        <is>
          <t>Kecantikan</t>
        </is>
      </c>
      <c r="H178" s="10" t="inlineStr">
        <is>
          <t>Lip Tint</t>
        </is>
      </c>
      <c r="I178" s="10" t="n">
        <v>1</v>
      </c>
      <c r="J178" s="10" t="n">
        <v>65000</v>
      </c>
      <c r="K178" s="10" t="n">
        <v>65000</v>
      </c>
    </row>
    <row r="179">
      <c r="A179" s="10" t="inlineStr">
        <is>
          <t>INV-70386</t>
        </is>
      </c>
      <c r="B179" s="10" t="inlineStr">
        <is>
          <t>2026-03-04</t>
        </is>
      </c>
      <c r="C179" s="10" t="inlineStr">
        <is>
          <t>C1111</t>
        </is>
      </c>
      <c r="D179" s="10" t="inlineStr">
        <is>
          <t>champion</t>
        </is>
      </c>
      <c r="E179" s="10" t="inlineStr">
        <is>
          <t>Tokopedia</t>
        </is>
      </c>
      <c r="F179" s="10" t="inlineStr">
        <is>
          <t>Jawa Tengah</t>
        </is>
      </c>
      <c r="G179" s="10" t="inlineStr">
        <is>
          <t>Rumah Tangga</t>
        </is>
      </c>
      <c r="H179" s="10" t="inlineStr">
        <is>
          <t>Set Wadah Kedap</t>
        </is>
      </c>
      <c r="I179" s="10" t="n">
        <v>1</v>
      </c>
      <c r="J179" s="10" t="n">
        <v>135000</v>
      </c>
      <c r="K179" s="10" t="n">
        <v>135000</v>
      </c>
    </row>
    <row r="180">
      <c r="A180" s="10" t="inlineStr">
        <is>
          <t>INV-71207</t>
        </is>
      </c>
      <c r="B180" s="10" t="inlineStr">
        <is>
          <t>2025-12-01</t>
        </is>
      </c>
      <c r="C180" s="10" t="inlineStr">
        <is>
          <t>C1343</t>
        </is>
      </c>
      <c r="D180" s="10" t="inlineStr">
        <is>
          <t>regular</t>
        </is>
      </c>
      <c r="E180" s="10" t="inlineStr">
        <is>
          <t>Shopee</t>
        </is>
      </c>
      <c r="F180" s="10" t="inlineStr">
        <is>
          <t>Lainnya</t>
        </is>
      </c>
      <c r="G180" s="10" t="inlineStr">
        <is>
          <t>Rumah Tangga</t>
        </is>
      </c>
      <c r="H180" s="10" t="inlineStr">
        <is>
          <t>Organizer Laci</t>
        </is>
      </c>
      <c r="I180" s="10" t="n">
        <v>4</v>
      </c>
      <c r="J180" s="10" t="n">
        <v>78000</v>
      </c>
      <c r="K180" s="10" t="n">
        <v>312000</v>
      </c>
    </row>
    <row r="181">
      <c r="A181" s="10" t="inlineStr">
        <is>
          <t>INV-70732</t>
        </is>
      </c>
      <c r="B181" s="10" t="inlineStr">
        <is>
          <t>2026-05-08</t>
        </is>
      </c>
      <c r="C181" s="10" t="inlineStr">
        <is>
          <t>C1206</t>
        </is>
      </c>
      <c r="D181" s="10" t="inlineStr">
        <is>
          <t>regular</t>
        </is>
      </c>
      <c r="E181" s="10" t="inlineStr">
        <is>
          <t>Offline Store</t>
        </is>
      </c>
      <c r="F181" s="10" t="inlineStr">
        <is>
          <t>Jawa Timur</t>
        </is>
      </c>
      <c r="G181" s="10" t="inlineStr">
        <is>
          <t>Rumah Tangga</t>
        </is>
      </c>
      <c r="H181" s="10" t="inlineStr">
        <is>
          <t>Set Wadah Kedap</t>
        </is>
      </c>
      <c r="I181" s="10" t="n">
        <v>1</v>
      </c>
      <c r="J181" s="10" t="n">
        <v>135000</v>
      </c>
      <c r="K181" s="10" t="inlineStr">
        <is>
          <t>Rp 135.000</t>
        </is>
      </c>
    </row>
    <row r="182">
      <c r="A182" s="10" t="inlineStr">
        <is>
          <t>INV-71005</t>
        </is>
      </c>
      <c r="B182" s="10" t="inlineStr">
        <is>
          <t>07 Jun 2025</t>
        </is>
      </c>
      <c r="C182" s="10" t="inlineStr">
        <is>
          <t>C1287</t>
        </is>
      </c>
      <c r="D182" s="10" t="inlineStr">
        <is>
          <t>champion</t>
        </is>
      </c>
      <c r="E182" s="10" t="inlineStr">
        <is>
          <t>Shopee</t>
        </is>
      </c>
      <c r="F182" s="10" t="inlineStr">
        <is>
          <t>Jawa Barat</t>
        </is>
      </c>
      <c r="G182" s="10" t="inlineStr">
        <is>
          <t>rumah tangga</t>
        </is>
      </c>
      <c r="H182" s="10" t="inlineStr">
        <is>
          <t>Set Wadah Kedap</t>
        </is>
      </c>
      <c r="I182" s="10" t="n">
        <v>1</v>
      </c>
      <c r="J182" s="10" t="n">
        <v>135000</v>
      </c>
      <c r="K182" s="10" t="n">
        <v>135000</v>
      </c>
    </row>
    <row r="183">
      <c r="A183" s="10" t="inlineStr">
        <is>
          <t>INV-71550</t>
        </is>
      </c>
      <c r="B183" s="10" t="inlineStr">
        <is>
          <t>2025-11-01</t>
        </is>
      </c>
      <c r="C183" s="10" t="inlineStr">
        <is>
          <t>C1427</t>
        </is>
      </c>
      <c r="D183" s="10" t="inlineStr">
        <is>
          <t>occasional</t>
        </is>
      </c>
      <c r="E183" s="10" t="inlineStr">
        <is>
          <t>Shopee</t>
        </is>
      </c>
      <c r="F183" s="10" t="inlineStr">
        <is>
          <t>Jawa Barat</t>
        </is>
      </c>
      <c r="G183" s="10" t="inlineStr">
        <is>
          <t>Rumah Tangga</t>
        </is>
      </c>
      <c r="H183" s="10" t="inlineStr">
        <is>
          <t>Diffuser Aroma</t>
        </is>
      </c>
      <c r="I183" s="10" t="n">
        <v>3</v>
      </c>
      <c r="J183" s="10" t="n">
        <v>195000</v>
      </c>
      <c r="K183" s="10" t="n">
        <v>585000</v>
      </c>
    </row>
    <row r="184">
      <c r="A184" s="10" t="inlineStr">
        <is>
          <t>INV-70962</t>
        </is>
      </c>
      <c r="B184" s="10" t="inlineStr">
        <is>
          <t>2025-10-18</t>
        </is>
      </c>
      <c r="C184" s="10" t="inlineStr">
        <is>
          <t>C1273</t>
        </is>
      </c>
      <c r="D184" s="10" t="inlineStr">
        <is>
          <t>loyal</t>
        </is>
      </c>
      <c r="E184" s="10" t="inlineStr">
        <is>
          <t>Shopee</t>
        </is>
      </c>
      <c r="F184" s="10" t="inlineStr">
        <is>
          <t>Jabodetabek</t>
        </is>
      </c>
      <c r="G184" s="10" t="inlineStr">
        <is>
          <t>Makanan</t>
        </is>
      </c>
      <c r="H184" s="10" t="inlineStr">
        <is>
          <t>Granola 500g</t>
        </is>
      </c>
      <c r="I184" s="10" t="n">
        <v>3</v>
      </c>
      <c r="J184" s="10" t="n">
        <v>92000</v>
      </c>
      <c r="K184" s="10" t="n">
        <v>276000</v>
      </c>
    </row>
    <row r="185">
      <c r="A185" s="10" t="inlineStr">
        <is>
          <t>INV-71479</t>
        </is>
      </c>
      <c r="B185" s="10" t="inlineStr">
        <is>
          <t>2026-01-13</t>
        </is>
      </c>
      <c r="C185" s="10" t="inlineStr">
        <is>
          <t>C1409</t>
        </is>
      </c>
      <c r="D185" s="10" t="inlineStr">
        <is>
          <t>loyal</t>
        </is>
      </c>
      <c r="E185" s="10" t="inlineStr">
        <is>
          <t xml:space="preserve">Shopee </t>
        </is>
      </c>
      <c r="F185" s="10" t="inlineStr">
        <is>
          <t>Jabodetabek</t>
        </is>
      </c>
      <c r="G185" s="10" t="inlineStr">
        <is>
          <t>Rumah Tangga</t>
        </is>
      </c>
      <c r="H185" s="10" t="inlineStr">
        <is>
          <t>Set Wadah Kedap</t>
        </is>
      </c>
      <c r="I185" s="10" t="n">
        <v>1</v>
      </c>
      <c r="J185" s="10" t="n">
        <v>135000</v>
      </c>
      <c r="K185" s="10" t="n">
        <v>135000</v>
      </c>
    </row>
    <row r="186">
      <c r="A186" s="10" t="inlineStr">
        <is>
          <t>INV-71521</t>
        </is>
      </c>
      <c r="B186" s="10" t="inlineStr">
        <is>
          <t>2026-06-18</t>
        </is>
      </c>
      <c r="C186" s="10" t="inlineStr">
        <is>
          <t>C1419</t>
        </is>
      </c>
      <c r="D186" s="10" t="inlineStr">
        <is>
          <t>loyal</t>
        </is>
      </c>
      <c r="E186" s="10" t="inlineStr">
        <is>
          <t>Offline Store</t>
        </is>
      </c>
      <c r="F186" s="10" t="inlineStr">
        <is>
          <t>Jawa Timur</t>
        </is>
      </c>
      <c r="G186" s="10" t="inlineStr">
        <is>
          <t>Rumah Tangga</t>
        </is>
      </c>
      <c r="H186" s="10" t="inlineStr">
        <is>
          <t>Diffuser Aroma</t>
        </is>
      </c>
      <c r="I186" s="10" t="n">
        <v>2</v>
      </c>
      <c r="J186" s="10" t="n">
        <v>195000</v>
      </c>
      <c r="K186" s="10" t="n">
        <v>390000</v>
      </c>
    </row>
    <row r="187">
      <c r="A187" s="10" t="inlineStr">
        <is>
          <t>INV-70610</t>
        </is>
      </c>
      <c r="B187" s="10" t="inlineStr">
        <is>
          <t>2025-04-18</t>
        </is>
      </c>
      <c r="C187" s="10" t="inlineStr">
        <is>
          <t>C1165</t>
        </is>
      </c>
      <c r="D187" s="10" t="inlineStr">
        <is>
          <t>regular</t>
        </is>
      </c>
      <c r="E187" s="10" t="inlineStr">
        <is>
          <t>Shopee</t>
        </is>
      </c>
      <c r="F187" s="10" t="inlineStr">
        <is>
          <t>Lainnya</t>
        </is>
      </c>
      <c r="G187" s="10" t="inlineStr">
        <is>
          <t>Rumah Tangga</t>
        </is>
      </c>
      <c r="H187" s="10" t="inlineStr">
        <is>
          <t>Set Wadah Kedap</t>
        </is>
      </c>
      <c r="I187" s="10" t="n">
        <v>1</v>
      </c>
      <c r="J187" s="10" t="n">
        <v>135000</v>
      </c>
      <c r="K187" s="10" t="inlineStr">
        <is>
          <t>Rp 135.000</t>
        </is>
      </c>
    </row>
    <row r="188">
      <c r="A188" s="10" t="inlineStr">
        <is>
          <t>INV-71485</t>
        </is>
      </c>
      <c r="B188" s="10" t="inlineStr">
        <is>
          <t>01 Aug 2025</t>
        </is>
      </c>
      <c r="C188" s="10" t="inlineStr">
        <is>
          <t>C1409</t>
        </is>
      </c>
      <c r="D188" s="10" t="inlineStr">
        <is>
          <t>loyal</t>
        </is>
      </c>
      <c r="E188" s="10" t="inlineStr">
        <is>
          <t xml:space="preserve">Shopee </t>
        </is>
      </c>
      <c r="F188" s="10" t="inlineStr">
        <is>
          <t>Jawa Timur</t>
        </is>
      </c>
      <c r="G188" s="10" t="inlineStr">
        <is>
          <t>Rumah Tangga</t>
        </is>
      </c>
      <c r="H188" s="10" t="inlineStr">
        <is>
          <t>Organizer Laci</t>
        </is>
      </c>
      <c r="I188" s="10" t="n">
        <v>4</v>
      </c>
      <c r="J188" s="10" t="n">
        <v>78000</v>
      </c>
      <c r="K188" s="10" t="n">
        <v>312000</v>
      </c>
    </row>
    <row r="189">
      <c r="A189" s="10" t="inlineStr">
        <is>
          <t>INV-70132</t>
        </is>
      </c>
      <c r="B189" s="10" t="inlineStr">
        <is>
          <t>2025-11-11</t>
        </is>
      </c>
      <c r="C189" s="10" t="inlineStr">
        <is>
          <t>C1038</t>
        </is>
      </c>
      <c r="D189" s="10" t="inlineStr">
        <is>
          <t>champion</t>
        </is>
      </c>
      <c r="E189" s="10" t="inlineStr">
        <is>
          <t>TikTok Shop</t>
        </is>
      </c>
      <c r="F189" s="10" t="inlineStr">
        <is>
          <t>Sumatera</t>
        </is>
      </c>
      <c r="G189" s="10" t="inlineStr">
        <is>
          <t>Rumah Tangga</t>
        </is>
      </c>
      <c r="H189" s="10" t="inlineStr">
        <is>
          <t>Organizer Laci</t>
        </is>
      </c>
      <c r="I189" s="10" t="n">
        <v>1</v>
      </c>
      <c r="J189" s="10" t="n">
        <v>78000</v>
      </c>
      <c r="K189" s="10" t="n">
        <v>78000</v>
      </c>
    </row>
    <row r="190">
      <c r="A190" s="10" t="inlineStr">
        <is>
          <t>INV-70147</t>
        </is>
      </c>
      <c r="B190" s="10" t="inlineStr">
        <is>
          <t>14/11/2025</t>
        </is>
      </c>
      <c r="C190" s="10" t="inlineStr">
        <is>
          <t>C1042</t>
        </is>
      </c>
      <c r="D190" s="10" t="inlineStr">
        <is>
          <t>loyal</t>
        </is>
      </c>
      <c r="E190" s="10" t="inlineStr">
        <is>
          <t xml:space="preserve">Tokopedia </t>
        </is>
      </c>
      <c r="F190" s="10" t="inlineStr">
        <is>
          <t>Jabodetabek</t>
        </is>
      </c>
      <c r="G190" s="10" t="inlineStr">
        <is>
          <t>Elektronik</t>
        </is>
      </c>
      <c r="H190" s="10" t="inlineStr">
        <is>
          <t>Power Bank 20K</t>
        </is>
      </c>
      <c r="I190" s="10" t="n">
        <v>4</v>
      </c>
      <c r="J190" s="10" t="n">
        <v>185000</v>
      </c>
      <c r="K190" s="10" t="n">
        <v>740000</v>
      </c>
    </row>
    <row r="191">
      <c r="A191" s="10" t="inlineStr">
        <is>
          <t>INV-70803</t>
        </is>
      </c>
      <c r="B191" s="10" t="inlineStr">
        <is>
          <t>2025-04-13</t>
        </is>
      </c>
      <c r="C191" s="10" t="inlineStr">
        <is>
          <t>C1225</t>
        </is>
      </c>
      <c r="D191" s="10" t="inlineStr">
        <is>
          <t>regular</t>
        </is>
      </c>
      <c r="E191" s="10" t="inlineStr">
        <is>
          <t>Tokopedia</t>
        </is>
      </c>
      <c r="F191" s="10" t="inlineStr">
        <is>
          <t>Jawa Tengah</t>
        </is>
      </c>
      <c r="G191" s="10" t="inlineStr">
        <is>
          <t>Kecantikan</t>
        </is>
      </c>
      <c r="H191" s="10" t="inlineStr">
        <is>
          <t>Masker Wajah (5s)</t>
        </is>
      </c>
      <c r="I191" s="10" t="n">
        <v>4</v>
      </c>
      <c r="J191" s="10" t="n">
        <v>55000</v>
      </c>
      <c r="K191" s="10" t="n">
        <v>220000</v>
      </c>
    </row>
    <row r="192">
      <c r="A192" s="10" t="inlineStr">
        <is>
          <t>INV-71064</t>
        </is>
      </c>
      <c r="B192" s="10" t="inlineStr">
        <is>
          <t>2025-11-03</t>
        </is>
      </c>
      <c r="C192" s="10" t="inlineStr">
        <is>
          <t>C1301</t>
        </is>
      </c>
      <c r="D192" s="10" t="inlineStr">
        <is>
          <t>regular</t>
        </is>
      </c>
      <c r="E192" s="10" t="inlineStr">
        <is>
          <t>TikTok Shop</t>
        </is>
      </c>
      <c r="F192" s="10" t="inlineStr">
        <is>
          <t>Jabodetabek</t>
        </is>
      </c>
      <c r="G192" s="10" t="inlineStr">
        <is>
          <t>Elektronik</t>
        </is>
      </c>
      <c r="H192" s="10" t="inlineStr">
        <is>
          <t>Power Bank 20K</t>
        </is>
      </c>
      <c r="I192" s="10" t="n">
        <v>1</v>
      </c>
      <c r="J192" s="10" t="n">
        <v>185000</v>
      </c>
      <c r="K192" s="10" t="n">
        <v>185000</v>
      </c>
    </row>
    <row r="193">
      <c r="A193" s="10" t="inlineStr">
        <is>
          <t>INV-71530</t>
        </is>
      </c>
      <c r="B193" s="10" t="inlineStr">
        <is>
          <t>2025-03-27</t>
        </is>
      </c>
      <c r="C193" s="10" t="inlineStr">
        <is>
          <t>C1420</t>
        </is>
      </c>
      <c r="D193" s="10" t="inlineStr">
        <is>
          <t>regular</t>
        </is>
      </c>
      <c r="E193" s="10" t="inlineStr">
        <is>
          <t>Tokopedia</t>
        </is>
      </c>
      <c r="F193" s="10" t="inlineStr">
        <is>
          <t>Jawa Barat</t>
        </is>
      </c>
      <c r="G193" s="10" t="inlineStr">
        <is>
          <t>Rumah Tangga</t>
        </is>
      </c>
      <c r="H193" s="10" t="inlineStr">
        <is>
          <t>Organizer Laci</t>
        </is>
      </c>
      <c r="I193" s="10" t="n">
        <v>1</v>
      </c>
      <c r="J193" s="10" t="n">
        <v>78000</v>
      </c>
      <c r="K193" s="10" t="n">
        <v>78000</v>
      </c>
    </row>
    <row r="194">
      <c r="A194" s="10" t="inlineStr">
        <is>
          <t>INV-71233</t>
        </is>
      </c>
      <c r="B194" s="10" t="inlineStr">
        <is>
          <t>09 Mar 2026</t>
        </is>
      </c>
      <c r="C194" s="10" t="inlineStr">
        <is>
          <t>C1349</t>
        </is>
      </c>
      <c r="D194" s="10" t="inlineStr">
        <is>
          <t>champion</t>
        </is>
      </c>
      <c r="E194" s="10" t="inlineStr">
        <is>
          <t>TikTok Shop</t>
        </is>
      </c>
      <c r="F194" s="10" t="inlineStr">
        <is>
          <t>Jabodetabek</t>
        </is>
      </c>
      <c r="G194" s="10" t="inlineStr">
        <is>
          <t>Kecantikan</t>
        </is>
      </c>
      <c r="H194" s="10" t="inlineStr">
        <is>
          <t>Masker Wajah (5s)</t>
        </is>
      </c>
      <c r="I194" s="10" t="n">
        <v>2</v>
      </c>
      <c r="J194" s="10" t="n">
        <v>55000</v>
      </c>
      <c r="K194" s="10" t="n">
        <v>110000</v>
      </c>
    </row>
    <row r="195">
      <c r="A195" s="10" t="inlineStr">
        <is>
          <t>INV-70372</t>
        </is>
      </c>
      <c r="B195" s="10" t="inlineStr">
        <is>
          <t>2025-03-17</t>
        </is>
      </c>
      <c r="C195" s="10" t="inlineStr">
        <is>
          <t>C1106</t>
        </is>
      </c>
      <c r="D195" s="10" t="inlineStr">
        <is>
          <t>onetime</t>
        </is>
      </c>
      <c r="E195" s="10" t="inlineStr">
        <is>
          <t xml:space="preserve"> tokopedia</t>
        </is>
      </c>
      <c r="F195" s="10" t="inlineStr">
        <is>
          <t>Jawa Barat</t>
        </is>
      </c>
      <c r="G195" s="10" t="inlineStr">
        <is>
          <t>Rumah Tangga</t>
        </is>
      </c>
      <c r="H195" s="10" t="inlineStr">
        <is>
          <t>Set Wadah Kedap</t>
        </is>
      </c>
      <c r="I195" s="10" t="n">
        <v>2</v>
      </c>
      <c r="J195" s="10" t="n">
        <v>135000</v>
      </c>
      <c r="K195" s="10" t="n">
        <v>270000</v>
      </c>
    </row>
    <row r="196">
      <c r="A196" s="10" t="inlineStr">
        <is>
          <t>INV-71197</t>
        </is>
      </c>
      <c r="B196" s="10" t="inlineStr">
        <is>
          <t>02/04/2026</t>
        </is>
      </c>
      <c r="C196" s="10" t="inlineStr">
        <is>
          <t>C1337</t>
        </is>
      </c>
      <c r="D196" s="10" t="inlineStr">
        <is>
          <t>regular</t>
        </is>
      </c>
      <c r="E196" s="10" t="inlineStr">
        <is>
          <t>Offline Store</t>
        </is>
      </c>
      <c r="F196" s="10" t="inlineStr">
        <is>
          <t>Jawa Barat</t>
        </is>
      </c>
      <c r="G196" s="10" t="inlineStr">
        <is>
          <t>rumah tangga</t>
        </is>
      </c>
      <c r="H196" s="10" t="inlineStr">
        <is>
          <t>Set Wadah Kedap</t>
        </is>
      </c>
      <c r="I196" s="10" t="n">
        <v>1</v>
      </c>
      <c r="J196" s="10" t="n">
        <v>135000</v>
      </c>
      <c r="K196" s="10" t="n">
        <v>135000</v>
      </c>
    </row>
    <row r="197">
      <c r="A197" s="10" t="inlineStr">
        <is>
          <t>INV-70687</t>
        </is>
      </c>
      <c r="B197" s="10" t="inlineStr">
        <is>
          <t>2026-06-13</t>
        </is>
      </c>
      <c r="C197" s="10" t="inlineStr">
        <is>
          <t>C1187</t>
        </is>
      </c>
      <c r="D197" s="10" t="inlineStr">
        <is>
          <t>regular</t>
        </is>
      </c>
      <c r="E197" s="10" t="inlineStr">
        <is>
          <t>Shopee</t>
        </is>
      </c>
      <c r="F197" s="10" t="n"/>
      <c r="G197" s="10" t="inlineStr">
        <is>
          <t>Kecantikan</t>
        </is>
      </c>
      <c r="H197" s="10" t="inlineStr">
        <is>
          <t>Masker Wajah (5s)</t>
        </is>
      </c>
      <c r="I197" s="10" t="n">
        <v>1</v>
      </c>
      <c r="J197" s="10" t="n">
        <v>55000</v>
      </c>
      <c r="K197" s="10" t="n">
        <v>55000</v>
      </c>
    </row>
    <row r="198">
      <c r="A198" s="10" t="inlineStr">
        <is>
          <t>INV-71301</t>
        </is>
      </c>
      <c r="B198" s="10" t="inlineStr">
        <is>
          <t>23/08/2025</t>
        </is>
      </c>
      <c r="C198" s="10" t="inlineStr">
        <is>
          <t>C1361</t>
        </is>
      </c>
      <c r="D198" s="10" t="inlineStr">
        <is>
          <t>champion</t>
        </is>
      </c>
      <c r="E198" s="10" t="inlineStr">
        <is>
          <t>TikTok Shop</t>
        </is>
      </c>
      <c r="F198" s="10" t="inlineStr">
        <is>
          <t>Sumatera</t>
        </is>
      </c>
      <c r="G198" s="10" t="inlineStr">
        <is>
          <t>Makanan</t>
        </is>
      </c>
      <c r="H198" s="10" t="inlineStr">
        <is>
          <t>Granola 500g</t>
        </is>
      </c>
      <c r="I198" s="10" t="n">
        <v>2</v>
      </c>
      <c r="J198" s="10" t="n">
        <v>92000</v>
      </c>
      <c r="K198" s="10" t="n">
        <v>184000</v>
      </c>
    </row>
    <row r="199">
      <c r="A199" s="10" t="inlineStr">
        <is>
          <t>INV-71424</t>
        </is>
      </c>
      <c r="B199" s="10" t="inlineStr">
        <is>
          <t>2025-05-21</t>
        </is>
      </c>
      <c r="C199" s="10" t="inlineStr">
        <is>
          <t>C1393</t>
        </is>
      </c>
      <c r="D199" s="10" t="inlineStr">
        <is>
          <t>regular</t>
        </is>
      </c>
      <c r="E199" s="10" t="inlineStr">
        <is>
          <t>Shopee</t>
        </is>
      </c>
      <c r="F199" s="10" t="inlineStr">
        <is>
          <t>Jabodetabek</t>
        </is>
      </c>
      <c r="G199" s="10" t="inlineStr">
        <is>
          <t>Elektronik</t>
        </is>
      </c>
      <c r="H199" s="10" t="inlineStr">
        <is>
          <t>Power Bank 20K</t>
        </is>
      </c>
      <c r="I199" s="10" t="n">
        <v>1</v>
      </c>
      <c r="J199" s="10" t="n">
        <v>185000</v>
      </c>
      <c r="K199" s="10" t="n">
        <v>185000</v>
      </c>
    </row>
    <row r="200">
      <c r="A200" s="10" t="inlineStr">
        <is>
          <t>INV-70834</t>
        </is>
      </c>
      <c r="B200" s="10" t="inlineStr">
        <is>
          <t>01/07/2025</t>
        </is>
      </c>
      <c r="C200" s="10" t="inlineStr">
        <is>
          <t>C1235</t>
        </is>
      </c>
      <c r="D200" s="10" t="inlineStr">
        <is>
          <t>regular</t>
        </is>
      </c>
      <c r="E200" s="10" t="inlineStr">
        <is>
          <t>Offline Store</t>
        </is>
      </c>
      <c r="F200" s="10" t="inlineStr">
        <is>
          <t>Jawa Timur</t>
        </is>
      </c>
      <c r="G200" s="10" t="inlineStr">
        <is>
          <t>Fashion</t>
        </is>
      </c>
      <c r="H200" s="10" t="inlineStr">
        <is>
          <t>Celana Chino</t>
        </is>
      </c>
      <c r="I200" s="10" t="n">
        <v>1</v>
      </c>
      <c r="J200" s="10" t="n">
        <v>195000</v>
      </c>
      <c r="K200" s="10" t="n">
        <v>195000</v>
      </c>
    </row>
    <row r="201">
      <c r="A201" s="10" t="inlineStr">
        <is>
          <t>INV-71312</t>
        </is>
      </c>
      <c r="B201" s="10" t="inlineStr">
        <is>
          <t>17 Jul 2025</t>
        </is>
      </c>
      <c r="C201" s="10" t="inlineStr">
        <is>
          <t>C1364</t>
        </is>
      </c>
      <c r="D201" s="10" t="inlineStr">
        <is>
          <t>champion</t>
        </is>
      </c>
      <c r="E201" s="10" t="inlineStr">
        <is>
          <t>Tokopedia</t>
        </is>
      </c>
      <c r="F201" s="10" t="inlineStr">
        <is>
          <t>Sumatera</t>
        </is>
      </c>
      <c r="G201" s="10" t="inlineStr">
        <is>
          <t>kecantikan</t>
        </is>
      </c>
      <c r="H201" s="10" t="inlineStr">
        <is>
          <t>Masker Wajah (5s)</t>
        </is>
      </c>
      <c r="I201" s="10" t="n">
        <v>4</v>
      </c>
      <c r="J201" s="10" t="n">
        <v>55000</v>
      </c>
      <c r="K201" s="10" t="n">
        <v>220000</v>
      </c>
    </row>
    <row r="202">
      <c r="A202" s="10" t="inlineStr">
        <is>
          <t>INV-70178</t>
        </is>
      </c>
      <c r="B202" s="10" t="inlineStr">
        <is>
          <t>2025-02-02</t>
        </is>
      </c>
      <c r="C202" s="10" t="inlineStr">
        <is>
          <t>C1050</t>
        </is>
      </c>
      <c r="D202" s="10" t="inlineStr">
        <is>
          <t>regular</t>
        </is>
      </c>
      <c r="E202" s="10" t="inlineStr">
        <is>
          <t>TikTok Shop</t>
        </is>
      </c>
      <c r="F202" s="10" t="inlineStr">
        <is>
          <t>Jawa Tengah</t>
        </is>
      </c>
      <c r="G202" s="10" t="inlineStr">
        <is>
          <t>Kecantikan</t>
        </is>
      </c>
      <c r="H202" s="10" t="inlineStr">
        <is>
          <t>Masker Wajah (5s)</t>
        </is>
      </c>
      <c r="I202" s="10" t="n">
        <v>2</v>
      </c>
      <c r="J202" s="10" t="n">
        <v>55000</v>
      </c>
      <c r="K202" s="10" t="n">
        <v>110000</v>
      </c>
    </row>
    <row r="203">
      <c r="A203" s="10" t="inlineStr">
        <is>
          <t>INV-70065</t>
        </is>
      </c>
      <c r="B203" s="10" t="inlineStr">
        <is>
          <t>14 Jun 2025</t>
        </is>
      </c>
      <c r="C203" s="10" t="inlineStr">
        <is>
          <t>C1019</t>
        </is>
      </c>
      <c r="D203" s="10" t="inlineStr">
        <is>
          <t>occasional</t>
        </is>
      </c>
      <c r="E203" s="10" t="inlineStr">
        <is>
          <t>Offline Store</t>
        </is>
      </c>
      <c r="F203" s="10" t="inlineStr">
        <is>
          <t>Jawa Timur</t>
        </is>
      </c>
      <c r="G203" s="10" t="inlineStr">
        <is>
          <t>Rumah Tangga</t>
        </is>
      </c>
      <c r="H203" s="10" t="inlineStr">
        <is>
          <t>Set Wadah Kedap</t>
        </is>
      </c>
      <c r="I203" s="10" t="n">
        <v>1</v>
      </c>
      <c r="J203" s="10" t="n">
        <v>135000</v>
      </c>
      <c r="K203" s="10" t="inlineStr">
        <is>
          <t>Rp 135.000</t>
        </is>
      </c>
    </row>
    <row r="204">
      <c r="A204" s="10" t="inlineStr">
        <is>
          <t>INV-71234</t>
        </is>
      </c>
      <c r="B204" s="10" t="inlineStr">
        <is>
          <t>2025-11-03</t>
        </is>
      </c>
      <c r="C204" s="10" t="inlineStr">
        <is>
          <t>C1349</t>
        </is>
      </c>
      <c r="D204" s="10" t="inlineStr">
        <is>
          <t>champion</t>
        </is>
      </c>
      <c r="E204" s="10" t="inlineStr">
        <is>
          <t>Offline Store</t>
        </is>
      </c>
      <c r="F204" s="10" t="inlineStr">
        <is>
          <t>Jawa Barat</t>
        </is>
      </c>
      <c r="G204" s="10" t="inlineStr">
        <is>
          <t>Rumah Tangga</t>
        </is>
      </c>
      <c r="H204" s="10" t="inlineStr">
        <is>
          <t>Set Wadah Kedap</t>
        </is>
      </c>
      <c r="I204" s="10" t="n">
        <v>1</v>
      </c>
      <c r="J204" s="10" t="n">
        <v>135000</v>
      </c>
      <c r="K204" s="10" t="inlineStr">
        <is>
          <t>Rp 135.000</t>
        </is>
      </c>
    </row>
    <row r="205">
      <c r="A205" s="10" t="inlineStr">
        <is>
          <t>INV-70682</t>
        </is>
      </c>
      <c r="B205" s="10" t="inlineStr">
        <is>
          <t>21 May 2026</t>
        </is>
      </c>
      <c r="C205" s="10" t="inlineStr">
        <is>
          <t>C1186</t>
        </is>
      </c>
      <c r="D205" s="10" t="inlineStr">
        <is>
          <t>loyal</t>
        </is>
      </c>
      <c r="E205" s="10" t="inlineStr">
        <is>
          <t>Tiktok Shop</t>
        </is>
      </c>
      <c r="F205" s="10" t="inlineStr">
        <is>
          <t>Jabodetabek</t>
        </is>
      </c>
      <c r="G205" s="10" t="inlineStr">
        <is>
          <t>Rumah Tangga</t>
        </is>
      </c>
      <c r="H205" s="10" t="inlineStr">
        <is>
          <t>Set Wadah Kedap</t>
        </is>
      </c>
      <c r="I205" s="10" t="n">
        <v>4</v>
      </c>
      <c r="J205" s="10" t="n">
        <v>135000</v>
      </c>
      <c r="K205" s="10" t="n">
        <v>540000</v>
      </c>
    </row>
    <row r="206">
      <c r="A206" s="10" t="inlineStr">
        <is>
          <t>INV-70910</t>
        </is>
      </c>
      <c r="B206" s="10" t="inlineStr">
        <is>
          <t>2025-09-27</t>
        </is>
      </c>
      <c r="C206" s="10" t="inlineStr">
        <is>
          <t>C1258</t>
        </is>
      </c>
      <c r="D206" s="10" t="inlineStr">
        <is>
          <t>regular</t>
        </is>
      </c>
      <c r="E206" s="10" t="inlineStr">
        <is>
          <t>Shopee</t>
        </is>
      </c>
      <c r="F206" s="10" t="inlineStr">
        <is>
          <t>Jawa Barat</t>
        </is>
      </c>
      <c r="G206" s="10" t="inlineStr">
        <is>
          <t>Kecantikan</t>
        </is>
      </c>
      <c r="H206" s="10" t="inlineStr">
        <is>
          <t>Masker Wajah (5s)</t>
        </is>
      </c>
      <c r="I206" s="10" t="n">
        <v>2</v>
      </c>
      <c r="J206" s="10" t="n">
        <v>55000</v>
      </c>
      <c r="K206" s="10" t="inlineStr">
        <is>
          <t>Rp 110.000</t>
        </is>
      </c>
    </row>
    <row r="207">
      <c r="A207" s="10" t="inlineStr">
        <is>
          <t>INV-71264</t>
        </is>
      </c>
      <c r="B207" s="10" t="inlineStr">
        <is>
          <t>11 Mar 2025</t>
        </is>
      </c>
      <c r="C207" s="10" t="inlineStr">
        <is>
          <t>C1358</t>
        </is>
      </c>
      <c r="D207" s="10" t="inlineStr">
        <is>
          <t>champion</t>
        </is>
      </c>
      <c r="E207" s="10" t="inlineStr">
        <is>
          <t>TikTok Shop</t>
        </is>
      </c>
      <c r="F207" s="10" t="inlineStr">
        <is>
          <t>Jabodetabek</t>
        </is>
      </c>
      <c r="G207" s="10" t="inlineStr">
        <is>
          <t>Fashion</t>
        </is>
      </c>
      <c r="H207" s="10" t="inlineStr">
        <is>
          <t>Dress Casual</t>
        </is>
      </c>
      <c r="I207" s="10" t="n">
        <v>1</v>
      </c>
      <c r="J207" s="10" t="n">
        <v>225000</v>
      </c>
      <c r="K207" s="10" t="n">
        <v>225000</v>
      </c>
    </row>
    <row r="208">
      <c r="A208" s="10" t="inlineStr">
        <is>
          <t>INV-70071</t>
        </is>
      </c>
      <c r="B208" s="10" t="inlineStr">
        <is>
          <t>2025-06-19</t>
        </is>
      </c>
      <c r="C208" s="10" t="inlineStr">
        <is>
          <t>C1021</t>
        </is>
      </c>
      <c r="D208" s="10" t="inlineStr">
        <is>
          <t>loyal</t>
        </is>
      </c>
      <c r="E208" s="10" t="inlineStr">
        <is>
          <t>TikTok Shop</t>
        </is>
      </c>
      <c r="F208" s="10" t="inlineStr">
        <is>
          <t>Jabodetabek</t>
        </is>
      </c>
      <c r="G208" s="10" t="inlineStr">
        <is>
          <t>Rumah Tangga</t>
        </is>
      </c>
      <c r="H208" s="10" t="inlineStr">
        <is>
          <t>Diffuser Aroma</t>
        </is>
      </c>
      <c r="I208" s="10" t="n">
        <v>3</v>
      </c>
      <c r="J208" s="10" t="n">
        <v>195000</v>
      </c>
      <c r="K208" s="10" t="n">
        <v>585000</v>
      </c>
    </row>
    <row r="209">
      <c r="A209" s="10" t="inlineStr">
        <is>
          <t>INV-70248</t>
        </is>
      </c>
      <c r="B209" s="10" t="inlineStr">
        <is>
          <t>2025-09-03</t>
        </is>
      </c>
      <c r="C209" s="10" t="inlineStr">
        <is>
          <t>C1072</t>
        </is>
      </c>
      <c r="D209" s="10" t="inlineStr">
        <is>
          <t>champion</t>
        </is>
      </c>
      <c r="E209" s="10" t="inlineStr">
        <is>
          <t>Offline Store</t>
        </is>
      </c>
      <c r="F209" s="10" t="inlineStr">
        <is>
          <t>Jawa Timur</t>
        </is>
      </c>
      <c r="G209" s="10" t="inlineStr">
        <is>
          <t>elektronik</t>
        </is>
      </c>
      <c r="H209" s="10" t="inlineStr">
        <is>
          <t>Webcam HD</t>
        </is>
      </c>
      <c r="I209" s="10" t="n">
        <v>1</v>
      </c>
      <c r="J209" s="10" t="n">
        <v>210000</v>
      </c>
      <c r="K209" s="10" t="n">
        <v>210000</v>
      </c>
    </row>
    <row r="210">
      <c r="A210" s="10" t="inlineStr">
        <is>
          <t>INV-70550</t>
        </is>
      </c>
      <c r="B210" s="10" t="inlineStr">
        <is>
          <t>2025-08-21</t>
        </is>
      </c>
      <c r="C210" s="10" t="inlineStr">
        <is>
          <t>C1151</t>
        </is>
      </c>
      <c r="D210" s="10" t="inlineStr">
        <is>
          <t>regular</t>
        </is>
      </c>
      <c r="E210" s="10" t="inlineStr">
        <is>
          <t>tiktok shop</t>
        </is>
      </c>
      <c r="F210" s="10" t="inlineStr">
        <is>
          <t>Jawa Barat</t>
        </is>
      </c>
      <c r="G210" s="10" t="inlineStr">
        <is>
          <t>Makanan</t>
        </is>
      </c>
      <c r="H210" s="10" t="inlineStr">
        <is>
          <t>Granola 500g</t>
        </is>
      </c>
      <c r="I210" s="10" t="n">
        <v>2</v>
      </c>
      <c r="J210" s="10" t="n">
        <v>92000</v>
      </c>
      <c r="K210" s="10" t="n">
        <v>184000</v>
      </c>
    </row>
    <row r="211">
      <c r="A211" s="10" t="inlineStr">
        <is>
          <t>INV-70814</t>
        </is>
      </c>
      <c r="B211" s="10" t="inlineStr">
        <is>
          <t>2025-02-18</t>
        </is>
      </c>
      <c r="C211" s="10" t="inlineStr">
        <is>
          <t>C1230</t>
        </is>
      </c>
      <c r="D211" s="10" t="inlineStr">
        <is>
          <t>occasional</t>
        </is>
      </c>
      <c r="E211" s="10" t="inlineStr">
        <is>
          <t xml:space="preserve">Shopee </t>
        </is>
      </c>
      <c r="F211" s="10" t="inlineStr">
        <is>
          <t>Jabodetabek</t>
        </is>
      </c>
      <c r="G211" s="10" t="inlineStr">
        <is>
          <t>Rumah Tangga</t>
        </is>
      </c>
      <c r="H211" s="10" t="inlineStr">
        <is>
          <t>Set Wadah Kedap</t>
        </is>
      </c>
      <c r="I211" s="10" t="n">
        <v>1</v>
      </c>
      <c r="J211" s="10" t="n">
        <v>135000</v>
      </c>
      <c r="K211" s="10" t="n">
        <v>135000</v>
      </c>
    </row>
    <row r="212">
      <c r="A212" s="10" t="inlineStr">
        <is>
          <t>INV-70766</t>
        </is>
      </c>
      <c r="B212" s="10" t="inlineStr">
        <is>
          <t>2026-05-05</t>
        </is>
      </c>
      <c r="C212" s="10" t="inlineStr">
        <is>
          <t>C1215</t>
        </is>
      </c>
      <c r="D212" s="10" t="inlineStr">
        <is>
          <t>loyal</t>
        </is>
      </c>
      <c r="E212" s="10" t="inlineStr">
        <is>
          <t xml:space="preserve">Shopee </t>
        </is>
      </c>
      <c r="F212" s="10" t="inlineStr">
        <is>
          <t>Jabodetabek</t>
        </is>
      </c>
      <c r="G212" s="10" t="inlineStr">
        <is>
          <t>Rumah Tangga</t>
        </is>
      </c>
      <c r="H212" s="10" t="inlineStr">
        <is>
          <t>Set Wadah Kedap</t>
        </is>
      </c>
      <c r="I212" s="10" t="n">
        <v>2</v>
      </c>
      <c r="J212" s="10" t="n">
        <v>135000</v>
      </c>
      <c r="K212" s="10" t="inlineStr">
        <is>
          <t>Rp 270.000</t>
        </is>
      </c>
    </row>
    <row r="213">
      <c r="A213" s="10" t="inlineStr">
        <is>
          <t>INV-70877</t>
        </is>
      </c>
      <c r="B213" s="10" t="inlineStr">
        <is>
          <t>19/03/2025</t>
        </is>
      </c>
      <c r="C213" s="10" t="inlineStr">
        <is>
          <t>C1246</t>
        </is>
      </c>
      <c r="D213" s="10" t="inlineStr">
        <is>
          <t>champion</t>
        </is>
      </c>
      <c r="E213" s="10" t="inlineStr">
        <is>
          <t>tiktok shop</t>
        </is>
      </c>
      <c r="F213" s="10" t="inlineStr">
        <is>
          <t>Jawa Barat</t>
        </is>
      </c>
      <c r="G213" s="10" t="inlineStr">
        <is>
          <t>Elektronik</t>
        </is>
      </c>
      <c r="H213" s="10" t="inlineStr">
        <is>
          <t>Earbuds TWS</t>
        </is>
      </c>
      <c r="I213" s="10" t="n">
        <v>4</v>
      </c>
      <c r="J213" s="10" t="n">
        <v>265000</v>
      </c>
      <c r="K213" s="10" t="n">
        <v>1060000</v>
      </c>
    </row>
    <row r="214">
      <c r="A214" s="10" t="inlineStr">
        <is>
          <t>INV-71459</t>
        </is>
      </c>
      <c r="B214" s="10" t="inlineStr">
        <is>
          <t>2025-02-25</t>
        </is>
      </c>
      <c r="C214" s="10" t="inlineStr">
        <is>
          <t>C1403</t>
        </is>
      </c>
      <c r="D214" s="10" t="inlineStr">
        <is>
          <t>regular</t>
        </is>
      </c>
      <c r="E214" s="10" t="inlineStr">
        <is>
          <t>TikTok Shop</t>
        </is>
      </c>
      <c r="F214" s="10" t="inlineStr">
        <is>
          <t>Sumatera</t>
        </is>
      </c>
      <c r="G214" s="10" t="inlineStr">
        <is>
          <t>Makanan</t>
        </is>
      </c>
      <c r="H214" s="10" t="inlineStr">
        <is>
          <t>Madu Hutan 250ml</t>
        </is>
      </c>
      <c r="I214" s="10" t="n">
        <v>1</v>
      </c>
      <c r="J214" s="10" t="n">
        <v>110000</v>
      </c>
      <c r="K214" s="10" t="n">
        <v>110000</v>
      </c>
    </row>
    <row r="215">
      <c r="A215" s="10" t="inlineStr">
        <is>
          <t>INV-70330</t>
        </is>
      </c>
      <c r="B215" s="10" t="inlineStr">
        <is>
          <t>2025-07-16</t>
        </is>
      </c>
      <c r="C215" s="10" t="inlineStr">
        <is>
          <t>C1090</t>
        </is>
      </c>
      <c r="D215" s="10" t="inlineStr">
        <is>
          <t>champion</t>
        </is>
      </c>
      <c r="E215" s="10" t="inlineStr">
        <is>
          <t>TIKTOK SHOP</t>
        </is>
      </c>
      <c r="F215" s="10" t="inlineStr">
        <is>
          <t>Jawa Tengah</t>
        </is>
      </c>
      <c r="G215" s="10" t="inlineStr">
        <is>
          <t>Rumah Tangga</t>
        </is>
      </c>
      <c r="H215" s="10" t="inlineStr">
        <is>
          <t>Diffuser Aroma</t>
        </is>
      </c>
      <c r="I215" s="10" t="n">
        <v>3</v>
      </c>
      <c r="J215" s="10" t="n">
        <v>195000</v>
      </c>
      <c r="K215" s="10" t="n">
        <v>585000</v>
      </c>
    </row>
    <row r="216">
      <c r="A216" s="10" t="inlineStr">
        <is>
          <t>INV-71505</t>
        </is>
      </c>
      <c r="B216" s="10" t="inlineStr">
        <is>
          <t>2025-03-05</t>
        </is>
      </c>
      <c r="C216" s="10" t="inlineStr">
        <is>
          <t>C1412</t>
        </is>
      </c>
      <c r="D216" s="10" t="inlineStr">
        <is>
          <t>champion</t>
        </is>
      </c>
      <c r="E216" s="10" t="inlineStr">
        <is>
          <t>Shopee</t>
        </is>
      </c>
      <c r="F216" s="10" t="inlineStr">
        <is>
          <t>Jabodetabek</t>
        </is>
      </c>
      <c r="G216" s="10" t="inlineStr">
        <is>
          <t>Makanan</t>
        </is>
      </c>
      <c r="H216" s="10" t="inlineStr">
        <is>
          <t>Madu Hutan 250ml</t>
        </is>
      </c>
      <c r="I216" s="10" t="n">
        <v>3</v>
      </c>
      <c r="J216" s="10" t="n">
        <v>110000</v>
      </c>
      <c r="K216" s="10" t="n">
        <v>330000</v>
      </c>
    </row>
    <row r="217">
      <c r="A217" s="10" t="inlineStr">
        <is>
          <t>INV-70935</t>
        </is>
      </c>
      <c r="B217" s="10" t="inlineStr">
        <is>
          <t>2026-05-03</t>
        </is>
      </c>
      <c r="C217" s="10" t="inlineStr">
        <is>
          <t>C1262</t>
        </is>
      </c>
      <c r="D217" s="10" t="inlineStr">
        <is>
          <t>regular</t>
        </is>
      </c>
      <c r="E217" s="10" t="inlineStr">
        <is>
          <t>Tokopedia</t>
        </is>
      </c>
      <c r="F217" s="10" t="inlineStr">
        <is>
          <t>Jabodetabek</t>
        </is>
      </c>
      <c r="G217" s="10" t="inlineStr">
        <is>
          <t>Elektronik</t>
        </is>
      </c>
      <c r="H217" s="10" t="inlineStr">
        <is>
          <t>Earbuds TWS</t>
        </is>
      </c>
      <c r="I217" s="10" t="n">
        <v>2</v>
      </c>
      <c r="J217" s="10" t="n">
        <v>265000</v>
      </c>
      <c r="K217" s="10" t="inlineStr">
        <is>
          <t>Rp 530.000</t>
        </is>
      </c>
    </row>
    <row r="218">
      <c r="A218" s="10" t="inlineStr">
        <is>
          <t>INV-70098</t>
        </is>
      </c>
      <c r="B218" s="10" t="inlineStr">
        <is>
          <t>2025-06-01</t>
        </is>
      </c>
      <c r="C218" s="10" t="inlineStr">
        <is>
          <t>C1029</t>
        </is>
      </c>
      <c r="D218" s="10" t="inlineStr">
        <is>
          <t>champion</t>
        </is>
      </c>
      <c r="E218" s="10" t="inlineStr">
        <is>
          <t>TikTok Shop</t>
        </is>
      </c>
      <c r="F218" s="10" t="inlineStr">
        <is>
          <t>Jawa Barat</t>
        </is>
      </c>
      <c r="G218" s="10" t="inlineStr">
        <is>
          <t>Rumah Tangga</t>
        </is>
      </c>
      <c r="H218" s="10" t="inlineStr">
        <is>
          <t>Karpet Bulu</t>
        </is>
      </c>
      <c r="I218" s="10" t="n">
        <v>4</v>
      </c>
      <c r="J218" s="10" t="n">
        <v>240000</v>
      </c>
      <c r="K218" s="10" t="n">
        <v>960000</v>
      </c>
    </row>
    <row r="219">
      <c r="A219" s="10" t="inlineStr">
        <is>
          <t>INV-70345</t>
        </is>
      </c>
      <c r="B219" s="10" t="inlineStr">
        <is>
          <t>2025-06-22</t>
        </is>
      </c>
      <c r="C219" s="10" t="inlineStr">
        <is>
          <t>C1093</t>
        </is>
      </c>
      <c r="D219" s="10" t="inlineStr">
        <is>
          <t>champion</t>
        </is>
      </c>
      <c r="E219" s="10" t="inlineStr">
        <is>
          <t>Shopee</t>
        </is>
      </c>
      <c r="F219" s="10" t="inlineStr">
        <is>
          <t>Jawa Timur</t>
        </is>
      </c>
      <c r="G219" s="10" t="inlineStr">
        <is>
          <t>Fashion</t>
        </is>
      </c>
      <c r="H219" s="10" t="inlineStr">
        <is>
          <t>Dress Casual</t>
        </is>
      </c>
      <c r="I219" s="10" t="n">
        <v>4</v>
      </c>
      <c r="J219" s="10" t="n">
        <v>225000</v>
      </c>
      <c r="K219" s="10" t="n">
        <v>900000</v>
      </c>
    </row>
    <row r="220">
      <c r="A220" s="10" t="inlineStr">
        <is>
          <t>INV-71520</t>
        </is>
      </c>
      <c r="B220" s="10" t="inlineStr">
        <is>
          <t>21/03/2025</t>
        </is>
      </c>
      <c r="C220" s="10" t="inlineStr">
        <is>
          <t>C1418</t>
        </is>
      </c>
      <c r="D220" s="10" t="inlineStr">
        <is>
          <t>regular</t>
        </is>
      </c>
      <c r="E220" s="10" t="inlineStr">
        <is>
          <t>TikTok Shop</t>
        </is>
      </c>
      <c r="F220" s="10" t="inlineStr">
        <is>
          <t>Sumatera</t>
        </is>
      </c>
      <c r="G220" s="10" t="inlineStr">
        <is>
          <t>Makanan</t>
        </is>
      </c>
      <c r="H220" s="10" t="inlineStr">
        <is>
          <t>Granola 500g</t>
        </is>
      </c>
      <c r="I220" s="10" t="n">
        <v>4</v>
      </c>
      <c r="J220" s="10" t="n">
        <v>92000</v>
      </c>
      <c r="K220" s="10" t="inlineStr">
        <is>
          <t>Rp 368.000</t>
        </is>
      </c>
    </row>
    <row r="221">
      <c r="A221" s="10" t="inlineStr">
        <is>
          <t>INV-71280</t>
        </is>
      </c>
      <c r="B221" s="10" t="inlineStr">
        <is>
          <t>2025-10-27</t>
        </is>
      </c>
      <c r="C221" s="10" t="inlineStr">
        <is>
          <t>C1358</t>
        </is>
      </c>
      <c r="D221" s="10" t="inlineStr">
        <is>
          <t>champion</t>
        </is>
      </c>
      <c r="E221" s="10" t="inlineStr">
        <is>
          <t>Offline Store</t>
        </is>
      </c>
      <c r="F221" s="10" t="inlineStr">
        <is>
          <t>Jawa Barat</t>
        </is>
      </c>
      <c r="G221" s="10" t="inlineStr">
        <is>
          <t>Rumah Tangga</t>
        </is>
      </c>
      <c r="H221" s="10" t="inlineStr">
        <is>
          <t>Set Wadah Kedap</t>
        </is>
      </c>
      <c r="I221" s="10" t="n">
        <v>2</v>
      </c>
      <c r="J221" s="10" t="n">
        <v>135000</v>
      </c>
      <c r="K221" s="10" t="n">
        <v>270000</v>
      </c>
    </row>
    <row r="222">
      <c r="A222" s="10" t="inlineStr">
        <is>
          <t>INV-70114</t>
        </is>
      </c>
      <c r="B222" s="10" t="inlineStr">
        <is>
          <t>09/09/2025</t>
        </is>
      </c>
      <c r="C222" s="10" t="inlineStr">
        <is>
          <t>C1034</t>
        </is>
      </c>
      <c r="D222" s="10" t="inlineStr">
        <is>
          <t>onetime</t>
        </is>
      </c>
      <c r="E222" s="10" t="inlineStr">
        <is>
          <t xml:space="preserve">Shopee </t>
        </is>
      </c>
      <c r="F222" s="10" t="inlineStr">
        <is>
          <t>Sumatera</t>
        </is>
      </c>
      <c r="G222" s="10" t="inlineStr">
        <is>
          <t>Makanan</t>
        </is>
      </c>
      <c r="H222" s="10" t="inlineStr">
        <is>
          <t>Granola 500g</t>
        </is>
      </c>
      <c r="I222" s="10" t="n">
        <v>1</v>
      </c>
      <c r="J222" s="10" t="n">
        <v>92000</v>
      </c>
      <c r="K222" s="10" t="inlineStr">
        <is>
          <t>Rp 92.000</t>
        </is>
      </c>
    </row>
    <row r="223">
      <c r="A223" s="10" t="inlineStr">
        <is>
          <t>INV-71493</t>
        </is>
      </c>
      <c r="B223" s="10" t="inlineStr">
        <is>
          <t>19/08/2025</t>
        </is>
      </c>
      <c r="C223" s="10" t="inlineStr">
        <is>
          <t>C1411</t>
        </is>
      </c>
      <c r="D223" s="10" t="inlineStr">
        <is>
          <t>regular</t>
        </is>
      </c>
      <c r="E223" s="10" t="inlineStr">
        <is>
          <t>TikTok Shop</t>
        </is>
      </c>
      <c r="F223" s="10" t="inlineStr">
        <is>
          <t>Jawa Tengah</t>
        </is>
      </c>
      <c r="G223" s="10" t="inlineStr">
        <is>
          <t>Rumah Tangga</t>
        </is>
      </c>
      <c r="H223" s="10" t="inlineStr">
        <is>
          <t>Set Wadah Kedap</t>
        </is>
      </c>
      <c r="I223" s="10" t="n">
        <v>1</v>
      </c>
      <c r="J223" s="10" t="n">
        <v>135000</v>
      </c>
      <c r="K223" s="10" t="inlineStr">
        <is>
          <t>Rp 135.000</t>
        </is>
      </c>
    </row>
    <row r="224">
      <c r="A224" s="10" t="inlineStr">
        <is>
          <t>INV-70927</t>
        </is>
      </c>
      <c r="B224" s="10" t="inlineStr">
        <is>
          <t>2026-06-18</t>
        </is>
      </c>
      <c r="C224" s="10" t="inlineStr">
        <is>
          <t>C1261</t>
        </is>
      </c>
      <c r="D224" s="10" t="inlineStr">
        <is>
          <t>champion</t>
        </is>
      </c>
      <c r="E224" s="10" t="inlineStr">
        <is>
          <t>TikTok Shop</t>
        </is>
      </c>
      <c r="F224" s="10" t="inlineStr">
        <is>
          <t>Jabodetabek</t>
        </is>
      </c>
      <c r="G224" s="10" t="inlineStr">
        <is>
          <t>Rumah Tangga</t>
        </is>
      </c>
      <c r="H224" s="10" t="inlineStr">
        <is>
          <t>Diffuser Aroma</t>
        </is>
      </c>
      <c r="I224" s="10" t="n">
        <v>1</v>
      </c>
      <c r="J224" s="10" t="n">
        <v>195000</v>
      </c>
      <c r="K224" s="10" t="n">
        <v>195000</v>
      </c>
    </row>
    <row r="225">
      <c r="A225" s="10" t="inlineStr">
        <is>
          <t>INV-71449</t>
        </is>
      </c>
      <c r="B225" s="10" t="inlineStr">
        <is>
          <t>2025-12-13</t>
        </is>
      </c>
      <c r="C225" s="10" t="inlineStr">
        <is>
          <t>C1400</t>
        </is>
      </c>
      <c r="D225" s="10" t="inlineStr">
        <is>
          <t>regular</t>
        </is>
      </c>
      <c r="E225" s="10" t="inlineStr">
        <is>
          <t>tiktok shop</t>
        </is>
      </c>
      <c r="F225" s="10" t="n"/>
      <c r="G225" s="10" t="inlineStr">
        <is>
          <t>Rumah Tangga</t>
        </is>
      </c>
      <c r="H225" s="10" t="inlineStr">
        <is>
          <t>Set Wadah Kedap</t>
        </is>
      </c>
      <c r="I225" s="10" t="n">
        <v>2</v>
      </c>
      <c r="J225" s="10" t="n">
        <v>135000</v>
      </c>
      <c r="K225" s="10" t="n">
        <v>255000</v>
      </c>
    </row>
    <row r="226">
      <c r="A226" s="10" t="inlineStr">
        <is>
          <t>INV-71272</t>
        </is>
      </c>
      <c r="B226" s="10" t="inlineStr">
        <is>
          <t>2025-02-16</t>
        </is>
      </c>
      <c r="C226" s="10" t="inlineStr">
        <is>
          <t>C1358</t>
        </is>
      </c>
      <c r="D226" s="10" t="inlineStr">
        <is>
          <t>champion</t>
        </is>
      </c>
      <c r="E226" s="10" t="inlineStr">
        <is>
          <t xml:space="preserve"> tokopedia</t>
        </is>
      </c>
      <c r="F226" s="10" t="inlineStr">
        <is>
          <t>Sumatera</t>
        </is>
      </c>
      <c r="G226" s="10" t="inlineStr">
        <is>
          <t>Rumah Tangga</t>
        </is>
      </c>
      <c r="H226" s="10" t="inlineStr">
        <is>
          <t>Set Wadah Kedap</t>
        </is>
      </c>
      <c r="I226" s="10" t="n">
        <v>1</v>
      </c>
      <c r="J226" s="10" t="n">
        <v>135000</v>
      </c>
      <c r="K226" s="10" t="n">
        <v>135000</v>
      </c>
    </row>
    <row r="227">
      <c r="A227" s="10" t="inlineStr">
        <is>
          <t>INV-71305</t>
        </is>
      </c>
      <c r="B227" s="10" t="inlineStr">
        <is>
          <t>2026-05-01</t>
        </is>
      </c>
      <c r="C227" s="10" t="inlineStr">
        <is>
          <t>C1361</t>
        </is>
      </c>
      <c r="D227" s="10" t="inlineStr">
        <is>
          <t>champion</t>
        </is>
      </c>
      <c r="E227" s="10" t="inlineStr">
        <is>
          <t xml:space="preserve">Shopee </t>
        </is>
      </c>
      <c r="F227" s="10" t="inlineStr">
        <is>
          <t>Jawa Barat</t>
        </is>
      </c>
      <c r="G227" s="10" t="inlineStr">
        <is>
          <t>Rumah Tangga</t>
        </is>
      </c>
      <c r="H227" s="10" t="inlineStr">
        <is>
          <t>Set Wadah Kedap</t>
        </is>
      </c>
      <c r="I227" s="10" t="n">
        <v>4</v>
      </c>
      <c r="J227" s="10" t="n">
        <v>135000</v>
      </c>
      <c r="K227" s="10" t="n">
        <v>540000</v>
      </c>
    </row>
    <row r="228">
      <c r="A228" s="10" t="inlineStr">
        <is>
          <t>INV-70152</t>
        </is>
      </c>
      <c r="B228" s="10" t="inlineStr">
        <is>
          <t>2025-04-05</t>
        </is>
      </c>
      <c r="C228" s="10" t="inlineStr">
        <is>
          <t>C1044</t>
        </is>
      </c>
      <c r="D228" s="10" t="inlineStr">
        <is>
          <t>regular</t>
        </is>
      </c>
      <c r="E228" s="10" t="inlineStr">
        <is>
          <t>Tiktok Shop</t>
        </is>
      </c>
      <c r="F228" s="10" t="inlineStr">
        <is>
          <t>Sumatera</t>
        </is>
      </c>
      <c r="G228" s="10" t="inlineStr">
        <is>
          <t>Kecantikan</t>
        </is>
      </c>
      <c r="H228" s="10" t="inlineStr">
        <is>
          <t>Masker Wajah (5s)</t>
        </is>
      </c>
      <c r="I228" s="10" t="n">
        <v>1</v>
      </c>
      <c r="J228" s="10" t="n">
        <v>55000</v>
      </c>
      <c r="K228" s="10" t="n">
        <v>55000</v>
      </c>
    </row>
    <row r="229">
      <c r="A229" s="10" t="inlineStr">
        <is>
          <t>INV-70274</t>
        </is>
      </c>
      <c r="B229" s="10" t="inlineStr">
        <is>
          <t>2025-10-04</t>
        </is>
      </c>
      <c r="C229" s="10" t="inlineStr">
        <is>
          <t>C1077</t>
        </is>
      </c>
      <c r="D229" s="10" t="inlineStr">
        <is>
          <t>regular</t>
        </is>
      </c>
      <c r="E229" s="10" t="inlineStr">
        <is>
          <t>Shopee</t>
        </is>
      </c>
      <c r="F229" s="10" t="inlineStr">
        <is>
          <t>Jabodetabek</t>
        </is>
      </c>
      <c r="G229" s="10" t="inlineStr">
        <is>
          <t>Kecantikan</t>
        </is>
      </c>
      <c r="H229" s="10" t="inlineStr">
        <is>
          <t>Masker Wajah (5s)</t>
        </is>
      </c>
      <c r="I229" s="10" t="n">
        <v>2</v>
      </c>
      <c r="J229" s="10" t="n">
        <v>55000</v>
      </c>
      <c r="K229" s="10" t="n">
        <v>110000</v>
      </c>
    </row>
    <row r="230">
      <c r="A230" s="10" t="inlineStr">
        <is>
          <t>INV-71293</t>
        </is>
      </c>
      <c r="B230" s="10" t="inlineStr">
        <is>
          <t>2025-03-02</t>
        </is>
      </c>
      <c r="C230" s="10" t="inlineStr">
        <is>
          <t>C1359</t>
        </is>
      </c>
      <c r="D230" s="10" t="inlineStr">
        <is>
          <t>champion</t>
        </is>
      </c>
      <c r="E230" s="10" t="inlineStr">
        <is>
          <t>TikTok Shop</t>
        </is>
      </c>
      <c r="F230" s="10" t="inlineStr">
        <is>
          <t>Jabodetabek</t>
        </is>
      </c>
      <c r="G230" s="10" t="inlineStr">
        <is>
          <t>Rumah Tangga</t>
        </is>
      </c>
      <c r="H230" s="10" t="inlineStr">
        <is>
          <t>Set Wadah Kedap</t>
        </is>
      </c>
      <c r="I230" s="10" t="n">
        <v>2</v>
      </c>
      <c r="J230" s="10" t="n">
        <v>135000</v>
      </c>
      <c r="K230" s="10" t="n">
        <v>270000</v>
      </c>
    </row>
    <row r="231">
      <c r="A231" s="10" t="inlineStr">
        <is>
          <t>INV-70615</t>
        </is>
      </c>
      <c r="B231" s="10" t="inlineStr">
        <is>
          <t>2025-10-16</t>
        </is>
      </c>
      <c r="C231" s="10" t="inlineStr">
        <is>
          <t>C1167</t>
        </is>
      </c>
      <c r="D231" s="10" t="inlineStr">
        <is>
          <t>occasional</t>
        </is>
      </c>
      <c r="E231" s="10" t="inlineStr">
        <is>
          <t>Shopee</t>
        </is>
      </c>
      <c r="F231" s="10" t="inlineStr">
        <is>
          <t>Jabodetabek</t>
        </is>
      </c>
      <c r="G231" s="10" t="inlineStr">
        <is>
          <t>Makanan</t>
        </is>
      </c>
      <c r="H231" s="10" t="inlineStr">
        <is>
          <t>Granola 500g</t>
        </is>
      </c>
      <c r="I231" s="10" t="n">
        <v>3</v>
      </c>
      <c r="J231" s="10" t="n">
        <v>92000</v>
      </c>
      <c r="K231" s="10" t="n">
        <v>276000</v>
      </c>
    </row>
    <row r="232">
      <c r="A232" s="10" t="inlineStr">
        <is>
          <t>INV-70620</t>
        </is>
      </c>
      <c r="B232" s="10" t="inlineStr">
        <is>
          <t>2025-05-27</t>
        </is>
      </c>
      <c r="C232" s="10" t="inlineStr">
        <is>
          <t>C1170</t>
        </is>
      </c>
      <c r="D232" s="10" t="inlineStr">
        <is>
          <t>champion</t>
        </is>
      </c>
      <c r="E232" s="10" t="inlineStr">
        <is>
          <t>TikTok Shop</t>
        </is>
      </c>
      <c r="F232" s="10" t="inlineStr">
        <is>
          <t>Jabodetabek</t>
        </is>
      </c>
      <c r="G232" s="10" t="inlineStr">
        <is>
          <t>Rumah Tangga</t>
        </is>
      </c>
      <c r="H232" s="10" t="inlineStr">
        <is>
          <t>Set Wadah Kedap</t>
        </is>
      </c>
      <c r="I232" s="10" t="n">
        <v>2</v>
      </c>
      <c r="J232" s="10" t="n">
        <v>135000</v>
      </c>
      <c r="K232" s="10" t="n">
        <v>270000</v>
      </c>
    </row>
    <row r="233">
      <c r="A233" s="10" t="inlineStr">
        <is>
          <t>INV-70061</t>
        </is>
      </c>
      <c r="B233" s="10" t="inlineStr">
        <is>
          <t>21 Apr 2026</t>
        </is>
      </c>
      <c r="C233" s="10" t="inlineStr">
        <is>
          <t>C1017</t>
        </is>
      </c>
      <c r="D233" s="10" t="inlineStr">
        <is>
          <t>loyal</t>
        </is>
      </c>
      <c r="E233" s="10" t="inlineStr">
        <is>
          <t>TikTok Shop</t>
        </is>
      </c>
      <c r="F233" s="10" t="inlineStr">
        <is>
          <t>Lainnya</t>
        </is>
      </c>
      <c r="G233" s="10" t="inlineStr">
        <is>
          <t>Rumah Tangga</t>
        </is>
      </c>
      <c r="H233" s="10" t="inlineStr">
        <is>
          <t>Set Wadah Kedap</t>
        </is>
      </c>
      <c r="I233" s="10" t="n">
        <v>3</v>
      </c>
      <c r="J233" s="10" t="n">
        <v>135000</v>
      </c>
      <c r="K233" s="10" t="n">
        <v>405000</v>
      </c>
    </row>
    <row r="234">
      <c r="A234" s="10" t="inlineStr">
        <is>
          <t>INV-70157</t>
        </is>
      </c>
      <c r="B234" s="10" t="inlineStr">
        <is>
          <t>2025-03-12</t>
        </is>
      </c>
      <c r="C234" s="10" t="inlineStr">
        <is>
          <t>C1048</t>
        </is>
      </c>
      <c r="D234" s="10" t="inlineStr">
        <is>
          <t>occasional</t>
        </is>
      </c>
      <c r="E234" s="10" t="inlineStr">
        <is>
          <t>TikTok Shop</t>
        </is>
      </c>
      <c r="F234" s="10" t="inlineStr">
        <is>
          <t>Jabodetabek</t>
        </is>
      </c>
      <c r="G234" s="10" t="inlineStr">
        <is>
          <t>Rumah Tangga</t>
        </is>
      </c>
      <c r="H234" s="10" t="inlineStr">
        <is>
          <t>Set Wadah Kedap</t>
        </is>
      </c>
      <c r="I234" s="10" t="n">
        <v>1</v>
      </c>
      <c r="J234" s="10" t="n">
        <v>135000</v>
      </c>
      <c r="K234" s="10" t="n">
        <v>135000</v>
      </c>
    </row>
    <row r="235">
      <c r="A235" s="10" t="inlineStr">
        <is>
          <t>INV-70251</t>
        </is>
      </c>
      <c r="B235" s="10" t="inlineStr">
        <is>
          <t>2025-01-20</t>
        </is>
      </c>
      <c r="C235" s="10" t="inlineStr">
        <is>
          <t>C1072</t>
        </is>
      </c>
      <c r="D235" s="10" t="inlineStr">
        <is>
          <t>champion</t>
        </is>
      </c>
      <c r="E235" s="10" t="inlineStr">
        <is>
          <t>Shopee</t>
        </is>
      </c>
      <c r="F235" s="10" t="inlineStr">
        <is>
          <t>Jawa Barat</t>
        </is>
      </c>
      <c r="G235" s="10" t="inlineStr">
        <is>
          <t>Makanan</t>
        </is>
      </c>
      <c r="H235" s="10" t="inlineStr">
        <is>
          <t>Granola 500g</t>
        </is>
      </c>
      <c r="I235" s="10" t="n">
        <v>2</v>
      </c>
      <c r="J235" s="10" t="n">
        <v>92000</v>
      </c>
      <c r="K235" s="10" t="inlineStr">
        <is>
          <t>Rp 184.000</t>
        </is>
      </c>
    </row>
    <row r="236">
      <c r="A236" s="10" t="inlineStr">
        <is>
          <t>INV-70383</t>
        </is>
      </c>
      <c r="B236" s="10" t="inlineStr">
        <is>
          <t>22 Jan 2025</t>
        </is>
      </c>
      <c r="C236" s="10" t="inlineStr">
        <is>
          <t>C1110</t>
        </is>
      </c>
      <c r="D236" s="10" t="inlineStr">
        <is>
          <t>loyal</t>
        </is>
      </c>
      <c r="E236" s="10" t="inlineStr">
        <is>
          <t>Shopee</t>
        </is>
      </c>
      <c r="F236" s="10" t="inlineStr">
        <is>
          <t>Jabodetabek</t>
        </is>
      </c>
      <c r="G236" s="10" t="inlineStr">
        <is>
          <t>Kecantikan</t>
        </is>
      </c>
      <c r="H236" s="10" t="inlineStr">
        <is>
          <t>Masker Wajah (5s)</t>
        </is>
      </c>
      <c r="I236" s="10" t="n">
        <v>3</v>
      </c>
      <c r="J236" s="10" t="n">
        <v>55000</v>
      </c>
      <c r="K236" s="10" t="n">
        <v>165000</v>
      </c>
    </row>
    <row r="237">
      <c r="A237" s="10" t="inlineStr">
        <is>
          <t>INV-70602</t>
        </is>
      </c>
      <c r="B237" s="10" t="inlineStr">
        <is>
          <t>2025-12-26</t>
        </is>
      </c>
      <c r="C237" s="10" t="inlineStr">
        <is>
          <t>C1161</t>
        </is>
      </c>
      <c r="D237" s="10" t="inlineStr">
        <is>
          <t>champion</t>
        </is>
      </c>
      <c r="E237" s="10" t="inlineStr">
        <is>
          <t xml:space="preserve"> tokopedia</t>
        </is>
      </c>
      <c r="F237" s="10" t="inlineStr">
        <is>
          <t>Jawa Tengah</t>
        </is>
      </c>
      <c r="G237" s="10" t="inlineStr">
        <is>
          <t>Elektronik</t>
        </is>
      </c>
      <c r="H237" s="10" t="inlineStr">
        <is>
          <t>Webcam HD</t>
        </is>
      </c>
      <c r="I237" s="10" t="n">
        <v>2</v>
      </c>
      <c r="J237" s="10" t="n">
        <v>210000</v>
      </c>
      <c r="K237" s="10" t="n">
        <v>420000</v>
      </c>
    </row>
    <row r="238">
      <c r="A238" s="10" t="inlineStr">
        <is>
          <t>INV-71270</t>
        </is>
      </c>
      <c r="B238" s="10" t="inlineStr">
        <is>
          <t>2025-04-17</t>
        </is>
      </c>
      <c r="C238" s="10" t="inlineStr">
        <is>
          <t>C1358</t>
        </is>
      </c>
      <c r="D238" s="10" t="inlineStr">
        <is>
          <t>champion</t>
        </is>
      </c>
      <c r="E238" s="10" t="inlineStr">
        <is>
          <t>TikTok Shop</t>
        </is>
      </c>
      <c r="F238" s="10" t="inlineStr">
        <is>
          <t>Jawa Barat</t>
        </is>
      </c>
      <c r="G238" s="10" t="inlineStr">
        <is>
          <t>Rumah Tangga</t>
        </is>
      </c>
      <c r="H238" s="10" t="inlineStr">
        <is>
          <t>Set Wadah Kedap</t>
        </is>
      </c>
      <c r="I238" s="10" t="n">
        <v>1</v>
      </c>
      <c r="J238" s="10" t="n">
        <v>135000</v>
      </c>
      <c r="K238" s="10" t="n">
        <v>135000</v>
      </c>
    </row>
    <row r="239">
      <c r="A239" s="10" t="inlineStr">
        <is>
          <t>INV-70601</t>
        </is>
      </c>
      <c r="B239" s="10" t="inlineStr">
        <is>
          <t>14/07/2025</t>
        </is>
      </c>
      <c r="C239" s="10" t="inlineStr">
        <is>
          <t>C1161</t>
        </is>
      </c>
      <c r="D239" s="10" t="inlineStr">
        <is>
          <t>champion</t>
        </is>
      </c>
      <c r="E239" s="10" t="inlineStr">
        <is>
          <t>TikTok Shop</t>
        </is>
      </c>
      <c r="F239" s="10" t="inlineStr">
        <is>
          <t>Sumatera</t>
        </is>
      </c>
      <c r="G239" s="10" t="inlineStr">
        <is>
          <t>Elektronik</t>
        </is>
      </c>
      <c r="H239" s="10" t="inlineStr">
        <is>
          <t>Power Bank 20K</t>
        </is>
      </c>
      <c r="I239" s="10" t="n">
        <v>1</v>
      </c>
      <c r="J239" s="10" t="n">
        <v>185000</v>
      </c>
      <c r="K239" s="10" t="n">
        <v>185000</v>
      </c>
    </row>
    <row r="240">
      <c r="A240" s="10" t="inlineStr">
        <is>
          <t>INV-71130</t>
        </is>
      </c>
      <c r="B240" s="10" t="inlineStr">
        <is>
          <t>2025-01-09</t>
        </is>
      </c>
      <c r="C240" s="10" t="inlineStr">
        <is>
          <t>C1320</t>
        </is>
      </c>
      <c r="D240" s="10" t="inlineStr">
        <is>
          <t>occasional</t>
        </is>
      </c>
      <c r="E240" s="10" t="inlineStr">
        <is>
          <t>Shopee</t>
        </is>
      </c>
      <c r="F240" s="10" t="inlineStr">
        <is>
          <t>Jabodetabek</t>
        </is>
      </c>
      <c r="G240" s="10" t="inlineStr">
        <is>
          <t>Elektronik</t>
        </is>
      </c>
      <c r="H240" s="10" t="inlineStr">
        <is>
          <t>Earbuds TWS</t>
        </is>
      </c>
      <c r="I240" s="10" t="n">
        <v>1</v>
      </c>
      <c r="J240" s="10" t="n">
        <v>265000</v>
      </c>
      <c r="K240" s="10" t="n">
        <v>265000</v>
      </c>
    </row>
    <row r="241">
      <c r="A241" s="10" t="inlineStr">
        <is>
          <t>INV-70082</t>
        </is>
      </c>
      <c r="B241" s="10" t="inlineStr">
        <is>
          <t>17/10/2025</t>
        </is>
      </c>
      <c r="C241" s="10" t="inlineStr">
        <is>
          <t>C1025</t>
        </is>
      </c>
      <c r="D241" s="10" t="inlineStr">
        <is>
          <t>loyal</t>
        </is>
      </c>
      <c r="E241" s="10" t="inlineStr">
        <is>
          <t>Tokopedia</t>
        </is>
      </c>
      <c r="F241" s="10" t="inlineStr">
        <is>
          <t>Jabodetabek</t>
        </is>
      </c>
      <c r="G241" s="10" t="inlineStr">
        <is>
          <t>Makanan</t>
        </is>
      </c>
      <c r="H241" s="10" t="inlineStr">
        <is>
          <t>Granola 500g</t>
        </is>
      </c>
      <c r="I241" s="10" t="n">
        <v>2</v>
      </c>
      <c r="J241" s="10" t="n">
        <v>92000</v>
      </c>
      <c r="K241" s="10" t="inlineStr">
        <is>
          <t>Rp 184.000</t>
        </is>
      </c>
    </row>
    <row r="242">
      <c r="A242" s="10" t="inlineStr">
        <is>
          <t>INV-71087</t>
        </is>
      </c>
      <c r="B242" s="10" t="inlineStr">
        <is>
          <t>2025-02-08</t>
        </is>
      </c>
      <c r="C242" s="10" t="inlineStr">
        <is>
          <t>C1305</t>
        </is>
      </c>
      <c r="D242" s="10" t="inlineStr">
        <is>
          <t>champion</t>
        </is>
      </c>
      <c r="E242" s="10" t="inlineStr">
        <is>
          <t>Shopee</t>
        </is>
      </c>
      <c r="F242" s="10" t="n"/>
      <c r="G242" s="10" t="inlineStr">
        <is>
          <t>Elektronik</t>
        </is>
      </c>
      <c r="H242" s="10" t="inlineStr">
        <is>
          <t>Power Bank 20K</t>
        </is>
      </c>
      <c r="I242" s="10" t="n">
        <v>1</v>
      </c>
      <c r="J242" s="10" t="n">
        <v>185000</v>
      </c>
      <c r="K242" s="10" t="inlineStr">
        <is>
          <t>Rp 185.000</t>
        </is>
      </c>
    </row>
    <row r="243">
      <c r="A243" s="10" t="inlineStr">
        <is>
          <t>INV-71119</t>
        </is>
      </c>
      <c r="B243" s="10" t="inlineStr">
        <is>
          <t>2026-06-05</t>
        </is>
      </c>
      <c r="C243" s="10" t="inlineStr">
        <is>
          <t>C1312</t>
        </is>
      </c>
      <c r="D243" s="10" t="inlineStr">
        <is>
          <t>champion</t>
        </is>
      </c>
      <c r="E243" s="10" t="inlineStr">
        <is>
          <t>Shopee</t>
        </is>
      </c>
      <c r="F243" s="10" t="inlineStr">
        <is>
          <t>Jawa Barat</t>
        </is>
      </c>
      <c r="G243" s="10" t="inlineStr">
        <is>
          <t>Elektronik</t>
        </is>
      </c>
      <c r="H243" s="10" t="inlineStr">
        <is>
          <t>Power Bank 20K</t>
        </is>
      </c>
      <c r="I243" s="10" t="n">
        <v>1</v>
      </c>
      <c r="J243" s="10" t="n">
        <v>185000</v>
      </c>
      <c r="K243" s="10" t="n">
        <v>185000</v>
      </c>
    </row>
    <row r="244">
      <c r="A244" s="10" t="inlineStr">
        <is>
          <t>INV-71157</t>
        </is>
      </c>
      <c r="B244" s="10" t="inlineStr">
        <is>
          <t>2025-03-16</t>
        </is>
      </c>
      <c r="C244" s="10" t="inlineStr">
        <is>
          <t>C1327</t>
        </is>
      </c>
      <c r="D244" s="10" t="inlineStr">
        <is>
          <t>regular</t>
        </is>
      </c>
      <c r="E244" s="10" t="inlineStr">
        <is>
          <t>Tokopedia</t>
        </is>
      </c>
      <c r="F244" s="10" t="inlineStr">
        <is>
          <t>Jabodetabek</t>
        </is>
      </c>
      <c r="G244" s="10" t="inlineStr">
        <is>
          <t>Rumah Tangga</t>
        </is>
      </c>
      <c r="H244" s="10" t="inlineStr">
        <is>
          <t>Set Wadah Kedap</t>
        </is>
      </c>
      <c r="I244" s="10" t="n">
        <v>1</v>
      </c>
      <c r="J244" s="10" t="n">
        <v>135000</v>
      </c>
      <c r="K244" s="10" t="n">
        <v>135000</v>
      </c>
    </row>
    <row r="245">
      <c r="A245" s="10" t="inlineStr">
        <is>
          <t>INV-70525</t>
        </is>
      </c>
      <c r="B245" s="10" t="inlineStr">
        <is>
          <t>27/02/2025</t>
        </is>
      </c>
      <c r="C245" s="10" t="inlineStr">
        <is>
          <t>C1145</t>
        </is>
      </c>
      <c r="D245" s="10" t="inlineStr">
        <is>
          <t>occasional</t>
        </is>
      </c>
      <c r="E245" s="10" t="inlineStr">
        <is>
          <t>Offline Store</t>
        </is>
      </c>
      <c r="F245" s="10" t="inlineStr">
        <is>
          <t>Jawa Tengah</t>
        </is>
      </c>
      <c r="G245" s="10" t="inlineStr">
        <is>
          <t>Makanan</t>
        </is>
      </c>
      <c r="H245" s="10" t="inlineStr">
        <is>
          <t>Granola 500g</t>
        </is>
      </c>
      <c r="I245" s="10" t="n">
        <v>4</v>
      </c>
      <c r="J245" s="10" t="n">
        <v>92000</v>
      </c>
      <c r="K245" s="10" t="inlineStr">
        <is>
          <t>Rp 368.000</t>
        </is>
      </c>
    </row>
    <row r="246">
      <c r="A246" s="10" t="inlineStr">
        <is>
          <t>INV-70405</t>
        </is>
      </c>
      <c r="B246" s="10" t="inlineStr">
        <is>
          <t>13 Jan 2025</t>
        </is>
      </c>
      <c r="C246" s="10" t="inlineStr">
        <is>
          <t>C1112</t>
        </is>
      </c>
      <c r="D246" s="10" t="inlineStr">
        <is>
          <t>loyal</t>
        </is>
      </c>
      <c r="E246" s="10" t="inlineStr">
        <is>
          <t xml:space="preserve">Tokopedia </t>
        </is>
      </c>
      <c r="F246" s="10" t="inlineStr">
        <is>
          <t>Jabodetabek</t>
        </is>
      </c>
      <c r="G246" s="10" t="inlineStr">
        <is>
          <t>Elektronik</t>
        </is>
      </c>
      <c r="H246" s="10" t="inlineStr">
        <is>
          <t>Power Bank 20K</t>
        </is>
      </c>
      <c r="I246" s="10" t="n">
        <v>1</v>
      </c>
      <c r="J246" s="10" t="n">
        <v>185000</v>
      </c>
      <c r="K246" s="10" t="n">
        <v>185000</v>
      </c>
    </row>
    <row r="247">
      <c r="A247" s="10" t="inlineStr">
        <is>
          <t>INV-70908</t>
        </is>
      </c>
      <c r="B247" s="10" t="inlineStr">
        <is>
          <t>25/06/2026</t>
        </is>
      </c>
      <c r="C247" s="10" t="inlineStr">
        <is>
          <t>C1256</t>
        </is>
      </c>
      <c r="D247" s="10" t="inlineStr">
        <is>
          <t>loyal</t>
        </is>
      </c>
      <c r="E247" s="10" t="inlineStr">
        <is>
          <t>Tokopedia</t>
        </is>
      </c>
      <c r="F247" s="10" t="inlineStr">
        <is>
          <t>Sumatera</t>
        </is>
      </c>
      <c r="G247" s="10" t="inlineStr">
        <is>
          <t>Makanan</t>
        </is>
      </c>
      <c r="H247" s="10" t="inlineStr">
        <is>
          <t>Granola 500g</t>
        </is>
      </c>
      <c r="I247" s="10" t="n">
        <v>3</v>
      </c>
      <c r="J247" s="10" t="n">
        <v>92000</v>
      </c>
      <c r="K247" s="10" t="n">
        <v>288000</v>
      </c>
    </row>
    <row r="248">
      <c r="A248" s="10" t="inlineStr">
        <is>
          <t>INV-70866</t>
        </is>
      </c>
      <c r="B248" s="10" t="inlineStr">
        <is>
          <t>10/06/2026</t>
        </is>
      </c>
      <c r="C248" s="10" t="inlineStr">
        <is>
          <t>C1244</t>
        </is>
      </c>
      <c r="D248" s="10" t="inlineStr">
        <is>
          <t>regular</t>
        </is>
      </c>
      <c r="E248" s="10" t="inlineStr">
        <is>
          <t>Tokopedia</t>
        </is>
      </c>
      <c r="F248" s="10" t="inlineStr">
        <is>
          <t>Jabodetabek</t>
        </is>
      </c>
      <c r="G248" s="10" t="inlineStr">
        <is>
          <t>Fashion</t>
        </is>
      </c>
      <c r="H248" s="10" t="inlineStr">
        <is>
          <t>Dress Casual</t>
        </is>
      </c>
      <c r="I248" s="10" t="n">
        <v>1</v>
      </c>
      <c r="J248" s="10" t="n">
        <v>225000</v>
      </c>
      <c r="K248" s="10" t="inlineStr">
        <is>
          <t>Rp 225.000</t>
        </is>
      </c>
    </row>
    <row r="249">
      <c r="A249" s="10" t="inlineStr">
        <is>
          <t>INV-70204</t>
        </is>
      </c>
      <c r="B249" s="10" t="inlineStr">
        <is>
          <t>2025-04-18</t>
        </is>
      </c>
      <c r="C249" s="10" t="inlineStr">
        <is>
          <t>C1057</t>
        </is>
      </c>
      <c r="D249" s="10" t="inlineStr">
        <is>
          <t>regular</t>
        </is>
      </c>
      <c r="E249" s="10" t="inlineStr">
        <is>
          <t xml:space="preserve"> tokopedia</t>
        </is>
      </c>
      <c r="F249" s="10" t="inlineStr">
        <is>
          <t>Jawa Tengah</t>
        </is>
      </c>
      <c r="G249" s="10" t="inlineStr">
        <is>
          <t>Makanan</t>
        </is>
      </c>
      <c r="H249" s="10" t="inlineStr">
        <is>
          <t>Granola 500g</t>
        </is>
      </c>
      <c r="I249" s="10" t="n">
        <v>2</v>
      </c>
      <c r="J249" s="10" t="n">
        <v>92000</v>
      </c>
      <c r="K249" s="10" t="n">
        <v>184000</v>
      </c>
    </row>
    <row r="250">
      <c r="A250" s="10" t="inlineStr">
        <is>
          <t>INV-71553</t>
        </is>
      </c>
      <c r="B250" s="10" t="inlineStr">
        <is>
          <t>2026-06-11</t>
        </is>
      </c>
      <c r="C250" s="10" t="inlineStr">
        <is>
          <t>C1428</t>
        </is>
      </c>
      <c r="D250" s="10" t="inlineStr">
        <is>
          <t>loyal</t>
        </is>
      </c>
      <c r="E250" s="10" t="inlineStr">
        <is>
          <t>Tokopedia</t>
        </is>
      </c>
      <c r="F250" s="10" t="inlineStr">
        <is>
          <t>Jawa Barat</t>
        </is>
      </c>
      <c r="G250" s="10" t="inlineStr">
        <is>
          <t>Kecantikan</t>
        </is>
      </c>
      <c r="H250" s="10" t="inlineStr">
        <is>
          <t>Toner Glow</t>
        </is>
      </c>
      <c r="I250" s="10" t="n">
        <v>1</v>
      </c>
      <c r="J250" s="10" t="n">
        <v>88000</v>
      </c>
      <c r="K250" s="10" t="n">
        <v>88000</v>
      </c>
    </row>
    <row r="251">
      <c r="A251" s="10" t="inlineStr">
        <is>
          <t>INV-70853</t>
        </is>
      </c>
      <c r="B251" s="10" t="inlineStr">
        <is>
          <t>2025-11-11</t>
        </is>
      </c>
      <c r="C251" s="10" t="inlineStr">
        <is>
          <t>C1240</t>
        </is>
      </c>
      <c r="D251" s="10" t="inlineStr">
        <is>
          <t>loyal</t>
        </is>
      </c>
      <c r="E251" s="10" t="inlineStr">
        <is>
          <t>Tokopedia</t>
        </is>
      </c>
      <c r="F251" s="10" t="inlineStr">
        <is>
          <t>Jabodetabek</t>
        </is>
      </c>
      <c r="G251" s="10" t="inlineStr">
        <is>
          <t>Elektronik</t>
        </is>
      </c>
      <c r="H251" s="10" t="inlineStr">
        <is>
          <t>Smartwatch</t>
        </is>
      </c>
      <c r="I251" s="10" t="n">
        <v>1</v>
      </c>
      <c r="J251" s="10" t="n">
        <v>450000</v>
      </c>
      <c r="K251" s="10" t="n">
        <v>450000</v>
      </c>
    </row>
    <row r="252">
      <c r="A252" s="10" t="inlineStr">
        <is>
          <t>INV-70100</t>
        </is>
      </c>
      <c r="B252" s="10" t="inlineStr">
        <is>
          <t>02 Nov 2025</t>
        </is>
      </c>
      <c r="C252" s="10" t="inlineStr">
        <is>
          <t>C1029</t>
        </is>
      </c>
      <c r="D252" s="10" t="inlineStr">
        <is>
          <t>champion</t>
        </is>
      </c>
      <c r="E252" s="10" t="inlineStr">
        <is>
          <t>Tokopedia</t>
        </is>
      </c>
      <c r="F252" s="10" t="inlineStr">
        <is>
          <t>Jawa Timur</t>
        </is>
      </c>
      <c r="G252" s="10" t="inlineStr">
        <is>
          <t>Rumah Tangga</t>
        </is>
      </c>
      <c r="H252" s="10" t="inlineStr">
        <is>
          <t>Set Wadah Kedap</t>
        </is>
      </c>
      <c r="I252" s="10" t="n">
        <v>1</v>
      </c>
      <c r="J252" s="10" t="n">
        <v>135000</v>
      </c>
      <c r="K252" s="10" t="inlineStr">
        <is>
          <t>Rp 135.000</t>
        </is>
      </c>
    </row>
    <row r="253">
      <c r="A253" s="10" t="inlineStr">
        <is>
          <t>INV-70676</t>
        </is>
      </c>
      <c r="B253" s="10" t="inlineStr">
        <is>
          <t>2026-03-23</t>
        </is>
      </c>
      <c r="C253" s="10" t="inlineStr">
        <is>
          <t>C1185</t>
        </is>
      </c>
      <c r="D253" s="10" t="inlineStr">
        <is>
          <t>occasional</t>
        </is>
      </c>
      <c r="E253" s="10" t="inlineStr">
        <is>
          <t>TikTok Shop</t>
        </is>
      </c>
      <c r="F253" s="10" t="inlineStr">
        <is>
          <t>Jabodetabek</t>
        </is>
      </c>
      <c r="G253" s="10" t="inlineStr">
        <is>
          <t>Rumah Tangga</t>
        </is>
      </c>
      <c r="H253" s="10" t="inlineStr">
        <is>
          <t>Organizer Laci</t>
        </is>
      </c>
      <c r="I253" s="10" t="n">
        <v>2</v>
      </c>
      <c r="J253" s="10" t="n">
        <v>78000</v>
      </c>
      <c r="K253" s="10" t="n">
        <v>156000</v>
      </c>
    </row>
    <row r="254">
      <c r="A254" s="10" t="inlineStr">
        <is>
          <t>INV-71349</t>
        </is>
      </c>
      <c r="B254" s="10" t="inlineStr">
        <is>
          <t>2026-05-06</t>
        </is>
      </c>
      <c r="C254" s="10" t="inlineStr">
        <is>
          <t>C1371</t>
        </is>
      </c>
      <c r="D254" s="10" t="inlineStr">
        <is>
          <t>regular</t>
        </is>
      </c>
      <c r="E254" s="10" t="inlineStr">
        <is>
          <t>shopee</t>
        </is>
      </c>
      <c r="F254" s="10" t="inlineStr">
        <is>
          <t>Jawa Barat</t>
        </is>
      </c>
      <c r="G254" s="10" t="inlineStr">
        <is>
          <t>Rumah Tangga</t>
        </is>
      </c>
      <c r="H254" s="10" t="inlineStr">
        <is>
          <t>Set Wadah Kedap</t>
        </is>
      </c>
      <c r="I254" s="10" t="n">
        <v>2</v>
      </c>
      <c r="J254" s="10" t="n">
        <v>135000</v>
      </c>
      <c r="K254" s="10" t="n">
        <v>270000</v>
      </c>
    </row>
    <row r="255">
      <c r="A255" s="10" t="inlineStr">
        <is>
          <t>INV-70336</t>
        </is>
      </c>
      <c r="B255" s="10" t="inlineStr">
        <is>
          <t>03/01/2025</t>
        </is>
      </c>
      <c r="C255" s="10" t="inlineStr">
        <is>
          <t>C1093</t>
        </is>
      </c>
      <c r="D255" s="10" t="inlineStr">
        <is>
          <t>champion</t>
        </is>
      </c>
      <c r="E255" s="10" t="inlineStr">
        <is>
          <t>Shopee</t>
        </is>
      </c>
      <c r="F255" s="10" t="inlineStr">
        <is>
          <t>Jabodetabek</t>
        </is>
      </c>
      <c r="G255" s="10" t="inlineStr">
        <is>
          <t>Elektronik</t>
        </is>
      </c>
      <c r="H255" s="10" t="inlineStr">
        <is>
          <t>Earbuds TWS</t>
        </is>
      </c>
      <c r="I255" s="10" t="n">
        <v>4</v>
      </c>
      <c r="J255" s="10" t="n">
        <v>265000</v>
      </c>
      <c r="K255" s="10" t="n">
        <v>1060000</v>
      </c>
    </row>
    <row r="256">
      <c r="A256" s="10" t="inlineStr">
        <is>
          <t>INV-71080</t>
        </is>
      </c>
      <c r="B256" s="10" t="inlineStr">
        <is>
          <t>2025-04-21</t>
        </is>
      </c>
      <c r="C256" s="10" t="inlineStr">
        <is>
          <t>C1304</t>
        </is>
      </c>
      <c r="D256" s="10" t="inlineStr">
        <is>
          <t>regular</t>
        </is>
      </c>
      <c r="E256" s="10" t="inlineStr">
        <is>
          <t>Shopee</t>
        </is>
      </c>
      <c r="F256" s="10" t="inlineStr">
        <is>
          <t>Jawa Tengah</t>
        </is>
      </c>
      <c r="G256" s="10" t="inlineStr">
        <is>
          <t>Elektronik</t>
        </is>
      </c>
      <c r="H256" s="10" t="inlineStr">
        <is>
          <t>Power Bank 20K</t>
        </is>
      </c>
      <c r="I256" s="10" t="n">
        <v>3</v>
      </c>
      <c r="J256" s="10" t="n">
        <v>185000</v>
      </c>
      <c r="K256" s="10" t="n">
        <v>555000</v>
      </c>
    </row>
    <row r="257">
      <c r="A257" s="10" t="inlineStr">
        <is>
          <t>INV-71155</t>
        </is>
      </c>
      <c r="B257" s="10" t="inlineStr">
        <is>
          <t>2025-10-12</t>
        </is>
      </c>
      <c r="C257" s="10" t="inlineStr">
        <is>
          <t>C1326</t>
        </is>
      </c>
      <c r="D257" s="10" t="inlineStr">
        <is>
          <t>loyal</t>
        </is>
      </c>
      <c r="E257" s="10" t="inlineStr">
        <is>
          <t>Offline Store</t>
        </is>
      </c>
      <c r="F257" s="10" t="inlineStr">
        <is>
          <t>Jawa Barat</t>
        </is>
      </c>
      <c r="G257" s="10" t="inlineStr">
        <is>
          <t>Rumah Tangga</t>
        </is>
      </c>
      <c r="H257" s="10" t="inlineStr">
        <is>
          <t>Set Wadah Kedap</t>
        </is>
      </c>
      <c r="I257" s="10" t="n">
        <v>2</v>
      </c>
      <c r="J257" s="10" t="n">
        <v>135000</v>
      </c>
      <c r="K257" s="10" t="inlineStr">
        <is>
          <t>Rp 270.000</t>
        </is>
      </c>
    </row>
    <row r="258">
      <c r="A258" s="10" t="inlineStr">
        <is>
          <t>INV-70123</t>
        </is>
      </c>
      <c r="B258" s="10" t="inlineStr">
        <is>
          <t>2026-01-17</t>
        </is>
      </c>
      <c r="C258" s="10" t="inlineStr">
        <is>
          <t>C1038</t>
        </is>
      </c>
      <c r="D258" s="10" t="inlineStr">
        <is>
          <t>champion</t>
        </is>
      </c>
      <c r="E258" s="10" t="inlineStr">
        <is>
          <t>Shopee</t>
        </is>
      </c>
      <c r="F258" s="10" t="inlineStr">
        <is>
          <t>Jabodetabek</t>
        </is>
      </c>
      <c r="G258" s="10" t="inlineStr">
        <is>
          <t>Fashion</t>
        </is>
      </c>
      <c r="H258" s="10" t="inlineStr">
        <is>
          <t>Kaos Premium</t>
        </is>
      </c>
      <c r="I258" s="10" t="n">
        <v>1</v>
      </c>
      <c r="J258" s="10" t="n">
        <v>95000</v>
      </c>
      <c r="K258" s="10" t="inlineStr">
        <is>
          <t>Rp 95.000</t>
        </is>
      </c>
    </row>
    <row r="259">
      <c r="A259" s="10" t="inlineStr">
        <is>
          <t>INV-70220</t>
        </is>
      </c>
      <c r="B259" s="10" t="inlineStr">
        <is>
          <t>26/10/2025</t>
        </is>
      </c>
      <c r="C259" s="10" t="inlineStr">
        <is>
          <t>C1061</t>
        </is>
      </c>
      <c r="D259" s="10" t="inlineStr">
        <is>
          <t>occasional</t>
        </is>
      </c>
      <c r="E259" s="10" t="inlineStr">
        <is>
          <t>Shopee</t>
        </is>
      </c>
      <c r="F259" s="10" t="inlineStr">
        <is>
          <t>Jawa Timur</t>
        </is>
      </c>
      <c r="G259" s="10" t="inlineStr">
        <is>
          <t>elektronik</t>
        </is>
      </c>
      <c r="H259" s="10" t="inlineStr">
        <is>
          <t>Power Bank 20K</t>
        </is>
      </c>
      <c r="I259" s="10" t="n">
        <v>2</v>
      </c>
      <c r="J259" s="10" t="n">
        <v>185000</v>
      </c>
      <c r="K259" s="10" t="n">
        <v>370000</v>
      </c>
    </row>
    <row r="260">
      <c r="A260" s="10" t="inlineStr">
        <is>
          <t>INV-70478</t>
        </is>
      </c>
      <c r="B260" s="10" t="inlineStr">
        <is>
          <t>2025-07-01</t>
        </is>
      </c>
      <c r="C260" s="10" t="inlineStr">
        <is>
          <t>C1137</t>
        </is>
      </c>
      <c r="D260" s="10" t="inlineStr">
        <is>
          <t>loyal</t>
        </is>
      </c>
      <c r="E260" s="10" t="inlineStr">
        <is>
          <t>TikTok Shop</t>
        </is>
      </c>
      <c r="F260" s="10" t="inlineStr">
        <is>
          <t>Sumatera</t>
        </is>
      </c>
      <c r="G260" s="10" t="inlineStr">
        <is>
          <t>Kecantikan</t>
        </is>
      </c>
      <c r="H260" s="10" t="inlineStr">
        <is>
          <t>Masker Wajah (5s)</t>
        </is>
      </c>
      <c r="I260" s="10" t="n">
        <v>2</v>
      </c>
      <c r="J260" s="10" t="n">
        <v>55000</v>
      </c>
      <c r="K260" s="10" t="n">
        <v>110000</v>
      </c>
    </row>
    <row r="261">
      <c r="A261" s="10" t="inlineStr">
        <is>
          <t>INV-71445</t>
        </is>
      </c>
      <c r="B261" s="10" t="inlineStr">
        <is>
          <t>2025-12-25</t>
        </is>
      </c>
      <c r="C261" s="10" t="inlineStr">
        <is>
          <t>C1399</t>
        </is>
      </c>
      <c r="D261" s="10" t="inlineStr">
        <is>
          <t>onetime</t>
        </is>
      </c>
      <c r="E261" s="10" t="inlineStr">
        <is>
          <t>Tiktok Shop</t>
        </is>
      </c>
      <c r="F261" s="10" t="inlineStr">
        <is>
          <t>Jawa Barat</t>
        </is>
      </c>
      <c r="G261" s="10" t="inlineStr">
        <is>
          <t>Rumah Tangga</t>
        </is>
      </c>
      <c r="H261" s="10" t="inlineStr">
        <is>
          <t>Set Wadah Kedap</t>
        </is>
      </c>
      <c r="I261" s="10" t="n">
        <v>1</v>
      </c>
      <c r="J261" s="10" t="n">
        <v>135000</v>
      </c>
      <c r="K261" s="10" t="n">
        <v>135000</v>
      </c>
    </row>
    <row r="262">
      <c r="A262" s="10" t="inlineStr">
        <is>
          <t>INV-70574</t>
        </is>
      </c>
      <c r="B262" s="10" t="inlineStr">
        <is>
          <t>24 May 2026</t>
        </is>
      </c>
      <c r="C262" s="10" t="inlineStr">
        <is>
          <t>C1157</t>
        </is>
      </c>
      <c r="D262" s="10" t="inlineStr">
        <is>
          <t>loyal</t>
        </is>
      </c>
      <c r="E262" s="10" t="inlineStr">
        <is>
          <t>Offline Store</t>
        </is>
      </c>
      <c r="F262" s="10" t="inlineStr">
        <is>
          <t>Jabodetabek</t>
        </is>
      </c>
      <c r="G262" s="10" t="inlineStr">
        <is>
          <t>Rumah Tangga</t>
        </is>
      </c>
      <c r="H262" s="10" t="inlineStr">
        <is>
          <t>Set Wadah Kedap</t>
        </is>
      </c>
      <c r="I262" s="10" t="n">
        <v>1</v>
      </c>
      <c r="J262" s="10" t="n">
        <v>135000</v>
      </c>
      <c r="K262" s="10" t="n">
        <v>135000</v>
      </c>
    </row>
    <row r="263">
      <c r="A263" s="10" t="inlineStr">
        <is>
          <t>INV-70041</t>
        </is>
      </c>
      <c r="B263" s="10" t="inlineStr">
        <is>
          <t>17 Apr 2025</t>
        </is>
      </c>
      <c r="C263" s="10" t="inlineStr">
        <is>
          <t>C1010</t>
        </is>
      </c>
      <c r="D263" s="10" t="inlineStr">
        <is>
          <t>occasional</t>
        </is>
      </c>
      <c r="E263" s="10" t="inlineStr">
        <is>
          <t>Shopee</t>
        </is>
      </c>
      <c r="F263" s="10" t="inlineStr">
        <is>
          <t>Jabodetabek</t>
        </is>
      </c>
      <c r="G263" s="10" t="inlineStr">
        <is>
          <t>Elektronik</t>
        </is>
      </c>
      <c r="H263" s="10" t="inlineStr">
        <is>
          <t>Power Bank 20K</t>
        </is>
      </c>
      <c r="I263" s="10" t="n">
        <v>1</v>
      </c>
      <c r="J263" s="10" t="n">
        <v>185000</v>
      </c>
      <c r="K263" s="10" t="n">
        <v>185000</v>
      </c>
    </row>
    <row r="264">
      <c r="A264" s="10" t="inlineStr">
        <is>
          <t>INV-70628</t>
        </is>
      </c>
      <c r="B264" s="10" t="inlineStr">
        <is>
          <t>2025-11-22</t>
        </is>
      </c>
      <c r="C264" s="10" t="inlineStr">
        <is>
          <t>C1171</t>
        </is>
      </c>
      <c r="D264" s="10" t="inlineStr">
        <is>
          <t>regular</t>
        </is>
      </c>
      <c r="E264" s="10" t="inlineStr">
        <is>
          <t>Shopee</t>
        </is>
      </c>
      <c r="F264" s="10" t="inlineStr">
        <is>
          <t>Jawa Barat</t>
        </is>
      </c>
      <c r="G264" s="10" t="inlineStr">
        <is>
          <t>Rumah Tangga</t>
        </is>
      </c>
      <c r="H264" s="10" t="inlineStr">
        <is>
          <t>Karpet Bulu</t>
        </is>
      </c>
      <c r="I264" s="10" t="n">
        <v>2</v>
      </c>
      <c r="J264" s="10" t="n">
        <v>240000</v>
      </c>
      <c r="K264" s="10" t="n">
        <v>480000</v>
      </c>
    </row>
    <row r="265">
      <c r="A265" s="10" t="inlineStr">
        <is>
          <t>INV-71408</t>
        </is>
      </c>
      <c r="B265" s="10" t="inlineStr">
        <is>
          <t>2026-03-23</t>
        </is>
      </c>
      <c r="C265" s="10" t="inlineStr">
        <is>
          <t>C1389</t>
        </is>
      </c>
      <c r="D265" s="10" t="inlineStr">
        <is>
          <t>regular</t>
        </is>
      </c>
      <c r="E265" s="10" t="inlineStr">
        <is>
          <t>Tokopedia</t>
        </is>
      </c>
      <c r="F265" s="10" t="inlineStr">
        <is>
          <t>Jabodetabek</t>
        </is>
      </c>
      <c r="G265" s="10" t="inlineStr">
        <is>
          <t>Rumah Tangga</t>
        </is>
      </c>
      <c r="H265" s="10" t="inlineStr">
        <is>
          <t>Set Wadah Kedap</t>
        </is>
      </c>
      <c r="I265" s="10" t="n">
        <v>2</v>
      </c>
      <c r="J265" s="10" t="n">
        <v>135000</v>
      </c>
      <c r="K265" s="10" t="n">
        <v>270000</v>
      </c>
    </row>
    <row r="266">
      <c r="A266" s="10" t="inlineStr">
        <is>
          <t>INV-70325</t>
        </is>
      </c>
      <c r="B266" s="10" t="inlineStr">
        <is>
          <t>2025-08-07</t>
        </is>
      </c>
      <c r="C266" s="10" t="inlineStr">
        <is>
          <t>C1090</t>
        </is>
      </c>
      <c r="D266" s="10" t="inlineStr">
        <is>
          <t>champion</t>
        </is>
      </c>
      <c r="E266" s="10" t="inlineStr">
        <is>
          <t>Shopee</t>
        </is>
      </c>
      <c r="F266" s="10" t="inlineStr">
        <is>
          <t>Jabodetabek</t>
        </is>
      </c>
      <c r="G266" s="10" t="inlineStr">
        <is>
          <t>Rumah Tangga</t>
        </is>
      </c>
      <c r="H266" s="10" t="inlineStr">
        <is>
          <t>Set Wadah Kedap</t>
        </is>
      </c>
      <c r="I266" s="10" t="n">
        <v>1</v>
      </c>
      <c r="J266" s="10" t="n">
        <v>135000</v>
      </c>
      <c r="K266" s="10" t="n">
        <v>135000</v>
      </c>
    </row>
    <row r="267">
      <c r="A267" s="10" t="inlineStr">
        <is>
          <t>INV-70745</t>
        </is>
      </c>
      <c r="B267" s="10" t="inlineStr">
        <is>
          <t>2025-09-02</t>
        </is>
      </c>
      <c r="C267" s="10" t="inlineStr">
        <is>
          <t>C1209</t>
        </is>
      </c>
      <c r="D267" s="10" t="inlineStr">
        <is>
          <t>onetime</t>
        </is>
      </c>
      <c r="E267" s="10" t="inlineStr">
        <is>
          <t>Shopee</t>
        </is>
      </c>
      <c r="F267" s="10" t="inlineStr">
        <is>
          <t>Lainnya</t>
        </is>
      </c>
      <c r="G267" s="10" t="inlineStr">
        <is>
          <t>Makanan</t>
        </is>
      </c>
      <c r="H267" s="10" t="inlineStr">
        <is>
          <t>Granola 500g</t>
        </is>
      </c>
      <c r="I267" s="10" t="n">
        <v>3</v>
      </c>
      <c r="J267" s="10" t="n">
        <v>92000</v>
      </c>
      <c r="K267" s="10" t="n">
        <v>276000</v>
      </c>
    </row>
    <row r="268">
      <c r="A268" s="10" t="inlineStr">
        <is>
          <t>INV-70656</t>
        </is>
      </c>
      <c r="B268" s="10" t="inlineStr">
        <is>
          <t>2026-05-21</t>
        </is>
      </c>
      <c r="C268" s="10" t="inlineStr">
        <is>
          <t>C1179</t>
        </is>
      </c>
      <c r="D268" s="10" t="inlineStr">
        <is>
          <t>loyal</t>
        </is>
      </c>
      <c r="E268" s="10" t="inlineStr">
        <is>
          <t>Tokopedia</t>
        </is>
      </c>
      <c r="F268" s="10" t="inlineStr">
        <is>
          <t>Sumatera</t>
        </is>
      </c>
      <c r="G268" s="10" t="inlineStr">
        <is>
          <t>Rumah Tangga</t>
        </is>
      </c>
      <c r="H268" s="10" t="inlineStr">
        <is>
          <t>Set Wadah Kedap</t>
        </is>
      </c>
      <c r="I268" s="10" t="n">
        <v>2</v>
      </c>
      <c r="J268" s="10" t="n">
        <v>135000</v>
      </c>
      <c r="K268" s="10" t="n">
        <v>270000</v>
      </c>
    </row>
    <row r="269">
      <c r="A269" s="10" t="inlineStr">
        <is>
          <t>INV-70195</t>
        </is>
      </c>
      <c r="B269" s="10" t="inlineStr">
        <is>
          <t>2026-02-03</t>
        </is>
      </c>
      <c r="C269" s="10" t="inlineStr">
        <is>
          <t>C1056</t>
        </is>
      </c>
      <c r="D269" s="10" t="inlineStr">
        <is>
          <t>loyal</t>
        </is>
      </c>
      <c r="E269" s="10" t="inlineStr">
        <is>
          <t>shopee</t>
        </is>
      </c>
      <c r="F269" s="10" t="inlineStr">
        <is>
          <t>Jawa Barat</t>
        </is>
      </c>
      <c r="G269" s="10" t="inlineStr">
        <is>
          <t>Elektronik</t>
        </is>
      </c>
      <c r="H269" s="10" t="inlineStr">
        <is>
          <t>Webcam HD</t>
        </is>
      </c>
      <c r="I269" s="10" t="n">
        <v>3</v>
      </c>
      <c r="J269" s="10" t="n">
        <v>210000</v>
      </c>
      <c r="K269" s="10" t="n">
        <v>630000</v>
      </c>
    </row>
    <row r="270">
      <c r="A270" s="10" t="inlineStr">
        <is>
          <t>INV-70782</t>
        </is>
      </c>
      <c r="B270" s="10" t="inlineStr">
        <is>
          <t>18/09/2025</t>
        </is>
      </c>
      <c r="C270" s="10" t="inlineStr">
        <is>
          <t>C1220</t>
        </is>
      </c>
      <c r="D270" s="10" t="inlineStr">
        <is>
          <t>loyal</t>
        </is>
      </c>
      <c r="E270" s="10" t="inlineStr">
        <is>
          <t>shopee</t>
        </is>
      </c>
      <c r="F270" s="10" t="inlineStr">
        <is>
          <t>Jabodetabek</t>
        </is>
      </c>
      <c r="G270" s="10" t="inlineStr">
        <is>
          <t>Fashion</t>
        </is>
      </c>
      <c r="H270" s="10" t="inlineStr">
        <is>
          <t>Celana Chino</t>
        </is>
      </c>
      <c r="I270" s="10" t="n">
        <v>2</v>
      </c>
      <c r="J270" s="10" t="n">
        <v>195000</v>
      </c>
      <c r="K270" s="10" t="n">
        <v>390000</v>
      </c>
    </row>
    <row r="271">
      <c r="A271" s="10" t="inlineStr">
        <is>
          <t>INV-70793</t>
        </is>
      </c>
      <c r="B271" s="10" t="inlineStr">
        <is>
          <t>2025-04-26</t>
        </is>
      </c>
      <c r="C271" s="10" t="inlineStr">
        <is>
          <t>C1222</t>
        </is>
      </c>
      <c r="D271" s="10" t="inlineStr">
        <is>
          <t>loyal</t>
        </is>
      </c>
      <c r="E271" s="10" t="inlineStr">
        <is>
          <t>offline store</t>
        </is>
      </c>
      <c r="F271" s="10" t="inlineStr">
        <is>
          <t>Jawa Barat</t>
        </is>
      </c>
      <c r="G271" s="10" t="inlineStr">
        <is>
          <t>Elektronik</t>
        </is>
      </c>
      <c r="H271" s="10" t="inlineStr">
        <is>
          <t>Smartwatch</t>
        </is>
      </c>
      <c r="I271" s="10" t="n">
        <v>2</v>
      </c>
      <c r="J271" s="10" t="n">
        <v>450000</v>
      </c>
      <c r="K271" s="10" t="n">
        <v>900000</v>
      </c>
    </row>
    <row r="272">
      <c r="A272" s="10" t="inlineStr">
        <is>
          <t>INV-71496</t>
        </is>
      </c>
      <c r="B272" s="10" t="inlineStr">
        <is>
          <t>2026-04-20</t>
        </is>
      </c>
      <c r="C272" s="10" t="inlineStr">
        <is>
          <t>C1412</t>
        </is>
      </c>
      <c r="D272" s="10" t="inlineStr">
        <is>
          <t>champion</t>
        </is>
      </c>
      <c r="E272" s="10" t="inlineStr">
        <is>
          <t>Tokopedia</t>
        </is>
      </c>
      <c r="F272" s="10" t="inlineStr">
        <is>
          <t>Jawa Tengah</t>
        </is>
      </c>
      <c r="G272" s="10" t="inlineStr">
        <is>
          <t>Rumah Tangga</t>
        </is>
      </c>
      <c r="H272" s="10" t="inlineStr">
        <is>
          <t>Set Wadah Kedap</t>
        </is>
      </c>
      <c r="I272" s="10" t="n">
        <v>3</v>
      </c>
      <c r="J272" s="10" t="n">
        <v>135000</v>
      </c>
      <c r="K272" s="10" t="n">
        <v>405000</v>
      </c>
    </row>
    <row r="273">
      <c r="A273" s="10" t="inlineStr">
        <is>
          <t>INV-70840</t>
        </is>
      </c>
      <c r="B273" s="10" t="inlineStr">
        <is>
          <t>08 May 2026</t>
        </is>
      </c>
      <c r="C273" s="10" t="inlineStr">
        <is>
          <t>C1237</t>
        </is>
      </c>
      <c r="D273" s="10" t="inlineStr">
        <is>
          <t>champion</t>
        </is>
      </c>
      <c r="E273" s="10" t="inlineStr">
        <is>
          <t>Shopee</t>
        </is>
      </c>
      <c r="F273" s="10" t="inlineStr">
        <is>
          <t>Jabodetabek</t>
        </is>
      </c>
      <c r="G273" s="10" t="inlineStr">
        <is>
          <t>kecantikan</t>
        </is>
      </c>
      <c r="H273" s="10" t="inlineStr">
        <is>
          <t>Masker Wajah (5s)</t>
        </is>
      </c>
      <c r="I273" s="10" t="n">
        <v>1</v>
      </c>
      <c r="J273" s="10" t="n">
        <v>55000</v>
      </c>
      <c r="K273" s="10" t="n">
        <v>55000</v>
      </c>
    </row>
    <row r="274">
      <c r="A274" s="10" t="inlineStr">
        <is>
          <t>INV-71178</t>
        </is>
      </c>
      <c r="B274" s="10" t="inlineStr">
        <is>
          <t>2025-05-04</t>
        </is>
      </c>
      <c r="C274" s="10" t="inlineStr">
        <is>
          <t>C1334</t>
        </is>
      </c>
      <c r="D274" s="10" t="inlineStr">
        <is>
          <t>champion</t>
        </is>
      </c>
      <c r="E274" s="10" t="inlineStr">
        <is>
          <t xml:space="preserve">Tokopedia </t>
        </is>
      </c>
      <c r="F274" s="10" t="inlineStr">
        <is>
          <t>Jabodetabek</t>
        </is>
      </c>
      <c r="G274" s="10" t="inlineStr">
        <is>
          <t>Rumah Tangga</t>
        </is>
      </c>
      <c r="H274" s="10" t="inlineStr">
        <is>
          <t>Set Wadah Kedap</t>
        </is>
      </c>
      <c r="I274" s="10" t="n">
        <v>1</v>
      </c>
      <c r="J274" s="10" t="n">
        <v>135000</v>
      </c>
      <c r="K274" s="10" t="inlineStr">
        <is>
          <t>Rp 135.000</t>
        </is>
      </c>
    </row>
    <row r="275">
      <c r="A275" s="10" t="inlineStr">
        <is>
          <t>INV-70448</t>
        </is>
      </c>
      <c r="B275" s="10" t="inlineStr">
        <is>
          <t>2025-01-27</t>
        </is>
      </c>
      <c r="C275" s="10" t="inlineStr">
        <is>
          <t>C1126</t>
        </is>
      </c>
      <c r="D275" s="10" t="inlineStr">
        <is>
          <t>occasional</t>
        </is>
      </c>
      <c r="E275" s="10" t="inlineStr">
        <is>
          <t xml:space="preserve">Shopee </t>
        </is>
      </c>
      <c r="F275" s="10" t="inlineStr">
        <is>
          <t>Sumatera</t>
        </is>
      </c>
      <c r="G275" s="10" t="inlineStr">
        <is>
          <t>Rumah Tangga</t>
        </is>
      </c>
      <c r="H275" s="10" t="inlineStr">
        <is>
          <t>Set Wadah Kedap</t>
        </is>
      </c>
      <c r="I275" s="10" t="n">
        <v>1</v>
      </c>
      <c r="J275" s="10" t="n">
        <v>135000</v>
      </c>
      <c r="K275" s="10" t="inlineStr">
        <is>
          <t>Rp 135.000</t>
        </is>
      </c>
    </row>
    <row r="276">
      <c r="A276" s="10" t="inlineStr">
        <is>
          <t>INV-70160</t>
        </is>
      </c>
      <c r="B276" s="10" t="inlineStr">
        <is>
          <t>2025-07-10</t>
        </is>
      </c>
      <c r="C276" s="10" t="inlineStr">
        <is>
          <t>C1048</t>
        </is>
      </c>
      <c r="D276" s="10" t="inlineStr">
        <is>
          <t>occasional</t>
        </is>
      </c>
      <c r="E276" s="10" t="inlineStr">
        <is>
          <t xml:space="preserve">Shopee </t>
        </is>
      </c>
      <c r="F276" s="10" t="inlineStr">
        <is>
          <t>Lainnya</t>
        </is>
      </c>
      <c r="G276" s="10" t="inlineStr">
        <is>
          <t>Rumah Tangga</t>
        </is>
      </c>
      <c r="H276" s="10" t="inlineStr">
        <is>
          <t>Set Wadah Kedap</t>
        </is>
      </c>
      <c r="I276" s="10" t="n">
        <v>3</v>
      </c>
      <c r="J276" s="10" t="n">
        <v>135000</v>
      </c>
      <c r="K276" s="10" t="n">
        <v>405000</v>
      </c>
    </row>
    <row r="277">
      <c r="A277" s="10" t="inlineStr">
        <is>
          <t>INV-70084</t>
        </is>
      </c>
      <c r="B277" s="10" t="inlineStr">
        <is>
          <t>24/02/2025</t>
        </is>
      </c>
      <c r="C277" s="10" t="inlineStr">
        <is>
          <t>C1025</t>
        </is>
      </c>
      <c r="D277" s="10" t="inlineStr">
        <is>
          <t>loyal</t>
        </is>
      </c>
      <c r="E277" s="10" t="inlineStr">
        <is>
          <t>Offline Store</t>
        </is>
      </c>
      <c r="F277" s="10" t="inlineStr">
        <is>
          <t>Jawa Barat</t>
        </is>
      </c>
      <c r="G277" s="10" t="inlineStr">
        <is>
          <t>elektronik</t>
        </is>
      </c>
      <c r="H277" s="10" t="inlineStr">
        <is>
          <t>Power Bank 20K</t>
        </is>
      </c>
      <c r="I277" s="10" t="n">
        <v>2</v>
      </c>
      <c r="J277" s="10" t="n">
        <v>185000</v>
      </c>
      <c r="K277" s="10" t="inlineStr">
        <is>
          <t>Rp 370.000</t>
        </is>
      </c>
    </row>
    <row r="278">
      <c r="A278" s="10" t="inlineStr">
        <is>
          <t>INV-70366</t>
        </is>
      </c>
      <c r="B278" s="10" t="inlineStr">
        <is>
          <t>25/10/2025</t>
        </is>
      </c>
      <c r="C278" s="10" t="inlineStr">
        <is>
          <t>C1102</t>
        </is>
      </c>
      <c r="D278" s="10" t="inlineStr">
        <is>
          <t>occasional</t>
        </is>
      </c>
      <c r="E278" s="10" t="inlineStr">
        <is>
          <t xml:space="preserve">Shopee </t>
        </is>
      </c>
      <c r="F278" s="10" t="inlineStr">
        <is>
          <t>Jawa Tengah</t>
        </is>
      </c>
      <c r="G278" s="10" t="inlineStr">
        <is>
          <t>Elektronik</t>
        </is>
      </c>
      <c r="H278" s="10" t="inlineStr">
        <is>
          <t>Power Bank 20K</t>
        </is>
      </c>
      <c r="I278" s="10" t="n">
        <v>4</v>
      </c>
      <c r="J278" s="10" t="n">
        <v>185000</v>
      </c>
      <c r="K278" s="10" t="n">
        <v>740000</v>
      </c>
    </row>
    <row r="279">
      <c r="A279" s="10" t="inlineStr">
        <is>
          <t>INV-71488</t>
        </is>
      </c>
      <c r="B279" s="10" t="inlineStr">
        <is>
          <t>07/05/2026</t>
        </is>
      </c>
      <c r="C279" s="10" t="inlineStr">
        <is>
          <t>C1409</t>
        </is>
      </c>
      <c r="D279" s="10" t="inlineStr">
        <is>
          <t>loyal</t>
        </is>
      </c>
      <c r="E279" s="10" t="inlineStr">
        <is>
          <t>Shopee</t>
        </is>
      </c>
      <c r="F279" s="10" t="inlineStr">
        <is>
          <t>Jabodetabek</t>
        </is>
      </c>
      <c r="G279" s="10" t="inlineStr">
        <is>
          <t>Rumah Tangga</t>
        </is>
      </c>
      <c r="H279" s="10" t="inlineStr">
        <is>
          <t>Set Wadah Kedap</t>
        </is>
      </c>
      <c r="I279" s="10" t="n">
        <v>2</v>
      </c>
      <c r="J279" s="10" t="n">
        <v>135000</v>
      </c>
      <c r="K279" s="10" t="n">
        <v>270000</v>
      </c>
    </row>
    <row r="280">
      <c r="A280" s="10" t="inlineStr">
        <is>
          <t>INV-71023</t>
        </is>
      </c>
      <c r="B280" s="10" t="inlineStr">
        <is>
          <t>09 Oct 2025</t>
        </is>
      </c>
      <c r="C280" s="10" t="inlineStr">
        <is>
          <t>C1291</t>
        </is>
      </c>
      <c r="D280" s="10" t="inlineStr">
        <is>
          <t>regular</t>
        </is>
      </c>
      <c r="E280" s="10" t="inlineStr">
        <is>
          <t>TikTok Shop</t>
        </is>
      </c>
      <c r="F280" s="10" t="inlineStr">
        <is>
          <t>Jawa Barat</t>
        </is>
      </c>
      <c r="G280" s="10" t="inlineStr">
        <is>
          <t>Rumah Tangga</t>
        </is>
      </c>
      <c r="H280" s="10" t="inlineStr">
        <is>
          <t>Set Wadah Kedap</t>
        </is>
      </c>
      <c r="I280" s="10" t="n">
        <v>2</v>
      </c>
      <c r="J280" s="10" t="n">
        <v>135000</v>
      </c>
      <c r="K280" s="10" t="n">
        <v>270000</v>
      </c>
    </row>
    <row r="281">
      <c r="A281" s="10" t="inlineStr">
        <is>
          <t>INV-71225</t>
        </is>
      </c>
      <c r="B281" s="10" t="inlineStr">
        <is>
          <t>2026-03-17</t>
        </is>
      </c>
      <c r="C281" s="10" t="inlineStr">
        <is>
          <t>C1348</t>
        </is>
      </c>
      <c r="D281" s="10" t="inlineStr">
        <is>
          <t>loyal</t>
        </is>
      </c>
      <c r="E281" s="10" t="inlineStr">
        <is>
          <t>Shopee</t>
        </is>
      </c>
      <c r="F281" s="10" t="inlineStr">
        <is>
          <t>Jawa Timur</t>
        </is>
      </c>
      <c r="G281" s="10" t="inlineStr">
        <is>
          <t>Kecantikan</t>
        </is>
      </c>
      <c r="H281" s="10" t="inlineStr">
        <is>
          <t>Masker Wajah (5s)</t>
        </is>
      </c>
      <c r="I281" s="10" t="n">
        <v>4</v>
      </c>
      <c r="J281" s="10" t="n">
        <v>55000</v>
      </c>
      <c r="K281" s="10" t="n">
        <v>220000</v>
      </c>
    </row>
    <row r="282">
      <c r="A282" s="10" t="inlineStr">
        <is>
          <t>INV-71277</t>
        </is>
      </c>
      <c r="B282" s="10" t="inlineStr">
        <is>
          <t>2025-12-04</t>
        </is>
      </c>
      <c r="C282" s="10" t="inlineStr">
        <is>
          <t>C1358</t>
        </is>
      </c>
      <c r="D282" s="10" t="inlineStr">
        <is>
          <t>champion</t>
        </is>
      </c>
      <c r="E282" s="10" t="inlineStr">
        <is>
          <t>shopee</t>
        </is>
      </c>
      <c r="F282" s="10" t="inlineStr">
        <is>
          <t>Lainnya</t>
        </is>
      </c>
      <c r="G282" s="10" t="inlineStr">
        <is>
          <t>Rumah Tangga</t>
        </is>
      </c>
      <c r="H282" s="10" t="inlineStr">
        <is>
          <t>Organizer Laci</t>
        </is>
      </c>
      <c r="I282" s="10" t="n">
        <v>2</v>
      </c>
      <c r="J282" s="10" t="n">
        <v>78000</v>
      </c>
      <c r="K282" s="10" t="n">
        <v>156000</v>
      </c>
    </row>
    <row r="283">
      <c r="A283" s="10" t="inlineStr">
        <is>
          <t>INV-71136</t>
        </is>
      </c>
      <c r="B283" s="10" t="inlineStr">
        <is>
          <t>26/06/2026</t>
        </is>
      </c>
      <c r="C283" s="10" t="inlineStr">
        <is>
          <t>C1322</t>
        </is>
      </c>
      <c r="D283" s="10" t="inlineStr">
        <is>
          <t>loyal</t>
        </is>
      </c>
      <c r="E283" s="10" t="inlineStr">
        <is>
          <t>Shopee</t>
        </is>
      </c>
      <c r="F283" s="10" t="inlineStr">
        <is>
          <t>Jabodetabek</t>
        </is>
      </c>
      <c r="G283" s="10" t="inlineStr">
        <is>
          <t>fashion</t>
        </is>
      </c>
      <c r="H283" s="10" t="inlineStr">
        <is>
          <t>Celana Chino</t>
        </is>
      </c>
      <c r="I283" s="10" t="n">
        <v>2</v>
      </c>
      <c r="J283" s="10" t="n">
        <v>195000</v>
      </c>
      <c r="K283" s="10" t="n">
        <v>390000</v>
      </c>
    </row>
    <row r="284">
      <c r="A284" s="10" t="inlineStr">
        <is>
          <t>INV-70199</t>
        </is>
      </c>
      <c r="B284" s="10" t="inlineStr">
        <is>
          <t>15/03/2026</t>
        </is>
      </c>
      <c r="C284" s="10" t="inlineStr">
        <is>
          <t>C1057</t>
        </is>
      </c>
      <c r="D284" s="10" t="inlineStr">
        <is>
          <t>regular</t>
        </is>
      </c>
      <c r="E284" s="10" t="inlineStr">
        <is>
          <t xml:space="preserve">Shopee </t>
        </is>
      </c>
      <c r="F284" s="10" t="inlineStr">
        <is>
          <t>Jabodetabek</t>
        </is>
      </c>
      <c r="G284" s="10" t="inlineStr">
        <is>
          <t>Fashion</t>
        </is>
      </c>
      <c r="H284" s="10" t="inlineStr">
        <is>
          <t>Dress Casual</t>
        </is>
      </c>
      <c r="I284" s="10" t="n">
        <v>2</v>
      </c>
      <c r="J284" s="10" t="n">
        <v>225000</v>
      </c>
      <c r="K284" s="10" t="n">
        <v>450000</v>
      </c>
    </row>
    <row r="285">
      <c r="A285" s="10" t="inlineStr">
        <is>
          <t>INV-71024</t>
        </is>
      </c>
      <c r="B285" s="10" t="inlineStr">
        <is>
          <t>2025-10-23</t>
        </is>
      </c>
      <c r="C285" s="10" t="inlineStr">
        <is>
          <t>C1291</t>
        </is>
      </c>
      <c r="D285" s="10" t="inlineStr">
        <is>
          <t>regular</t>
        </is>
      </c>
      <c r="E285" s="10" t="inlineStr">
        <is>
          <t>Shopee</t>
        </is>
      </c>
      <c r="F285" s="10" t="inlineStr">
        <is>
          <t>Jawa Barat</t>
        </is>
      </c>
      <c r="G285" s="10" t="inlineStr">
        <is>
          <t>Elektronik</t>
        </is>
      </c>
      <c r="H285" s="10" t="inlineStr">
        <is>
          <t>Power Bank 20K</t>
        </is>
      </c>
      <c r="I285" s="10" t="n">
        <v>1</v>
      </c>
      <c r="J285" s="10" t="n">
        <v>185000</v>
      </c>
      <c r="K285" s="10" t="n">
        <v>185000</v>
      </c>
    </row>
    <row r="286">
      <c r="A286" s="10" t="inlineStr">
        <is>
          <t>INV-71101</t>
        </is>
      </c>
      <c r="B286" s="10" t="inlineStr">
        <is>
          <t>2025-01-01</t>
        </is>
      </c>
      <c r="C286" s="10" t="inlineStr">
        <is>
          <t>C1309</t>
        </is>
      </c>
      <c r="D286" s="10" t="inlineStr">
        <is>
          <t>regular</t>
        </is>
      </c>
      <c r="E286" s="10" t="inlineStr">
        <is>
          <t>TikTok Shop</t>
        </is>
      </c>
      <c r="F286" s="10" t="inlineStr">
        <is>
          <t>Jabodetabek</t>
        </is>
      </c>
      <c r="G286" s="10" t="inlineStr">
        <is>
          <t>Makanan</t>
        </is>
      </c>
      <c r="H286" s="10" t="inlineStr">
        <is>
          <t>Granola 500g</t>
        </is>
      </c>
      <c r="I286" s="10" t="n">
        <v>1</v>
      </c>
      <c r="J286" s="10" t="n">
        <v>92000</v>
      </c>
      <c r="K286" s="10" t="n">
        <v>92000</v>
      </c>
    </row>
    <row r="287">
      <c r="A287" s="10" t="inlineStr">
        <is>
          <t>INV-70594</t>
        </is>
      </c>
      <c r="B287" s="10" t="inlineStr">
        <is>
          <t>2026-05-23</t>
        </is>
      </c>
      <c r="C287" s="10" t="inlineStr">
        <is>
          <t>C1161</t>
        </is>
      </c>
      <c r="D287" s="10" t="inlineStr">
        <is>
          <t>champion</t>
        </is>
      </c>
      <c r="E287" s="10" t="inlineStr">
        <is>
          <t>Shopee</t>
        </is>
      </c>
      <c r="F287" s="10" t="inlineStr">
        <is>
          <t>Jabodetabek</t>
        </is>
      </c>
      <c r="G287" s="10" t="inlineStr">
        <is>
          <t>Makanan</t>
        </is>
      </c>
      <c r="H287" s="10" t="inlineStr">
        <is>
          <t>Granola 500g</t>
        </is>
      </c>
      <c r="I287" s="10" t="n">
        <v>2</v>
      </c>
      <c r="J287" s="10" t="n">
        <v>92000</v>
      </c>
      <c r="K287" s="10" t="n">
        <v>184000</v>
      </c>
    </row>
    <row r="288">
      <c r="A288" s="10" t="inlineStr">
        <is>
          <t>INV-71537</t>
        </is>
      </c>
      <c r="B288" s="10" t="inlineStr">
        <is>
          <t>2026-05-19</t>
        </is>
      </c>
      <c r="C288" s="10" t="inlineStr">
        <is>
          <t>C1424</t>
        </is>
      </c>
      <c r="D288" s="10" t="inlineStr">
        <is>
          <t>loyal</t>
        </is>
      </c>
      <c r="E288" s="10" t="inlineStr">
        <is>
          <t>Shopee</t>
        </is>
      </c>
      <c r="F288" s="10" t="inlineStr">
        <is>
          <t>Jawa Barat</t>
        </is>
      </c>
      <c r="G288" s="10" t="inlineStr">
        <is>
          <t>Rumah Tangga</t>
        </is>
      </c>
      <c r="H288" s="10" t="inlineStr">
        <is>
          <t>Set Wadah Kedap</t>
        </is>
      </c>
      <c r="I288" s="10" t="n">
        <v>3</v>
      </c>
      <c r="J288" s="10" t="n">
        <v>135000</v>
      </c>
      <c r="K288" s="10" t="n">
        <v>405000</v>
      </c>
    </row>
    <row r="289">
      <c r="A289" s="10" t="inlineStr">
        <is>
          <t>INV-70559</t>
        </is>
      </c>
      <c r="B289" s="10" t="inlineStr">
        <is>
          <t>2026-03-06</t>
        </is>
      </c>
      <c r="C289" s="10" t="inlineStr">
        <is>
          <t>C1153</t>
        </is>
      </c>
      <c r="D289" s="10" t="inlineStr">
        <is>
          <t>loyal</t>
        </is>
      </c>
      <c r="E289" s="10" t="inlineStr">
        <is>
          <t>shopee</t>
        </is>
      </c>
      <c r="F289" s="10" t="inlineStr">
        <is>
          <t>Lainnya</t>
        </is>
      </c>
      <c r="G289" s="10" t="inlineStr">
        <is>
          <t>Elektronik</t>
        </is>
      </c>
      <c r="H289" s="10" t="inlineStr">
        <is>
          <t>Power Bank 20K</t>
        </is>
      </c>
      <c r="I289" s="10" t="n">
        <v>1</v>
      </c>
      <c r="J289" s="10" t="n">
        <v>185000</v>
      </c>
      <c r="K289" s="10" t="n">
        <v>185000</v>
      </c>
    </row>
    <row r="290">
      <c r="A290" s="10" t="inlineStr">
        <is>
          <t>INV-71048</t>
        </is>
      </c>
      <c r="B290" s="10" t="inlineStr">
        <is>
          <t>2025-12-02</t>
        </is>
      </c>
      <c r="C290" s="10" t="inlineStr">
        <is>
          <t>C1296</t>
        </is>
      </c>
      <c r="D290" s="10" t="inlineStr">
        <is>
          <t>loyal</t>
        </is>
      </c>
      <c r="E290" s="10" t="inlineStr">
        <is>
          <t>TikTok Shop</t>
        </is>
      </c>
      <c r="F290" s="10" t="inlineStr">
        <is>
          <t>Jabodetabek</t>
        </is>
      </c>
      <c r="G290" s="10" t="inlineStr">
        <is>
          <t>Rumah Tangga</t>
        </is>
      </c>
      <c r="H290" s="10" t="inlineStr">
        <is>
          <t>Organizer Laci</t>
        </is>
      </c>
      <c r="I290" s="10" t="n">
        <v>2</v>
      </c>
      <c r="J290" s="10" t="n">
        <v>78000</v>
      </c>
      <c r="K290" s="10" t="n">
        <v>156000</v>
      </c>
    </row>
    <row r="291">
      <c r="A291" s="10" t="inlineStr">
        <is>
          <t>INV-71407</t>
        </is>
      </c>
      <c r="B291" s="10" t="inlineStr">
        <is>
          <t>2026-05-12</t>
        </is>
      </c>
      <c r="C291" s="10" t="inlineStr">
        <is>
          <t>C1389</t>
        </is>
      </c>
      <c r="D291" s="10" t="inlineStr">
        <is>
          <t>regular</t>
        </is>
      </c>
      <c r="E291" s="10" t="inlineStr">
        <is>
          <t xml:space="preserve"> tokopedia</t>
        </is>
      </c>
      <c r="F291" s="10" t="inlineStr">
        <is>
          <t>Jawa Tengah</t>
        </is>
      </c>
      <c r="G291" s="10" t="inlineStr">
        <is>
          <t>Makanan</t>
        </is>
      </c>
      <c r="H291" s="10" t="inlineStr">
        <is>
          <t>Granola 500g</t>
        </is>
      </c>
      <c r="I291" s="10" t="n">
        <v>1</v>
      </c>
      <c r="J291" s="10" t="n">
        <v>92000</v>
      </c>
      <c r="K291" s="10" t="n">
        <v>92000</v>
      </c>
    </row>
    <row r="292">
      <c r="A292" s="10" t="inlineStr">
        <is>
          <t>INV-70236</t>
        </is>
      </c>
      <c r="B292" s="10" t="inlineStr">
        <is>
          <t>24 Jul 2025</t>
        </is>
      </c>
      <c r="C292" s="10" t="inlineStr">
        <is>
          <t>C1066</t>
        </is>
      </c>
      <c r="D292" s="10" t="inlineStr">
        <is>
          <t>loyal</t>
        </is>
      </c>
      <c r="E292" s="10" t="inlineStr">
        <is>
          <t>TikTok Shop</t>
        </is>
      </c>
      <c r="F292" s="10" t="inlineStr">
        <is>
          <t>Sumatera</t>
        </is>
      </c>
      <c r="G292" s="10" t="inlineStr">
        <is>
          <t>elektronik</t>
        </is>
      </c>
      <c r="H292" s="10" t="inlineStr">
        <is>
          <t>Keyboard Mekanik</t>
        </is>
      </c>
      <c r="I292" s="10" t="n">
        <v>2</v>
      </c>
      <c r="J292" s="10" t="n">
        <v>380000</v>
      </c>
      <c r="K292" s="10" t="n">
        <v>760000</v>
      </c>
    </row>
    <row r="293">
      <c r="A293" s="10" t="inlineStr">
        <is>
          <t>INV-70450</t>
        </is>
      </c>
      <c r="B293" s="10" t="inlineStr">
        <is>
          <t>08 May 2025</t>
        </is>
      </c>
      <c r="C293" s="10" t="inlineStr">
        <is>
          <t>C1128</t>
        </is>
      </c>
      <c r="D293" s="10" t="inlineStr">
        <is>
          <t>occasional</t>
        </is>
      </c>
      <c r="E293" s="10" t="inlineStr">
        <is>
          <t>Shopee</t>
        </is>
      </c>
      <c r="F293" s="10" t="inlineStr">
        <is>
          <t>Lainnya</t>
        </is>
      </c>
      <c r="G293" s="10" t="inlineStr">
        <is>
          <t>elektronik</t>
        </is>
      </c>
      <c r="H293" s="10" t="inlineStr">
        <is>
          <t>Webcam HD</t>
        </is>
      </c>
      <c r="I293" s="10" t="n">
        <v>3</v>
      </c>
      <c r="J293" s="10" t="n">
        <v>210000</v>
      </c>
      <c r="K293" s="10" t="inlineStr">
        <is>
          <t>Rp 630.000</t>
        </is>
      </c>
    </row>
    <row r="294">
      <c r="A294" s="10" t="inlineStr">
        <is>
          <t>INV-70863</t>
        </is>
      </c>
      <c r="B294" s="10" t="inlineStr">
        <is>
          <t>2025-09-16</t>
        </is>
      </c>
      <c r="C294" s="10" t="inlineStr">
        <is>
          <t>C1243</t>
        </is>
      </c>
      <c r="D294" s="10" t="inlineStr">
        <is>
          <t>occasional</t>
        </is>
      </c>
      <c r="E294" s="10" t="inlineStr">
        <is>
          <t>TikTok Shop</t>
        </is>
      </c>
      <c r="F294" s="10" t="inlineStr">
        <is>
          <t>Jabodetabek</t>
        </is>
      </c>
      <c r="G294" s="10" t="inlineStr">
        <is>
          <t>Kecantikan</t>
        </is>
      </c>
      <c r="H294" s="10" t="inlineStr">
        <is>
          <t>Masker Wajah (5s)</t>
        </is>
      </c>
      <c r="I294" s="10" t="n">
        <v>2</v>
      </c>
      <c r="J294" s="10" t="n">
        <v>55000</v>
      </c>
      <c r="K294" s="10" t="n">
        <v>110000</v>
      </c>
    </row>
    <row r="295">
      <c r="A295" s="10" t="inlineStr">
        <is>
          <t>INV-70901</t>
        </is>
      </c>
      <c r="B295" s="10" t="inlineStr">
        <is>
          <t>2025-05-17</t>
        </is>
      </c>
      <c r="C295" s="10" t="inlineStr">
        <is>
          <t>C1253</t>
        </is>
      </c>
      <c r="D295" s="10" t="inlineStr">
        <is>
          <t>regular</t>
        </is>
      </c>
      <c r="E295" s="10" t="inlineStr">
        <is>
          <t>Shopee</t>
        </is>
      </c>
      <c r="F295" s="10" t="inlineStr">
        <is>
          <t>Sumatera</t>
        </is>
      </c>
      <c r="G295" s="10" t="inlineStr">
        <is>
          <t>Rumah Tangga</t>
        </is>
      </c>
      <c r="H295" s="10" t="inlineStr">
        <is>
          <t>Set Wadah Kedap</t>
        </is>
      </c>
      <c r="I295" s="10" t="n">
        <v>1</v>
      </c>
      <c r="J295" s="10" t="n">
        <v>135000</v>
      </c>
      <c r="K295" s="10" t="n">
        <v>135000</v>
      </c>
    </row>
    <row r="296">
      <c r="A296" s="10" t="inlineStr">
        <is>
          <t>INV-71513</t>
        </is>
      </c>
      <c r="B296" s="10" t="inlineStr">
        <is>
          <t>09/03/2025</t>
        </is>
      </c>
      <c r="C296" s="10" t="inlineStr">
        <is>
          <t>C1415</t>
        </is>
      </c>
      <c r="D296" s="10" t="inlineStr">
        <is>
          <t>regular</t>
        </is>
      </c>
      <c r="E296" s="10" t="inlineStr">
        <is>
          <t xml:space="preserve"> tokopedia</t>
        </is>
      </c>
      <c r="F296" s="10" t="inlineStr">
        <is>
          <t>Jabodetabek</t>
        </is>
      </c>
      <c r="G296" s="10" t="inlineStr">
        <is>
          <t>Kecantikan</t>
        </is>
      </c>
      <c r="H296" s="10" t="inlineStr">
        <is>
          <t>Masker Wajah (5s)</t>
        </is>
      </c>
      <c r="I296" s="10" t="n">
        <v>2</v>
      </c>
      <c r="J296" s="10" t="n">
        <v>55000</v>
      </c>
      <c r="K296" s="10" t="inlineStr">
        <is>
          <t>Rp 110.000</t>
        </is>
      </c>
    </row>
    <row r="297">
      <c r="A297" s="10" t="inlineStr">
        <is>
          <t>INV-70954</t>
        </is>
      </c>
      <c r="B297" s="10" t="inlineStr">
        <is>
          <t>10/01/2026</t>
        </is>
      </c>
      <c r="C297" s="10" t="inlineStr">
        <is>
          <t>C1271</t>
        </is>
      </c>
      <c r="D297" s="10" t="inlineStr">
        <is>
          <t>regular</t>
        </is>
      </c>
      <c r="E297" s="10" t="inlineStr">
        <is>
          <t>TikTok Shop</t>
        </is>
      </c>
      <c r="F297" s="10" t="inlineStr">
        <is>
          <t>Sumatera</t>
        </is>
      </c>
      <c r="G297" s="10" t="inlineStr">
        <is>
          <t>Rumah Tangga</t>
        </is>
      </c>
      <c r="H297" s="10" t="inlineStr">
        <is>
          <t>Set Wadah Kedap</t>
        </is>
      </c>
      <c r="I297" s="10" t="n">
        <v>1</v>
      </c>
      <c r="J297" s="10" t="n">
        <v>135000</v>
      </c>
      <c r="K297" s="10" t="n">
        <v>135000</v>
      </c>
    </row>
    <row r="298">
      <c r="A298" s="10" t="inlineStr">
        <is>
          <t>INV-70885</t>
        </is>
      </c>
      <c r="B298" s="10" t="inlineStr">
        <is>
          <t>25 Apr 2026</t>
        </is>
      </c>
      <c r="C298" s="10" t="inlineStr">
        <is>
          <t>C1248</t>
        </is>
      </c>
      <c r="D298" s="10" t="inlineStr">
        <is>
          <t>regular</t>
        </is>
      </c>
      <c r="E298" s="10" t="inlineStr">
        <is>
          <t>Tiktok Shop</t>
        </is>
      </c>
      <c r="F298" s="10" t="inlineStr">
        <is>
          <t>Jawa Barat</t>
        </is>
      </c>
      <c r="G298" s="10" t="inlineStr">
        <is>
          <t>Makanan</t>
        </is>
      </c>
      <c r="H298" s="10" t="inlineStr">
        <is>
          <t>Madu Hutan 250ml</t>
        </is>
      </c>
      <c r="I298" s="10" t="n">
        <v>4</v>
      </c>
      <c r="J298" s="10" t="n">
        <v>110000</v>
      </c>
      <c r="K298" s="10" t="n">
        <v>440000</v>
      </c>
    </row>
    <row r="299">
      <c r="A299" s="10" t="inlineStr">
        <is>
          <t>INV-70244</t>
        </is>
      </c>
      <c r="B299" s="10" t="inlineStr">
        <is>
          <t>2025-09-05</t>
        </is>
      </c>
      <c r="C299" s="10" t="inlineStr">
        <is>
          <t>C1069</t>
        </is>
      </c>
      <c r="D299" s="10" t="inlineStr">
        <is>
          <t>loyal</t>
        </is>
      </c>
      <c r="E299" s="10" t="inlineStr">
        <is>
          <t>Tokopedia</t>
        </is>
      </c>
      <c r="F299" s="10" t="inlineStr">
        <is>
          <t>Lainnya</t>
        </is>
      </c>
      <c r="G299" s="10" t="inlineStr">
        <is>
          <t>Rumah Tangga</t>
        </is>
      </c>
      <c r="H299" s="10" t="inlineStr">
        <is>
          <t>Organizer Laci</t>
        </is>
      </c>
      <c r="I299" s="10" t="n">
        <v>4</v>
      </c>
      <c r="J299" s="10" t="n">
        <v>78000</v>
      </c>
      <c r="K299" s="10" t="n">
        <v>312000</v>
      </c>
    </row>
    <row r="300">
      <c r="A300" s="10" t="inlineStr">
        <is>
          <t>INV-70453</t>
        </is>
      </c>
      <c r="B300" s="10" t="inlineStr">
        <is>
          <t>2025-11-07</t>
        </is>
      </c>
      <c r="C300" s="10" t="inlineStr">
        <is>
          <t>C1129</t>
        </is>
      </c>
      <c r="D300" s="10" t="inlineStr">
        <is>
          <t>regular</t>
        </is>
      </c>
      <c r="E300" s="10" t="inlineStr">
        <is>
          <t>Tokopedia</t>
        </is>
      </c>
      <c r="F300" s="10" t="inlineStr">
        <is>
          <t>Jawa Tengah</t>
        </is>
      </c>
      <c r="G300" s="10" t="inlineStr">
        <is>
          <t>Makanan</t>
        </is>
      </c>
      <c r="H300" s="10" t="inlineStr">
        <is>
          <t>Granola 500g</t>
        </is>
      </c>
      <c r="I300" s="10" t="n">
        <v>1</v>
      </c>
      <c r="J300" s="10" t="n">
        <v>92000</v>
      </c>
      <c r="K300" s="10" t="n">
        <v>92000</v>
      </c>
    </row>
    <row r="301">
      <c r="A301" s="10" t="inlineStr">
        <is>
          <t>INV-70205</t>
        </is>
      </c>
      <c r="B301" s="10" t="inlineStr">
        <is>
          <t>2025-06-15</t>
        </is>
      </c>
      <c r="C301" s="10" t="inlineStr">
        <is>
          <t>C1058</t>
        </is>
      </c>
      <c r="D301" s="10" t="inlineStr">
        <is>
          <t>regular</t>
        </is>
      </c>
      <c r="E301" s="10" t="inlineStr">
        <is>
          <t>Shopee</t>
        </is>
      </c>
      <c r="F301" s="10" t="inlineStr">
        <is>
          <t>Jawa Tengah</t>
        </is>
      </c>
      <c r="G301" s="10" t="inlineStr">
        <is>
          <t>Kecantikan</t>
        </is>
      </c>
      <c r="H301" s="10" t="inlineStr">
        <is>
          <t>Serum Vit C</t>
        </is>
      </c>
      <c r="I301" s="10" t="n">
        <v>2</v>
      </c>
      <c r="J301" s="10" t="n">
        <v>145000</v>
      </c>
      <c r="K301" s="10" t="n">
        <v>290000</v>
      </c>
    </row>
    <row r="302">
      <c r="A302" s="10" t="inlineStr">
        <is>
          <t>INV-70759</t>
        </is>
      </c>
      <c r="B302" s="10" t="inlineStr">
        <is>
          <t>27/03/2025</t>
        </is>
      </c>
      <c r="C302" s="10" t="inlineStr">
        <is>
          <t>C1212</t>
        </is>
      </c>
      <c r="D302" s="10" t="inlineStr">
        <is>
          <t>occasional</t>
        </is>
      </c>
      <c r="E302" s="10" t="inlineStr">
        <is>
          <t>Shopee</t>
        </is>
      </c>
      <c r="F302" s="10" t="inlineStr">
        <is>
          <t>Sumatera</t>
        </is>
      </c>
      <c r="G302" s="10" t="inlineStr">
        <is>
          <t>Kecantikan</t>
        </is>
      </c>
      <c r="H302" s="10" t="inlineStr">
        <is>
          <t>Masker Wajah (5s)</t>
        </is>
      </c>
      <c r="I302" s="10" t="n">
        <v>1</v>
      </c>
      <c r="J302" s="10" t="n">
        <v>55000</v>
      </c>
      <c r="K302" s="10" t="n">
        <v>55000</v>
      </c>
    </row>
    <row r="303">
      <c r="A303" s="10" t="inlineStr">
        <is>
          <t>INV-70394</t>
        </is>
      </c>
      <c r="B303" s="10" t="inlineStr">
        <is>
          <t>2025-05-14</t>
        </is>
      </c>
      <c r="C303" s="10" t="inlineStr">
        <is>
          <t>C1111</t>
        </is>
      </c>
      <c r="D303" s="10" t="inlineStr">
        <is>
          <t>champion</t>
        </is>
      </c>
      <c r="E303" s="10" t="inlineStr">
        <is>
          <t>Offline Store</t>
        </is>
      </c>
      <c r="F303" s="10" t="inlineStr">
        <is>
          <t>Jabodetabek</t>
        </is>
      </c>
      <c r="G303" s="10" t="inlineStr">
        <is>
          <t>rumah tangga</t>
        </is>
      </c>
      <c r="H303" s="10" t="inlineStr">
        <is>
          <t>Set Wadah Kedap</t>
        </is>
      </c>
      <c r="I303" s="10" t="n">
        <v>4</v>
      </c>
      <c r="J303" s="10" t="n">
        <v>135000</v>
      </c>
      <c r="K303" s="10" t="n">
        <v>540000</v>
      </c>
    </row>
    <row r="304">
      <c r="A304" s="10" t="inlineStr">
        <is>
          <t>INV-70306</t>
        </is>
      </c>
      <c r="B304" s="10" t="inlineStr">
        <is>
          <t>2026-03-03</t>
        </is>
      </c>
      <c r="C304" s="10" t="inlineStr">
        <is>
          <t>C1086</t>
        </is>
      </c>
      <c r="D304" s="10" t="inlineStr">
        <is>
          <t>onetime</t>
        </is>
      </c>
      <c r="E304" s="10" t="inlineStr">
        <is>
          <t>Offline Store</t>
        </is>
      </c>
      <c r="F304" s="10" t="inlineStr">
        <is>
          <t>Jabodetabek</t>
        </is>
      </c>
      <c r="G304" s="10" t="inlineStr">
        <is>
          <t>Kecantikan</t>
        </is>
      </c>
      <c r="H304" s="10" t="inlineStr">
        <is>
          <t>Serum Vit C</t>
        </is>
      </c>
      <c r="I304" s="10" t="n">
        <v>2</v>
      </c>
      <c r="J304" s="10" t="n">
        <v>145000</v>
      </c>
      <c r="K304" s="10" t="n">
        <v>290000</v>
      </c>
    </row>
    <row r="305">
      <c r="A305" s="10" t="inlineStr">
        <is>
          <t>INV-71451</t>
        </is>
      </c>
      <c r="B305" s="10" t="inlineStr">
        <is>
          <t>2026-01-08</t>
        </is>
      </c>
      <c r="C305" s="10" t="inlineStr">
        <is>
          <t>C1401</t>
        </is>
      </c>
      <c r="D305" s="10" t="inlineStr">
        <is>
          <t>occasional</t>
        </is>
      </c>
      <c r="E305" s="10" t="inlineStr">
        <is>
          <t>Tokopedia</t>
        </is>
      </c>
      <c r="F305" s="10" t="inlineStr">
        <is>
          <t>Jabodetabek</t>
        </is>
      </c>
      <c r="G305" s="10" t="inlineStr">
        <is>
          <t>Elektronik</t>
        </is>
      </c>
      <c r="H305" s="10" t="inlineStr">
        <is>
          <t>Smartwatch</t>
        </is>
      </c>
      <c r="I305" s="10" t="n">
        <v>1</v>
      </c>
      <c r="J305" s="10" t="n">
        <v>450000</v>
      </c>
      <c r="K305" s="10" t="n">
        <v>450000</v>
      </c>
    </row>
    <row r="306">
      <c r="A306" s="10" t="inlineStr">
        <is>
          <t>INV-70783</t>
        </is>
      </c>
      <c r="B306" s="10" t="inlineStr">
        <is>
          <t>2025-03-08</t>
        </is>
      </c>
      <c r="C306" s="10" t="inlineStr">
        <is>
          <t>C1220</t>
        </is>
      </c>
      <c r="D306" s="10" t="inlineStr">
        <is>
          <t>loyal</t>
        </is>
      </c>
      <c r="E306" s="10" t="inlineStr">
        <is>
          <t xml:space="preserve">Tokopedia </t>
        </is>
      </c>
      <c r="F306" s="10" t="inlineStr">
        <is>
          <t>Jabodetabek</t>
        </is>
      </c>
      <c r="G306" s="10" t="inlineStr">
        <is>
          <t>Elektronik</t>
        </is>
      </c>
      <c r="H306" s="10" t="inlineStr">
        <is>
          <t>Earbuds TWS</t>
        </is>
      </c>
      <c r="I306" s="10" t="n">
        <v>3</v>
      </c>
      <c r="J306" s="10" t="n">
        <v>265000</v>
      </c>
      <c r="K306" s="10" t="inlineStr">
        <is>
          <t>Rp 795.000</t>
        </is>
      </c>
    </row>
    <row r="307">
      <c r="A307" s="10" t="inlineStr">
        <is>
          <t>INV-71471</t>
        </is>
      </c>
      <c r="B307" s="10" t="inlineStr">
        <is>
          <t>2025-09-14</t>
        </is>
      </c>
      <c r="C307" s="10" t="inlineStr">
        <is>
          <t>C1406</t>
        </is>
      </c>
      <c r="D307" s="10" t="inlineStr">
        <is>
          <t>regular</t>
        </is>
      </c>
      <c r="E307" s="10" t="inlineStr">
        <is>
          <t>TikTok Shop</t>
        </is>
      </c>
      <c r="F307" s="10" t="inlineStr">
        <is>
          <t>Jawa Tengah</t>
        </is>
      </c>
      <c r="G307" s="10" t="inlineStr">
        <is>
          <t>Fashion</t>
        </is>
      </c>
      <c r="H307" s="10" t="inlineStr">
        <is>
          <t>Kemeja Linen</t>
        </is>
      </c>
      <c r="I307" s="10" t="n">
        <v>1</v>
      </c>
      <c r="J307" s="10" t="n">
        <v>185000</v>
      </c>
      <c r="K307" s="10" t="n">
        <v>185000</v>
      </c>
    </row>
    <row r="308">
      <c r="A308" s="10" t="inlineStr">
        <is>
          <t>INV-70764</t>
        </is>
      </c>
      <c r="B308" s="10" t="inlineStr">
        <is>
          <t>2025-11-20</t>
        </is>
      </c>
      <c r="C308" s="10" t="inlineStr">
        <is>
          <t>C1215</t>
        </is>
      </c>
      <c r="D308" s="10" t="inlineStr">
        <is>
          <t>loyal</t>
        </is>
      </c>
      <c r="E308" s="10" t="inlineStr">
        <is>
          <t xml:space="preserve"> tokopedia</t>
        </is>
      </c>
      <c r="F308" s="10" t="inlineStr">
        <is>
          <t>Jabodetabek</t>
        </is>
      </c>
      <c r="G308" s="10" t="inlineStr">
        <is>
          <t>Elektronik</t>
        </is>
      </c>
      <c r="H308" s="10" t="inlineStr">
        <is>
          <t>Earbuds TWS</t>
        </is>
      </c>
      <c r="I308" s="10" t="n">
        <v>4</v>
      </c>
      <c r="J308" s="10" t="n">
        <v>265000</v>
      </c>
      <c r="K308" s="10" t="n">
        <v>1060000</v>
      </c>
    </row>
    <row r="309">
      <c r="A309" s="10" t="inlineStr">
        <is>
          <t>INV-71308</t>
        </is>
      </c>
      <c r="B309" s="10" t="inlineStr">
        <is>
          <t>2025-09-18</t>
        </is>
      </c>
      <c r="C309" s="10" t="inlineStr">
        <is>
          <t>C1362</t>
        </is>
      </c>
      <c r="D309" s="10" t="inlineStr">
        <is>
          <t>occasional</t>
        </is>
      </c>
      <c r="E309" s="10" t="inlineStr">
        <is>
          <t>Tokopedia</t>
        </is>
      </c>
      <c r="F309" s="10" t="inlineStr">
        <is>
          <t>Jabodetabek</t>
        </is>
      </c>
      <c r="G309" s="10" t="inlineStr">
        <is>
          <t>Fashion</t>
        </is>
      </c>
      <c r="H309" s="10" t="inlineStr">
        <is>
          <t>Kemeja Linen</t>
        </is>
      </c>
      <c r="I309" s="10" t="n">
        <v>3</v>
      </c>
      <c r="J309" s="10" t="n">
        <v>185000</v>
      </c>
      <c r="K309" s="10" t="n">
        <v>555000</v>
      </c>
    </row>
    <row r="310">
      <c r="A310" s="10" t="inlineStr">
        <is>
          <t>INV-70876</t>
        </is>
      </c>
      <c r="B310" s="10" t="inlineStr">
        <is>
          <t>2025-07-16</t>
        </is>
      </c>
      <c r="C310" s="10" t="inlineStr">
        <is>
          <t>C1246</t>
        </is>
      </c>
      <c r="D310" s="10" t="inlineStr">
        <is>
          <t>champion</t>
        </is>
      </c>
      <c r="E310" s="10" t="inlineStr">
        <is>
          <t>TikTok Shop</t>
        </is>
      </c>
      <c r="F310" s="10" t="inlineStr">
        <is>
          <t>Jabodetabek</t>
        </is>
      </c>
      <c r="G310" s="10" t="inlineStr">
        <is>
          <t>Rumah Tangga</t>
        </is>
      </c>
      <c r="H310" s="10" t="inlineStr">
        <is>
          <t>Organizer Laci</t>
        </is>
      </c>
      <c r="I310" s="10" t="n">
        <v>2</v>
      </c>
      <c r="J310" s="10" t="n">
        <v>78000</v>
      </c>
      <c r="K310" s="10" t="n">
        <v>156000</v>
      </c>
    </row>
    <row r="311">
      <c r="A311" s="10" t="inlineStr">
        <is>
          <t>INV-70215</t>
        </is>
      </c>
      <c r="B311" s="10" t="inlineStr">
        <is>
          <t>2025-04-27</t>
        </is>
      </c>
      <c r="C311" s="10" t="inlineStr">
        <is>
          <t>C1060</t>
        </is>
      </c>
      <c r="D311" s="10" t="inlineStr">
        <is>
          <t>loyal</t>
        </is>
      </c>
      <c r="E311" s="10" t="inlineStr">
        <is>
          <t>Tokopedia</t>
        </is>
      </c>
      <c r="F311" s="10" t="inlineStr">
        <is>
          <t>Jawa Tengah</t>
        </is>
      </c>
      <c r="G311" s="10" t="inlineStr">
        <is>
          <t>Rumah Tangga</t>
        </is>
      </c>
      <c r="H311" s="10" t="inlineStr">
        <is>
          <t>Set Wadah Kedap</t>
        </is>
      </c>
      <c r="I311" s="10" t="n">
        <v>1</v>
      </c>
      <c r="J311" s="10" t="n">
        <v>135000</v>
      </c>
      <c r="K311" s="10" t="n">
        <v>135000</v>
      </c>
    </row>
    <row r="312">
      <c r="A312" s="10" t="inlineStr">
        <is>
          <t>INV-70363</t>
        </is>
      </c>
      <c r="B312" s="10" t="inlineStr">
        <is>
          <t>09/03/2025</t>
        </is>
      </c>
      <c r="C312" s="10" t="inlineStr">
        <is>
          <t>C1100</t>
        </is>
      </c>
      <c r="D312" s="10" t="inlineStr">
        <is>
          <t>occasional</t>
        </is>
      </c>
      <c r="E312" s="10" t="inlineStr">
        <is>
          <t>Shopee</t>
        </is>
      </c>
      <c r="F312" s="10" t="inlineStr">
        <is>
          <t>Jabodetabek</t>
        </is>
      </c>
      <c r="G312" s="10" t="inlineStr">
        <is>
          <t>Kecantikan</t>
        </is>
      </c>
      <c r="H312" s="10" t="inlineStr">
        <is>
          <t>Masker Wajah (5s)</t>
        </is>
      </c>
      <c r="I312" s="10" t="n">
        <v>3</v>
      </c>
      <c r="J312" s="10" t="n">
        <v>55000</v>
      </c>
      <c r="K312" s="10" t="n">
        <v>165000</v>
      </c>
    </row>
    <row r="313">
      <c r="A313" s="10" t="inlineStr">
        <is>
          <t>INV-70367</t>
        </is>
      </c>
      <c r="B313" s="10" t="inlineStr">
        <is>
          <t>26 Aug 2025</t>
        </is>
      </c>
      <c r="C313" s="10" t="inlineStr">
        <is>
          <t>C1103</t>
        </is>
      </c>
      <c r="D313" s="10" t="inlineStr">
        <is>
          <t>occasional</t>
        </is>
      </c>
      <c r="E313" s="10" t="inlineStr">
        <is>
          <t>Offline Store</t>
        </is>
      </c>
      <c r="F313" s="10" t="inlineStr">
        <is>
          <t>Jabodetabek</t>
        </is>
      </c>
      <c r="G313" s="10" t="inlineStr">
        <is>
          <t>Kecantikan</t>
        </is>
      </c>
      <c r="H313" s="10" t="inlineStr">
        <is>
          <t>Masker Wajah (5s)</t>
        </is>
      </c>
      <c r="I313" s="10" t="n">
        <v>2</v>
      </c>
      <c r="J313" s="10" t="n">
        <v>55000</v>
      </c>
      <c r="K313" s="10" t="n">
        <v>110000</v>
      </c>
    </row>
    <row r="314">
      <c r="A314" s="10" t="inlineStr">
        <is>
          <t>INV-70379</t>
        </is>
      </c>
      <c r="B314" s="10" t="inlineStr">
        <is>
          <t>25/05/2025</t>
        </is>
      </c>
      <c r="C314" s="10" t="inlineStr">
        <is>
          <t>C1110</t>
        </is>
      </c>
      <c r="D314" s="10" t="inlineStr">
        <is>
          <t>loyal</t>
        </is>
      </c>
      <c r="E314" s="10" t="inlineStr">
        <is>
          <t>TikTok Shop</t>
        </is>
      </c>
      <c r="F314" s="10" t="inlineStr">
        <is>
          <t>Sumatera</t>
        </is>
      </c>
      <c r="G314" s="10" t="inlineStr">
        <is>
          <t>Rumah Tangga</t>
        </is>
      </c>
      <c r="H314" s="10" t="inlineStr">
        <is>
          <t>Organizer Laci</t>
        </is>
      </c>
      <c r="I314" s="10" t="n">
        <v>1</v>
      </c>
      <c r="J314" s="10" t="n">
        <v>78000</v>
      </c>
      <c r="K314" s="10" t="n">
        <v>78000</v>
      </c>
    </row>
    <row r="315">
      <c r="A315" s="10" t="inlineStr">
        <is>
          <t>INV-70563</t>
        </is>
      </c>
      <c r="B315" s="10" t="inlineStr">
        <is>
          <t>2025-10-21</t>
        </is>
      </c>
      <c r="C315" s="10" t="inlineStr">
        <is>
          <t>C1155</t>
        </is>
      </c>
      <c r="D315" s="10" t="inlineStr">
        <is>
          <t>onetime</t>
        </is>
      </c>
      <c r="E315" s="10" t="inlineStr">
        <is>
          <t>offline store</t>
        </is>
      </c>
      <c r="F315" s="10" t="inlineStr">
        <is>
          <t>Jawa Tengah</t>
        </is>
      </c>
      <c r="G315" s="10" t="inlineStr">
        <is>
          <t>Rumah Tangga</t>
        </is>
      </c>
      <c r="H315" s="10" t="inlineStr">
        <is>
          <t>Set Wadah Kedap</t>
        </is>
      </c>
      <c r="I315" s="10" t="n">
        <v>1</v>
      </c>
      <c r="J315" s="10" t="n">
        <v>135000</v>
      </c>
      <c r="K315" s="10" t="n">
        <v>135000</v>
      </c>
    </row>
    <row r="316">
      <c r="A316" s="10" t="inlineStr">
        <is>
          <t>INV-70226</t>
        </is>
      </c>
      <c r="B316" s="10" t="inlineStr">
        <is>
          <t>2025-06-07</t>
        </is>
      </c>
      <c r="C316" s="10" t="inlineStr">
        <is>
          <t>C1064</t>
        </is>
      </c>
      <c r="D316" s="10" t="inlineStr">
        <is>
          <t>loyal</t>
        </is>
      </c>
      <c r="E316" s="10" t="inlineStr">
        <is>
          <t>TikTok Shop</t>
        </is>
      </c>
      <c r="F316" s="10" t="inlineStr">
        <is>
          <t>Jabodetabek</t>
        </is>
      </c>
      <c r="G316" s="10" t="inlineStr">
        <is>
          <t>Kecantikan</t>
        </is>
      </c>
      <c r="H316" s="10" t="inlineStr">
        <is>
          <t>Masker Wajah (5s)</t>
        </is>
      </c>
      <c r="I316" s="10" t="n">
        <v>4</v>
      </c>
      <c r="J316" s="10" t="n">
        <v>55000</v>
      </c>
      <c r="K316" s="10" t="n">
        <v>220000</v>
      </c>
    </row>
    <row r="317">
      <c r="A317" s="10" t="inlineStr">
        <is>
          <t>INV-71084</t>
        </is>
      </c>
      <c r="B317" s="10" t="inlineStr">
        <is>
          <t>25/05/2026</t>
        </is>
      </c>
      <c r="C317" s="10" t="inlineStr">
        <is>
          <t>C1305</t>
        </is>
      </c>
      <c r="D317" s="10" t="inlineStr">
        <is>
          <t>champion</t>
        </is>
      </c>
      <c r="E317" s="10" t="inlineStr">
        <is>
          <t>Offline Store</t>
        </is>
      </c>
      <c r="F317" s="10" t="inlineStr">
        <is>
          <t>Sumatera</t>
        </is>
      </c>
      <c r="G317" s="10" t="inlineStr">
        <is>
          <t>Rumah Tangga</t>
        </is>
      </c>
      <c r="H317" s="10" t="inlineStr">
        <is>
          <t>Set Wadah Kedap</t>
        </is>
      </c>
      <c r="I317" s="10" t="n">
        <v>4</v>
      </c>
      <c r="J317" s="10" t="n">
        <v>135000</v>
      </c>
      <c r="K317" s="10" t="n">
        <v>540000</v>
      </c>
    </row>
    <row r="318">
      <c r="A318" s="10" t="inlineStr">
        <is>
          <t>INV-70736</t>
        </is>
      </c>
      <c r="B318" s="10" t="inlineStr">
        <is>
          <t>2025-10-11</t>
        </is>
      </c>
      <c r="C318" s="10" t="inlineStr">
        <is>
          <t>C1207</t>
        </is>
      </c>
      <c r="D318" s="10" t="inlineStr">
        <is>
          <t>loyal</t>
        </is>
      </c>
      <c r="E318" s="10" t="inlineStr">
        <is>
          <t>Offline Store</t>
        </is>
      </c>
      <c r="F318" s="10" t="inlineStr">
        <is>
          <t>Jabodetabek</t>
        </is>
      </c>
      <c r="G318" s="10" t="inlineStr">
        <is>
          <t>Rumah Tangga</t>
        </is>
      </c>
      <c r="H318" s="10" t="inlineStr">
        <is>
          <t>Organizer Laci</t>
        </is>
      </c>
      <c r="I318" s="10" t="n">
        <v>2</v>
      </c>
      <c r="J318" s="10" t="n">
        <v>78000</v>
      </c>
      <c r="K318" s="10" t="n">
        <v>156000</v>
      </c>
    </row>
    <row r="319">
      <c r="A319" s="10" t="inlineStr">
        <is>
          <t>INV-70037</t>
        </is>
      </c>
      <c r="B319" s="10" t="inlineStr">
        <is>
          <t>04/03/2025</t>
        </is>
      </c>
      <c r="C319" s="10" t="inlineStr">
        <is>
          <t>C1008</t>
        </is>
      </c>
      <c r="D319" s="10" t="inlineStr">
        <is>
          <t>regular</t>
        </is>
      </c>
      <c r="E319" s="10" t="inlineStr">
        <is>
          <t>Shopee</t>
        </is>
      </c>
      <c r="F319" s="10" t="inlineStr">
        <is>
          <t>Jawa Tengah</t>
        </is>
      </c>
      <c r="G319" s="10" t="inlineStr">
        <is>
          <t>Rumah Tangga</t>
        </is>
      </c>
      <c r="H319" s="10" t="inlineStr">
        <is>
          <t>Organizer Laci</t>
        </is>
      </c>
      <c r="I319" s="10" t="n">
        <v>1</v>
      </c>
      <c r="J319" s="10" t="n">
        <v>78000</v>
      </c>
      <c r="K319" s="10" t="inlineStr">
        <is>
          <t>Rp 78.000</t>
        </is>
      </c>
    </row>
    <row r="320">
      <c r="A320" s="10" t="inlineStr">
        <is>
          <t>INV-71356</t>
        </is>
      </c>
      <c r="B320" s="10" t="inlineStr">
        <is>
          <t>09/09/2025</t>
        </is>
      </c>
      <c r="C320" s="10" t="inlineStr">
        <is>
          <t>C1375</t>
        </is>
      </c>
      <c r="D320" s="10" t="inlineStr">
        <is>
          <t>occasional</t>
        </is>
      </c>
      <c r="E320" s="10" t="inlineStr">
        <is>
          <t>Shopee</t>
        </is>
      </c>
      <c r="F320" s="10" t="inlineStr">
        <is>
          <t>Sumatera</t>
        </is>
      </c>
      <c r="G320" s="10" t="inlineStr">
        <is>
          <t>kecantikan</t>
        </is>
      </c>
      <c r="H320" s="10" t="inlineStr">
        <is>
          <t>Masker Wajah (5s)</t>
        </is>
      </c>
      <c r="I320" s="10" t="n">
        <v>2</v>
      </c>
      <c r="J320" s="10" t="n">
        <v>55000</v>
      </c>
      <c r="K320" s="10" t="n">
        <v>110000</v>
      </c>
    </row>
    <row r="321">
      <c r="A321" s="10" t="inlineStr">
        <is>
          <t>INV-70836</t>
        </is>
      </c>
      <c r="B321" s="10" t="inlineStr">
        <is>
          <t>2025-02-02</t>
        </is>
      </c>
      <c r="C321" s="10" t="inlineStr">
        <is>
          <t>C1236</t>
        </is>
      </c>
      <c r="D321" s="10" t="inlineStr">
        <is>
          <t>onetime</t>
        </is>
      </c>
      <c r="E321" s="10" t="inlineStr">
        <is>
          <t xml:space="preserve"> tokopedia</t>
        </is>
      </c>
      <c r="F321" s="10" t="inlineStr">
        <is>
          <t>Sumatera</t>
        </is>
      </c>
      <c r="G321" s="10" t="inlineStr">
        <is>
          <t>kecantikan</t>
        </is>
      </c>
      <c r="H321" s="10" t="inlineStr">
        <is>
          <t>Masker Wajah (5s)</t>
        </is>
      </c>
      <c r="I321" s="10" t="n">
        <v>2</v>
      </c>
      <c r="J321" s="10" t="n">
        <v>55000</v>
      </c>
      <c r="K321" s="10" t="n">
        <v>110000</v>
      </c>
    </row>
    <row r="322">
      <c r="A322" s="10" t="inlineStr">
        <is>
          <t>INV-70267</t>
        </is>
      </c>
      <c r="B322" s="10" t="inlineStr">
        <is>
          <t>27 Dec 2025</t>
        </is>
      </c>
      <c r="C322" s="10" t="inlineStr">
        <is>
          <t>C1075</t>
        </is>
      </c>
      <c r="D322" s="10" t="inlineStr">
        <is>
          <t>occasional</t>
        </is>
      </c>
      <c r="E322" s="10" t="inlineStr">
        <is>
          <t xml:space="preserve">Tokopedia </t>
        </is>
      </c>
      <c r="F322" s="10" t="inlineStr">
        <is>
          <t>Jawa Tengah</t>
        </is>
      </c>
      <c r="G322" s="10" t="inlineStr">
        <is>
          <t>Rumah Tangga</t>
        </is>
      </c>
      <c r="H322" s="10" t="inlineStr">
        <is>
          <t>Set Wadah Kedap</t>
        </is>
      </c>
      <c r="I322" s="10" t="n">
        <v>4</v>
      </c>
      <c r="J322" s="10" t="n">
        <v>135000</v>
      </c>
      <c r="K322" s="10" t="n">
        <v>540000</v>
      </c>
    </row>
    <row r="323">
      <c r="A323" s="10" t="inlineStr">
        <is>
          <t>INV-71172</t>
        </is>
      </c>
      <c r="B323" s="10" t="inlineStr">
        <is>
          <t>16/04/2025</t>
        </is>
      </c>
      <c r="C323" s="10" t="inlineStr">
        <is>
          <t>C1333</t>
        </is>
      </c>
      <c r="D323" s="10" t="inlineStr">
        <is>
          <t>regular</t>
        </is>
      </c>
      <c r="E323" s="10" t="inlineStr">
        <is>
          <t>Offline Store</t>
        </is>
      </c>
      <c r="F323" s="10" t="inlineStr">
        <is>
          <t>Jabodetabek</t>
        </is>
      </c>
      <c r="G323" s="10" t="inlineStr">
        <is>
          <t>Rumah Tangga</t>
        </is>
      </c>
      <c r="H323" s="10" t="inlineStr">
        <is>
          <t>Set Wadah Kedap</t>
        </is>
      </c>
      <c r="I323" s="10" t="n">
        <v>3</v>
      </c>
      <c r="J323" s="10" t="n">
        <v>135000</v>
      </c>
      <c r="K323" s="10" t="inlineStr">
        <is>
          <t>Rp 405.000</t>
        </is>
      </c>
    </row>
    <row r="324">
      <c r="A324" s="10" t="inlineStr">
        <is>
          <t>INV-71016</t>
        </is>
      </c>
      <c r="B324" s="10" t="inlineStr">
        <is>
          <t>2025-11-19</t>
        </is>
      </c>
      <c r="C324" s="10" t="inlineStr">
        <is>
          <t>C1290</t>
        </is>
      </c>
      <c r="D324" s="10" t="inlineStr">
        <is>
          <t>loyal</t>
        </is>
      </c>
      <c r="E324" s="10" t="inlineStr">
        <is>
          <t xml:space="preserve">Tokopedia </t>
        </is>
      </c>
      <c r="F324" s="10" t="inlineStr">
        <is>
          <t>Jawa Tengah</t>
        </is>
      </c>
      <c r="G324" s="10" t="inlineStr">
        <is>
          <t>Rumah Tangga</t>
        </is>
      </c>
      <c r="H324" s="10" t="inlineStr">
        <is>
          <t>Set Wadah Kedap</t>
        </is>
      </c>
      <c r="I324" s="10" t="n">
        <v>1</v>
      </c>
      <c r="J324" s="10" t="n">
        <v>135000</v>
      </c>
      <c r="K324" s="10" t="inlineStr">
        <is>
          <t>Rp 135.000</t>
        </is>
      </c>
    </row>
    <row r="325">
      <c r="A325" s="10" t="inlineStr">
        <is>
          <t>INV-70800</t>
        </is>
      </c>
      <c r="B325" s="10" t="inlineStr">
        <is>
          <t>2026-05-22</t>
        </is>
      </c>
      <c r="C325" s="10" t="inlineStr">
        <is>
          <t>C1224</t>
        </is>
      </c>
      <c r="D325" s="10" t="inlineStr">
        <is>
          <t>regular</t>
        </is>
      </c>
      <c r="E325" s="10" t="inlineStr">
        <is>
          <t>Offline Store</t>
        </is>
      </c>
      <c r="F325" s="10" t="inlineStr">
        <is>
          <t>Jabodetabek</t>
        </is>
      </c>
      <c r="G325" s="10" t="inlineStr">
        <is>
          <t>elektronik</t>
        </is>
      </c>
      <c r="H325" s="10" t="inlineStr">
        <is>
          <t>Power Bank 20K</t>
        </is>
      </c>
      <c r="I325" s="10" t="n">
        <v>1</v>
      </c>
      <c r="J325" s="10" t="n">
        <v>185000</v>
      </c>
      <c r="K325" s="10" t="n">
        <v>185000</v>
      </c>
    </row>
    <row r="326">
      <c r="A326" s="10" t="inlineStr">
        <is>
          <t>INV-70578</t>
        </is>
      </c>
      <c r="B326" s="10" t="inlineStr">
        <is>
          <t>2026-04-20</t>
        </is>
      </c>
      <c r="C326" s="10" t="inlineStr">
        <is>
          <t>C1157</t>
        </is>
      </c>
      <c r="D326" s="10" t="inlineStr">
        <is>
          <t>loyal</t>
        </is>
      </c>
      <c r="E326" s="10" t="inlineStr">
        <is>
          <t>Shopee</t>
        </is>
      </c>
      <c r="F326" s="10" t="inlineStr">
        <is>
          <t>Jawa Barat</t>
        </is>
      </c>
      <c r="G326" s="10" t="inlineStr">
        <is>
          <t>Elektronik</t>
        </is>
      </c>
      <c r="H326" s="10" t="inlineStr">
        <is>
          <t>Earbuds TWS</t>
        </is>
      </c>
      <c r="I326" s="10" t="n">
        <v>1</v>
      </c>
      <c r="J326" s="10" t="n">
        <v>265000</v>
      </c>
      <c r="K326" s="10" t="n">
        <v>265000</v>
      </c>
    </row>
    <row r="327">
      <c r="A327" s="10" t="inlineStr">
        <is>
          <t>INV-70208</t>
        </is>
      </c>
      <c r="B327" s="10" t="inlineStr">
        <is>
          <t>27 Apr 2026</t>
        </is>
      </c>
      <c r="C327" s="10" t="inlineStr">
        <is>
          <t>C1059</t>
        </is>
      </c>
      <c r="D327" s="10" t="inlineStr">
        <is>
          <t>regular</t>
        </is>
      </c>
      <c r="E327" s="10" t="inlineStr">
        <is>
          <t>Shopee</t>
        </is>
      </c>
      <c r="F327" s="10" t="inlineStr">
        <is>
          <t>Jawa Timur</t>
        </is>
      </c>
      <c r="G327" s="10" t="inlineStr">
        <is>
          <t>Makanan</t>
        </is>
      </c>
      <c r="H327" s="10" t="inlineStr">
        <is>
          <t>Granola 500g</t>
        </is>
      </c>
      <c r="I327" s="10" t="n"/>
      <c r="J327" s="10" t="n">
        <v>92000</v>
      </c>
      <c r="K327" s="10" t="n">
        <v>276000</v>
      </c>
    </row>
    <row r="328">
      <c r="A328" s="10" t="inlineStr">
        <is>
          <t>INV-70718</t>
        </is>
      </c>
      <c r="B328" s="10" t="inlineStr">
        <is>
          <t>20 Oct 2025</t>
        </is>
      </c>
      <c r="C328" s="10" t="inlineStr">
        <is>
          <t>C1199</t>
        </is>
      </c>
      <c r="D328" s="10" t="inlineStr">
        <is>
          <t>loyal</t>
        </is>
      </c>
      <c r="E328" s="10" t="inlineStr">
        <is>
          <t>SHOPEE</t>
        </is>
      </c>
      <c r="F328" s="10" t="n"/>
      <c r="G328" s="10" t="inlineStr">
        <is>
          <t>kecantikan</t>
        </is>
      </c>
      <c r="H328" s="10" t="inlineStr">
        <is>
          <t>Masker Wajah (5s)</t>
        </is>
      </c>
      <c r="I328" s="10" t="n">
        <v>2</v>
      </c>
      <c r="J328" s="10" t="n">
        <v>55000</v>
      </c>
      <c r="K328" s="10" t="n">
        <v>110000</v>
      </c>
    </row>
    <row r="329">
      <c r="A329" s="10" t="inlineStr">
        <is>
          <t>INV-71343</t>
        </is>
      </c>
      <c r="B329" s="10" t="inlineStr">
        <is>
          <t>07 Oct 2025</t>
        </is>
      </c>
      <c r="C329" s="10" t="inlineStr">
        <is>
          <t>C1369</t>
        </is>
      </c>
      <c r="D329" s="10" t="inlineStr">
        <is>
          <t>loyal</t>
        </is>
      </c>
      <c r="E329" s="10" t="inlineStr">
        <is>
          <t>Tokopedia</t>
        </is>
      </c>
      <c r="F329" s="10" t="inlineStr">
        <is>
          <t>Jawa Barat</t>
        </is>
      </c>
      <c r="G329" s="10" t="inlineStr">
        <is>
          <t>Makanan</t>
        </is>
      </c>
      <c r="H329" s="10" t="inlineStr">
        <is>
          <t>Granola 500g</t>
        </is>
      </c>
      <c r="I329" s="10" t="n">
        <v>4</v>
      </c>
      <c r="J329" s="10" t="n">
        <v>92000</v>
      </c>
      <c r="K329" s="10" t="n">
        <v>368000</v>
      </c>
    </row>
    <row r="330">
      <c r="A330" s="10" t="inlineStr">
        <is>
          <t>INV-70600</t>
        </is>
      </c>
      <c r="B330" s="10" t="inlineStr">
        <is>
          <t>19/09/2025</t>
        </is>
      </c>
      <c r="C330" s="10" t="inlineStr">
        <is>
          <t>C1161</t>
        </is>
      </c>
      <c r="D330" s="10" t="inlineStr">
        <is>
          <t>champion</t>
        </is>
      </c>
      <c r="E330" s="10" t="inlineStr">
        <is>
          <t>Shopee</t>
        </is>
      </c>
      <c r="F330" s="10" t="inlineStr">
        <is>
          <t>Jabodetabek</t>
        </is>
      </c>
      <c r="G330" s="10" t="inlineStr">
        <is>
          <t>Rumah Tangga</t>
        </is>
      </c>
      <c r="H330" s="10" t="inlineStr">
        <is>
          <t>Set Wadah Kedap</t>
        </is>
      </c>
      <c r="I330" s="10" t="n">
        <v>1</v>
      </c>
      <c r="J330" s="10" t="n">
        <v>135000</v>
      </c>
      <c r="K330" s="10" t="n">
        <v>135000</v>
      </c>
    </row>
    <row r="331">
      <c r="A331" s="10" t="inlineStr">
        <is>
          <t>INV-70760</t>
        </is>
      </c>
      <c r="B331" s="10" t="inlineStr">
        <is>
          <t>2025-02-16</t>
        </is>
      </c>
      <c r="C331" s="10" t="inlineStr">
        <is>
          <t>C1212</t>
        </is>
      </c>
      <c r="D331" s="10" t="inlineStr">
        <is>
          <t>occasional</t>
        </is>
      </c>
      <c r="E331" s="10" t="inlineStr">
        <is>
          <t>Tokopedia</t>
        </is>
      </c>
      <c r="F331" s="10" t="inlineStr">
        <is>
          <t>Lainnya</t>
        </is>
      </c>
      <c r="G331" s="10" t="inlineStr">
        <is>
          <t>Fashion</t>
        </is>
      </c>
      <c r="H331" s="10" t="inlineStr">
        <is>
          <t>Kaos Premium</t>
        </is>
      </c>
      <c r="I331" s="10" t="n">
        <v>3</v>
      </c>
      <c r="J331" s="10" t="n">
        <v>95000</v>
      </c>
      <c r="K331" s="10" t="inlineStr">
        <is>
          <t>Rp 285.000</t>
        </is>
      </c>
    </row>
    <row r="332">
      <c r="A332" s="10" t="inlineStr">
        <is>
          <t>INV-70646</t>
        </is>
      </c>
      <c r="B332" s="10" t="inlineStr">
        <is>
          <t>2025-08-26</t>
        </is>
      </c>
      <c r="C332" s="10" t="inlineStr">
        <is>
          <t>C1176</t>
        </is>
      </c>
      <c r="D332" s="10" t="inlineStr">
        <is>
          <t>onetime</t>
        </is>
      </c>
      <c r="E332" s="10" t="inlineStr">
        <is>
          <t xml:space="preserve"> tokopedia</t>
        </is>
      </c>
      <c r="F332" s="10" t="inlineStr">
        <is>
          <t>Jabodetabek</t>
        </is>
      </c>
      <c r="G332" s="10" t="inlineStr">
        <is>
          <t>Kecantikan</t>
        </is>
      </c>
      <c r="H332" s="10" t="inlineStr">
        <is>
          <t>Serum Vit C</t>
        </is>
      </c>
      <c r="I332" s="10" t="n">
        <v>-1</v>
      </c>
      <c r="J332" s="10" t="n">
        <v>145000</v>
      </c>
      <c r="K332" s="10" t="n">
        <v>145000</v>
      </c>
    </row>
    <row r="333">
      <c r="A333" s="10" t="inlineStr">
        <is>
          <t>INV-70633</t>
        </is>
      </c>
      <c r="B333" s="10" t="inlineStr">
        <is>
          <t>2025-09-25</t>
        </is>
      </c>
      <c r="C333" s="10" t="inlineStr">
        <is>
          <t>C1173</t>
        </is>
      </c>
      <c r="D333" s="10" t="inlineStr">
        <is>
          <t>loyal</t>
        </is>
      </c>
      <c r="E333" s="10" t="inlineStr">
        <is>
          <t>Shopee</t>
        </is>
      </c>
      <c r="F333" s="10" t="inlineStr">
        <is>
          <t>Jawa Barat</t>
        </is>
      </c>
      <c r="G333" s="10" t="inlineStr">
        <is>
          <t>Makanan</t>
        </is>
      </c>
      <c r="H333" s="10" t="inlineStr">
        <is>
          <t>Teh Herbal (15s)</t>
        </is>
      </c>
      <c r="I333" s="10" t="n">
        <v>1</v>
      </c>
      <c r="J333" s="10" t="n">
        <v>58000</v>
      </c>
      <c r="K333" s="10" t="n">
        <v>58000</v>
      </c>
    </row>
    <row r="334">
      <c r="A334" s="10" t="inlineStr">
        <is>
          <t>INV-70826</t>
        </is>
      </c>
      <c r="B334" s="10" t="inlineStr">
        <is>
          <t>2025-03-25</t>
        </is>
      </c>
      <c r="C334" s="10" t="inlineStr">
        <is>
          <t>C1233</t>
        </is>
      </c>
      <c r="D334" s="10" t="inlineStr">
        <is>
          <t>regular</t>
        </is>
      </c>
      <c r="E334" s="10" t="inlineStr">
        <is>
          <t>Shopee</t>
        </is>
      </c>
      <c r="F334" s="10" t="inlineStr">
        <is>
          <t>Jawa Timur</t>
        </is>
      </c>
      <c r="G334" s="10" t="inlineStr">
        <is>
          <t>Rumah Tangga</t>
        </is>
      </c>
      <c r="H334" s="10" t="inlineStr">
        <is>
          <t>Set Wadah Kedap</t>
        </is>
      </c>
      <c r="I334" s="10" t="n">
        <v>1</v>
      </c>
      <c r="J334" s="10" t="n">
        <v>135000</v>
      </c>
      <c r="K334" s="10" t="inlineStr">
        <is>
          <t>Rp 135.000</t>
        </is>
      </c>
    </row>
    <row r="335">
      <c r="A335" s="10" t="inlineStr">
        <is>
          <t>INV-70165</t>
        </is>
      </c>
      <c r="B335" s="10" t="inlineStr">
        <is>
          <t>01/12/2025</t>
        </is>
      </c>
      <c r="C335" s="10" t="inlineStr">
        <is>
          <t>C1049</t>
        </is>
      </c>
      <c r="D335" s="10" t="inlineStr">
        <is>
          <t>champion</t>
        </is>
      </c>
      <c r="E335" s="10" t="inlineStr">
        <is>
          <t>Shopee</t>
        </is>
      </c>
      <c r="F335" s="10" t="inlineStr">
        <is>
          <t>Jawa Timur</t>
        </is>
      </c>
      <c r="G335" s="10" t="inlineStr">
        <is>
          <t>Rumah Tangga</t>
        </is>
      </c>
      <c r="H335" s="10" t="inlineStr">
        <is>
          <t>Set Wadah Kedap</t>
        </is>
      </c>
      <c r="I335" s="10" t="n">
        <v>3</v>
      </c>
      <c r="J335" s="10" t="n">
        <v>135000</v>
      </c>
      <c r="K335" s="10" t="n">
        <v>405000</v>
      </c>
    </row>
    <row r="336">
      <c r="A336" s="10" t="inlineStr">
        <is>
          <t>INV-70777</t>
        </is>
      </c>
      <c r="B336" s="10" t="inlineStr">
        <is>
          <t>15/07/2025</t>
        </is>
      </c>
      <c r="C336" s="10" t="inlineStr">
        <is>
          <t>C1220</t>
        </is>
      </c>
      <c r="D336" s="10" t="inlineStr">
        <is>
          <t>loyal</t>
        </is>
      </c>
      <c r="E336" s="10" t="inlineStr">
        <is>
          <t xml:space="preserve">Shopee </t>
        </is>
      </c>
      <c r="F336" s="10" t="inlineStr">
        <is>
          <t>Jawa Tengah</t>
        </is>
      </c>
      <c r="G336" s="10" t="inlineStr">
        <is>
          <t>Rumah Tangga</t>
        </is>
      </c>
      <c r="H336" s="10" t="inlineStr">
        <is>
          <t>Set Wadah Kedap</t>
        </is>
      </c>
      <c r="I336" s="10" t="n">
        <v>2</v>
      </c>
      <c r="J336" s="10" t="n">
        <v>135000</v>
      </c>
      <c r="K336" s="10" t="inlineStr">
        <is>
          <t>Rp 270.000</t>
        </is>
      </c>
    </row>
    <row r="337">
      <c r="A337" s="10" t="inlineStr">
        <is>
          <t>INV-71072</t>
        </is>
      </c>
      <c r="B337" s="10" t="inlineStr">
        <is>
          <t>02/01/2026</t>
        </is>
      </c>
      <c r="C337" s="10" t="inlineStr">
        <is>
          <t>C1302</t>
        </is>
      </c>
      <c r="D337" s="10" t="inlineStr">
        <is>
          <t>champion</t>
        </is>
      </c>
      <c r="E337" s="10" t="inlineStr">
        <is>
          <t>Tiktok Shop</t>
        </is>
      </c>
      <c r="F337" s="10" t="inlineStr">
        <is>
          <t>Jabodetabek</t>
        </is>
      </c>
      <c r="G337" s="10" t="inlineStr">
        <is>
          <t>elektronik</t>
        </is>
      </c>
      <c r="H337" s="10" t="inlineStr">
        <is>
          <t>Power Bank 20K</t>
        </is>
      </c>
      <c r="I337" s="10" t="n">
        <v>2</v>
      </c>
      <c r="J337" s="10" t="n">
        <v>185000</v>
      </c>
      <c r="K337" s="10" t="n">
        <v>370000</v>
      </c>
    </row>
    <row r="338">
      <c r="A338" s="10" t="inlineStr">
        <is>
          <t>INV-70293</t>
        </is>
      </c>
      <c r="B338" s="10" t="inlineStr">
        <is>
          <t>22/03/2025</t>
        </is>
      </c>
      <c r="C338" s="10" t="inlineStr">
        <is>
          <t>C1083</t>
        </is>
      </c>
      <c r="D338" s="10" t="inlineStr">
        <is>
          <t>loyal</t>
        </is>
      </c>
      <c r="E338" s="10" t="inlineStr">
        <is>
          <t xml:space="preserve"> tokopedia</t>
        </is>
      </c>
      <c r="F338" s="10" t="inlineStr">
        <is>
          <t>Jabodetabek</t>
        </is>
      </c>
      <c r="G338" s="10" t="inlineStr">
        <is>
          <t>Elektronik</t>
        </is>
      </c>
      <c r="H338" s="10" t="inlineStr">
        <is>
          <t>Smartwatch</t>
        </is>
      </c>
      <c r="I338" s="10" t="n">
        <v>4</v>
      </c>
      <c r="J338" s="10" t="n">
        <v>450000</v>
      </c>
      <c r="K338" s="10" t="n">
        <v>1800000</v>
      </c>
    </row>
    <row r="339">
      <c r="A339" s="10" t="inlineStr">
        <is>
          <t>INV-71329</t>
        </is>
      </c>
      <c r="B339" s="10" t="inlineStr">
        <is>
          <t>2026-05-22</t>
        </is>
      </c>
      <c r="C339" s="10" t="inlineStr">
        <is>
          <t>C1366</t>
        </is>
      </c>
      <c r="D339" s="10" t="inlineStr">
        <is>
          <t>loyal</t>
        </is>
      </c>
      <c r="E339" s="10" t="inlineStr">
        <is>
          <t>Tokopedia</t>
        </is>
      </c>
      <c r="F339" s="10" t="inlineStr">
        <is>
          <t>Sumatera</t>
        </is>
      </c>
      <c r="G339" s="10" t="inlineStr">
        <is>
          <t>Elektronik</t>
        </is>
      </c>
      <c r="H339" s="10" t="inlineStr">
        <is>
          <t>Smartwatch</t>
        </is>
      </c>
      <c r="I339" s="10" t="n">
        <v>2</v>
      </c>
      <c r="J339" s="10" t="n">
        <v>450000</v>
      </c>
      <c r="K339" s="10" t="inlineStr">
        <is>
          <t>Rp 900.000</t>
        </is>
      </c>
    </row>
    <row r="340">
      <c r="A340" s="10" t="inlineStr">
        <is>
          <t>INV-70070</t>
        </is>
      </c>
      <c r="B340" s="10" t="inlineStr">
        <is>
          <t>2026-01-22</t>
        </is>
      </c>
      <c r="C340" s="10" t="inlineStr">
        <is>
          <t>C1021</t>
        </is>
      </c>
      <c r="D340" s="10" t="inlineStr">
        <is>
          <t>loyal</t>
        </is>
      </c>
      <c r="E340" s="10" t="inlineStr">
        <is>
          <t xml:space="preserve">Offline store </t>
        </is>
      </c>
      <c r="F340" s="10" t="inlineStr">
        <is>
          <t>Lainnya</t>
        </is>
      </c>
      <c r="G340" s="10" t="inlineStr">
        <is>
          <t>rumah tangga</t>
        </is>
      </c>
      <c r="H340" s="10" t="inlineStr">
        <is>
          <t>Diffuser Aroma</t>
        </is>
      </c>
      <c r="I340" s="10" t="n">
        <v>1</v>
      </c>
      <c r="J340" s="10" t="n">
        <v>195000</v>
      </c>
      <c r="K340" s="10" t="n">
        <v>195000</v>
      </c>
    </row>
    <row r="341">
      <c r="A341" s="10" t="inlineStr">
        <is>
          <t>INV-70812</t>
        </is>
      </c>
      <c r="B341" s="10" t="inlineStr">
        <is>
          <t>2025-09-19</t>
        </is>
      </c>
      <c r="C341" s="10" t="inlineStr">
        <is>
          <t>C1229</t>
        </is>
      </c>
      <c r="D341" s="10" t="inlineStr">
        <is>
          <t>occasional</t>
        </is>
      </c>
      <c r="E341" s="10" t="inlineStr">
        <is>
          <t>shopee</t>
        </is>
      </c>
      <c r="F341" s="10" t="inlineStr">
        <is>
          <t>Jabodetabek</t>
        </is>
      </c>
      <c r="G341" s="10" t="inlineStr">
        <is>
          <t>Elektronik</t>
        </is>
      </c>
      <c r="H341" s="10" t="inlineStr">
        <is>
          <t>Webcam HD</t>
        </is>
      </c>
      <c r="I341" s="10" t="n">
        <v>2</v>
      </c>
      <c r="J341" s="10" t="n">
        <v>210000</v>
      </c>
      <c r="K341" s="10" t="n">
        <v>420000</v>
      </c>
    </row>
    <row r="342">
      <c r="A342" s="10" t="inlineStr">
        <is>
          <t>INV-71507</t>
        </is>
      </c>
      <c r="B342" s="10" t="inlineStr">
        <is>
          <t>2026-02-10</t>
        </is>
      </c>
      <c r="C342" s="10" t="inlineStr">
        <is>
          <t>C1413</t>
        </is>
      </c>
      <c r="D342" s="10" t="inlineStr">
        <is>
          <t>occasional</t>
        </is>
      </c>
      <c r="E342" s="10" t="inlineStr">
        <is>
          <t>Shopee</t>
        </is>
      </c>
      <c r="F342" s="10" t="inlineStr">
        <is>
          <t>Jabodetabek</t>
        </is>
      </c>
      <c r="G342" s="10" t="inlineStr">
        <is>
          <t>kecantikan</t>
        </is>
      </c>
      <c r="H342" s="10" t="inlineStr">
        <is>
          <t>Masker Wajah (5s)</t>
        </is>
      </c>
      <c r="I342" s="10" t="n">
        <v>2</v>
      </c>
      <c r="J342" s="10" t="n">
        <v>55000</v>
      </c>
      <c r="K342" s="10" t="inlineStr">
        <is>
          <t>Rp 110.000</t>
        </is>
      </c>
    </row>
    <row r="343">
      <c r="A343" s="10" t="inlineStr">
        <is>
          <t>INV-71489</t>
        </is>
      </c>
      <c r="B343" s="10" t="inlineStr">
        <is>
          <t>2025-04-22</t>
        </is>
      </c>
      <c r="C343" s="10" t="inlineStr">
        <is>
          <t>C1409</t>
        </is>
      </c>
      <c r="D343" s="10" t="inlineStr">
        <is>
          <t>loyal</t>
        </is>
      </c>
      <c r="E343" s="10" t="inlineStr">
        <is>
          <t>Shopee</t>
        </is>
      </c>
      <c r="F343" s="10" t="inlineStr">
        <is>
          <t>Jawa Tengah</t>
        </is>
      </c>
      <c r="G343" s="10" t="inlineStr">
        <is>
          <t>Rumah Tangga</t>
        </is>
      </c>
      <c r="H343" s="10" t="inlineStr">
        <is>
          <t>Set Wadah Kedap</t>
        </is>
      </c>
      <c r="I343" s="10" t="n">
        <v>3</v>
      </c>
      <c r="J343" s="10" t="n">
        <v>135000</v>
      </c>
      <c r="K343" s="10" t="n">
        <v>405000</v>
      </c>
    </row>
    <row r="344">
      <c r="A344" s="10" t="inlineStr">
        <is>
          <t>INV-70342</t>
        </is>
      </c>
      <c r="B344" s="10" t="inlineStr">
        <is>
          <t>2025-03-22</t>
        </is>
      </c>
      <c r="C344" s="10" t="inlineStr">
        <is>
          <t>C1093</t>
        </is>
      </c>
      <c r="D344" s="10" t="inlineStr">
        <is>
          <t>champion</t>
        </is>
      </c>
      <c r="E344" s="10" t="inlineStr">
        <is>
          <t>TikTok Shop</t>
        </is>
      </c>
      <c r="F344" s="10" t="inlineStr">
        <is>
          <t>Jawa Tengah</t>
        </is>
      </c>
      <c r="G344" s="10" t="inlineStr">
        <is>
          <t>Rumah Tangga</t>
        </is>
      </c>
      <c r="H344" s="10" t="inlineStr">
        <is>
          <t>Set Wadah Kedap</t>
        </is>
      </c>
      <c r="I344" s="10" t="n">
        <v>1</v>
      </c>
      <c r="J344" s="10" t="n">
        <v>135000</v>
      </c>
      <c r="K344" s="10" t="n">
        <v>135000</v>
      </c>
    </row>
    <row r="345">
      <c r="A345" s="10" t="inlineStr">
        <is>
          <t>INV-70192</t>
        </is>
      </c>
      <c r="B345" s="10" t="inlineStr">
        <is>
          <t>2026-01-25</t>
        </is>
      </c>
      <c r="C345" s="10" t="inlineStr">
        <is>
          <t>C1054</t>
        </is>
      </c>
      <c r="D345" s="10" t="inlineStr">
        <is>
          <t>regular</t>
        </is>
      </c>
      <c r="E345" s="10" t="inlineStr">
        <is>
          <t>Tiktok Shop</t>
        </is>
      </c>
      <c r="F345" s="10" t="inlineStr">
        <is>
          <t>Jawa Timur</t>
        </is>
      </c>
      <c r="G345" s="10" t="inlineStr">
        <is>
          <t>Fashion</t>
        </is>
      </c>
      <c r="H345" s="10" t="inlineStr">
        <is>
          <t>Celana Chino</t>
        </is>
      </c>
      <c r="I345" s="10" t="n">
        <v>1</v>
      </c>
      <c r="J345" s="10" t="n">
        <v>195000</v>
      </c>
      <c r="K345" s="10" t="n">
        <v>195000</v>
      </c>
    </row>
    <row r="346">
      <c r="A346" s="10" t="inlineStr">
        <is>
          <t>INV-70338</t>
        </is>
      </c>
      <c r="B346" s="10" t="inlineStr">
        <is>
          <t>2025-04-03</t>
        </is>
      </c>
      <c r="C346" s="10" t="inlineStr">
        <is>
          <t>C1093</t>
        </is>
      </c>
      <c r="D346" s="10" t="inlineStr">
        <is>
          <t>champion</t>
        </is>
      </c>
      <c r="E346" s="10" t="inlineStr">
        <is>
          <t>Tokopedia</t>
        </is>
      </c>
      <c r="F346" s="10" t="inlineStr">
        <is>
          <t>Lainnya</t>
        </is>
      </c>
      <c r="G346" s="10" t="inlineStr">
        <is>
          <t>Rumah Tangga</t>
        </is>
      </c>
      <c r="H346" s="10" t="inlineStr">
        <is>
          <t>Organizer Laci</t>
        </is>
      </c>
      <c r="I346" s="10" t="n">
        <v>1</v>
      </c>
      <c r="J346" s="10" t="n">
        <v>78000</v>
      </c>
      <c r="K346" s="10" t="inlineStr">
        <is>
          <t>Rp 78.000</t>
        </is>
      </c>
    </row>
    <row r="347">
      <c r="A347" s="10" t="inlineStr">
        <is>
          <t>INV-71355</t>
        </is>
      </c>
      <c r="B347" s="10" t="inlineStr">
        <is>
          <t>2025-01-19</t>
        </is>
      </c>
      <c r="C347" s="10" t="inlineStr">
        <is>
          <t>C1374</t>
        </is>
      </c>
      <c r="D347" s="10" t="inlineStr">
        <is>
          <t>onetime</t>
        </is>
      </c>
      <c r="E347" s="10" t="inlineStr">
        <is>
          <t>TikTok Shop</t>
        </is>
      </c>
      <c r="F347" s="10" t="inlineStr">
        <is>
          <t>Jabodetabek</t>
        </is>
      </c>
      <c r="G347" s="10" t="inlineStr">
        <is>
          <t>Rumah Tangga</t>
        </is>
      </c>
      <c r="H347" s="10" t="inlineStr">
        <is>
          <t>Set Wadah Kedap</t>
        </is>
      </c>
      <c r="I347" s="10" t="n">
        <v>1</v>
      </c>
      <c r="J347" s="10" t="n">
        <v>135000</v>
      </c>
      <c r="K347" s="10" t="n">
        <v>135000</v>
      </c>
    </row>
    <row r="348">
      <c r="A348" s="10" t="inlineStr">
        <is>
          <t>INV-70955</t>
        </is>
      </c>
      <c r="B348" s="10" t="inlineStr">
        <is>
          <t>2025-04-01</t>
        </is>
      </c>
      <c r="C348" s="10" t="inlineStr">
        <is>
          <t>C1271</t>
        </is>
      </c>
      <c r="D348" s="10" t="inlineStr">
        <is>
          <t>regular</t>
        </is>
      </c>
      <c r="E348" s="10" t="inlineStr">
        <is>
          <t>SHOPEE</t>
        </is>
      </c>
      <c r="F348" s="10" t="inlineStr">
        <is>
          <t>Jawa Tengah</t>
        </is>
      </c>
      <c r="G348" s="10" t="inlineStr">
        <is>
          <t>Kecantikan</t>
        </is>
      </c>
      <c r="H348" s="10" t="inlineStr">
        <is>
          <t>Lip Tint</t>
        </is>
      </c>
      <c r="I348" s="10" t="n">
        <v>3</v>
      </c>
      <c r="J348" s="10" t="n">
        <v>65000</v>
      </c>
      <c r="K348" s="10" t="n">
        <v>195000</v>
      </c>
    </row>
    <row r="349">
      <c r="A349" s="10" t="inlineStr">
        <is>
          <t>INV-70537</t>
        </is>
      </c>
      <c r="B349" s="10" t="inlineStr">
        <is>
          <t>2025-01-10</t>
        </is>
      </c>
      <c r="C349" s="10" t="inlineStr">
        <is>
          <t>C1149</t>
        </is>
      </c>
      <c r="D349" s="10" t="inlineStr">
        <is>
          <t>loyal</t>
        </is>
      </c>
      <c r="E349" s="10" t="inlineStr">
        <is>
          <t>Offline Store</t>
        </is>
      </c>
      <c r="F349" s="10" t="inlineStr">
        <is>
          <t>Jawa Barat</t>
        </is>
      </c>
      <c r="G349" s="10" t="inlineStr">
        <is>
          <t>Kecantikan</t>
        </is>
      </c>
      <c r="H349" s="10" t="inlineStr">
        <is>
          <t>Lip Tint</t>
        </is>
      </c>
      <c r="I349" s="10" t="n">
        <v>1</v>
      </c>
      <c r="J349" s="10" t="n">
        <v>65000</v>
      </c>
      <c r="K349" s="10" t="inlineStr">
        <is>
          <t>Rp 65.000</t>
        </is>
      </c>
    </row>
    <row r="350">
      <c r="A350" s="10" t="inlineStr">
        <is>
          <t>INV-71409</t>
        </is>
      </c>
      <c r="B350" s="10" t="inlineStr">
        <is>
          <t>2025-09-01</t>
        </is>
      </c>
      <c r="C350" s="10" t="inlineStr">
        <is>
          <t>C1389</t>
        </is>
      </c>
      <c r="D350" s="10" t="inlineStr">
        <is>
          <t>regular</t>
        </is>
      </c>
      <c r="E350" s="10" t="inlineStr">
        <is>
          <t>shopee</t>
        </is>
      </c>
      <c r="F350" s="10" t="inlineStr">
        <is>
          <t>Jabodetabek</t>
        </is>
      </c>
      <c r="G350" s="10" t="inlineStr">
        <is>
          <t>Rumah Tangga</t>
        </is>
      </c>
      <c r="H350" s="10" t="inlineStr">
        <is>
          <t>Set Wadah Kedap</t>
        </is>
      </c>
      <c r="I350" s="10" t="n">
        <v>4</v>
      </c>
      <c r="J350" s="10" t="n">
        <v>135000</v>
      </c>
      <c r="K350" s="10" t="n">
        <v>540000</v>
      </c>
    </row>
    <row r="351">
      <c r="A351" s="10" t="inlineStr">
        <is>
          <t>INV-70512</t>
        </is>
      </c>
      <c r="B351" s="10" t="inlineStr">
        <is>
          <t>08/01/2025</t>
        </is>
      </c>
      <c r="C351" s="10" t="inlineStr">
        <is>
          <t>C1142</t>
        </is>
      </c>
      <c r="D351" s="10" t="inlineStr">
        <is>
          <t>champion</t>
        </is>
      </c>
      <c r="E351" s="10" t="inlineStr">
        <is>
          <t>offline store</t>
        </is>
      </c>
      <c r="F351" s="10" t="inlineStr">
        <is>
          <t>Lainnya</t>
        </is>
      </c>
      <c r="G351" s="10" t="inlineStr">
        <is>
          <t>Rumah Tangga</t>
        </is>
      </c>
      <c r="H351" s="10" t="inlineStr">
        <is>
          <t>Set Wadah Kedap</t>
        </is>
      </c>
      <c r="I351" s="10" t="n">
        <v>2</v>
      </c>
      <c r="J351" s="10" t="n">
        <v>135000</v>
      </c>
      <c r="K351" s="10" t="n">
        <v>270000</v>
      </c>
    </row>
    <row r="352">
      <c r="A352" s="10" t="inlineStr">
        <is>
          <t>INV-70283</t>
        </is>
      </c>
      <c r="B352" s="10" t="inlineStr">
        <is>
          <t>2026-01-17</t>
        </is>
      </c>
      <c r="C352" s="10" t="inlineStr">
        <is>
          <t>C1080</t>
        </is>
      </c>
      <c r="D352" s="10" t="inlineStr">
        <is>
          <t>regular</t>
        </is>
      </c>
      <c r="E352" s="10" t="inlineStr">
        <is>
          <t>TikTok Shop</t>
        </is>
      </c>
      <c r="F352" s="10" t="inlineStr">
        <is>
          <t>Sumatera</t>
        </is>
      </c>
      <c r="G352" s="10" t="inlineStr">
        <is>
          <t>Rumah Tangga</t>
        </is>
      </c>
      <c r="H352" s="10" t="inlineStr">
        <is>
          <t>Set Wadah Kedap</t>
        </is>
      </c>
      <c r="I352" s="10" t="n">
        <v>1</v>
      </c>
      <c r="J352" s="10" t="n">
        <v>135000</v>
      </c>
      <c r="K352" s="10" t="n">
        <v>135000</v>
      </c>
    </row>
    <row r="353">
      <c r="A353" s="10" t="inlineStr">
        <is>
          <t>INV-71348</t>
        </is>
      </c>
      <c r="B353" s="10" t="inlineStr">
        <is>
          <t>2025-09-14</t>
        </is>
      </c>
      <c r="C353" s="10" t="inlineStr">
        <is>
          <t>C1371</t>
        </is>
      </c>
      <c r="D353" s="10" t="inlineStr">
        <is>
          <t>regular</t>
        </is>
      </c>
      <c r="E353" s="10" t="inlineStr">
        <is>
          <t>Tiktok Shop</t>
        </is>
      </c>
      <c r="F353" s="10" t="inlineStr">
        <is>
          <t>Sumatera</t>
        </is>
      </c>
      <c r="G353" s="10" t="inlineStr">
        <is>
          <t>elektronik</t>
        </is>
      </c>
      <c r="H353" s="10" t="inlineStr">
        <is>
          <t>Smartwatch</t>
        </is>
      </c>
      <c r="I353" s="10" t="n">
        <v>2</v>
      </c>
      <c r="J353" s="10" t="n">
        <v>450000</v>
      </c>
      <c r="K353" s="10" t="inlineStr">
        <is>
          <t>Rp 900.000</t>
        </is>
      </c>
    </row>
    <row r="354">
      <c r="A354" s="10" t="inlineStr">
        <is>
          <t>INV-70670</t>
        </is>
      </c>
      <c r="B354" s="10" t="inlineStr">
        <is>
          <t>25 Feb 2025</t>
        </is>
      </c>
      <c r="C354" s="10" t="inlineStr">
        <is>
          <t>C1184</t>
        </is>
      </c>
      <c r="D354" s="10" t="inlineStr">
        <is>
          <t>loyal</t>
        </is>
      </c>
      <c r="E354" s="10" t="inlineStr">
        <is>
          <t>Shopee</t>
        </is>
      </c>
      <c r="F354" s="10" t="inlineStr">
        <is>
          <t>Jawa Barat</t>
        </is>
      </c>
      <c r="G354" s="10" t="inlineStr">
        <is>
          <t>Makanan</t>
        </is>
      </c>
      <c r="H354" s="10" t="inlineStr">
        <is>
          <t>Granola 500g</t>
        </is>
      </c>
      <c r="I354" s="10" t="n">
        <v>2</v>
      </c>
      <c r="J354" s="10" t="n">
        <v>92000</v>
      </c>
      <c r="K354" s="10" t="n">
        <v>184000</v>
      </c>
    </row>
    <row r="355">
      <c r="A355" s="10" t="inlineStr">
        <is>
          <t>INV-71504</t>
        </is>
      </c>
      <c r="B355" s="10" t="inlineStr">
        <is>
          <t>2025-10-17</t>
        </is>
      </c>
      <c r="C355" s="10" t="inlineStr">
        <is>
          <t>C1412</t>
        </is>
      </c>
      <c r="D355" s="10" t="inlineStr">
        <is>
          <t>champion</t>
        </is>
      </c>
      <c r="E355" s="10" t="inlineStr">
        <is>
          <t>Offline Store</t>
        </is>
      </c>
      <c r="F355" s="10" t="inlineStr">
        <is>
          <t>Jawa Barat</t>
        </is>
      </c>
      <c r="G355" s="10" t="inlineStr">
        <is>
          <t>Elektronik</t>
        </is>
      </c>
      <c r="H355" s="10" t="inlineStr">
        <is>
          <t>Keyboard Mekanik</t>
        </is>
      </c>
      <c r="I355" s="10" t="n">
        <v>2</v>
      </c>
      <c r="J355" s="10" t="n">
        <v>380000</v>
      </c>
      <c r="K355" s="10" t="n">
        <v>760000</v>
      </c>
    </row>
    <row r="356">
      <c r="A356" s="10" t="inlineStr">
        <is>
          <t>INV-70778</t>
        </is>
      </c>
      <c r="B356" s="10" t="inlineStr">
        <is>
          <t>03/06/2026</t>
        </is>
      </c>
      <c r="C356" s="10" t="inlineStr">
        <is>
          <t>C1220</t>
        </is>
      </c>
      <c r="D356" s="10" t="inlineStr">
        <is>
          <t>loyal</t>
        </is>
      </c>
      <c r="E356" s="10" t="inlineStr">
        <is>
          <t>Tokopedia</t>
        </is>
      </c>
      <c r="F356" s="10" t="inlineStr">
        <is>
          <t>Jabodetabek</t>
        </is>
      </c>
      <c r="G356" s="10" t="inlineStr">
        <is>
          <t>Fashion</t>
        </is>
      </c>
      <c r="H356" s="10" t="inlineStr">
        <is>
          <t>Celana Chino</t>
        </is>
      </c>
      <c r="I356" s="10" t="n">
        <v>1</v>
      </c>
      <c r="J356" s="10" t="n">
        <v>195000</v>
      </c>
      <c r="K356" s="10" t="n">
        <v>195000</v>
      </c>
    </row>
    <row r="357">
      <c r="A357" s="10" t="inlineStr">
        <is>
          <t>INV-71236</t>
        </is>
      </c>
      <c r="B357" s="10" t="inlineStr">
        <is>
          <t>2025-09-11</t>
        </is>
      </c>
      <c r="C357" s="10" t="inlineStr">
        <is>
          <t>C1349</t>
        </is>
      </c>
      <c r="D357" s="10" t="inlineStr">
        <is>
          <t>champion</t>
        </is>
      </c>
      <c r="E357" s="10" t="inlineStr">
        <is>
          <t>shopee</t>
        </is>
      </c>
      <c r="F357" s="10" t="inlineStr">
        <is>
          <t>Jabodetabek</t>
        </is>
      </c>
      <c r="G357" s="10" t="inlineStr">
        <is>
          <t>Rumah Tangga</t>
        </is>
      </c>
      <c r="H357" s="10" t="inlineStr">
        <is>
          <t>Set Wadah Kedap</t>
        </is>
      </c>
      <c r="I357" s="10" t="n">
        <v>1</v>
      </c>
      <c r="J357" s="10" t="n">
        <v>135000</v>
      </c>
      <c r="K357" s="10" t="n">
        <v>135000</v>
      </c>
    </row>
    <row r="358">
      <c r="A358" s="10" t="inlineStr">
        <is>
          <t>INV-71522</t>
        </is>
      </c>
      <c r="B358" s="10" t="inlineStr">
        <is>
          <t>2025-03-16</t>
        </is>
      </c>
      <c r="C358" s="10" t="inlineStr">
        <is>
          <t>C1419</t>
        </is>
      </c>
      <c r="D358" s="10" t="inlineStr">
        <is>
          <t>loyal</t>
        </is>
      </c>
      <c r="E358" s="10" t="inlineStr">
        <is>
          <t>Offline Store</t>
        </is>
      </c>
      <c r="F358" s="10" t="inlineStr">
        <is>
          <t>Jawa Barat</t>
        </is>
      </c>
      <c r="G358" s="10" t="inlineStr">
        <is>
          <t>elektronik</t>
        </is>
      </c>
      <c r="H358" s="10" t="inlineStr">
        <is>
          <t>Power Bank 20K</t>
        </is>
      </c>
      <c r="I358" s="10" t="n">
        <v>2</v>
      </c>
      <c r="J358" s="10" t="n">
        <v>185000</v>
      </c>
      <c r="K358" s="10" t="n">
        <v>370000</v>
      </c>
    </row>
    <row r="359">
      <c r="A359" s="10" t="inlineStr">
        <is>
          <t>INV-71114</t>
        </is>
      </c>
      <c r="B359" s="10" t="inlineStr">
        <is>
          <t>2026-04-08</t>
        </is>
      </c>
      <c r="C359" s="10" t="inlineStr">
        <is>
          <t>C1312</t>
        </is>
      </c>
      <c r="D359" s="10" t="inlineStr">
        <is>
          <t>champion</t>
        </is>
      </c>
      <c r="E359" s="10" t="inlineStr">
        <is>
          <t>Shopee</t>
        </is>
      </c>
      <c r="F359" s="10" t="inlineStr">
        <is>
          <t>Jawa Barat</t>
        </is>
      </c>
      <c r="G359" s="10" t="inlineStr">
        <is>
          <t>Kecantikan</t>
        </is>
      </c>
      <c r="H359" s="10" t="inlineStr">
        <is>
          <t>Masker Wajah (5s)</t>
        </is>
      </c>
      <c r="I359" s="10" t="n">
        <v>1</v>
      </c>
      <c r="J359" s="10" t="n">
        <v>55000</v>
      </c>
      <c r="K359" s="10" t="inlineStr">
        <is>
          <t>Rp 55.000</t>
        </is>
      </c>
    </row>
    <row r="360">
      <c r="A360" s="10" t="inlineStr">
        <is>
          <t>INV-70756</t>
        </is>
      </c>
      <c r="B360" s="10" t="inlineStr">
        <is>
          <t>2025-11-07</t>
        </is>
      </c>
      <c r="C360" s="10" t="inlineStr">
        <is>
          <t>C1211</t>
        </is>
      </c>
      <c r="D360" s="10" t="inlineStr">
        <is>
          <t>regular</t>
        </is>
      </c>
      <c r="E360" s="10" t="inlineStr">
        <is>
          <t>Shopee</t>
        </is>
      </c>
      <c r="F360" s="10" t="inlineStr">
        <is>
          <t>Jawa Timur</t>
        </is>
      </c>
      <c r="G360" s="10" t="inlineStr">
        <is>
          <t>Elektronik</t>
        </is>
      </c>
      <c r="H360" s="10" t="inlineStr">
        <is>
          <t>Earbuds TWS</t>
        </is>
      </c>
      <c r="I360" s="10" t="n">
        <v>1</v>
      </c>
      <c r="J360" s="10" t="n">
        <v>265000</v>
      </c>
      <c r="K360" s="10" t="n">
        <v>265000</v>
      </c>
    </row>
    <row r="361">
      <c r="A361" s="10" t="inlineStr">
        <is>
          <t>INV-70001</t>
        </is>
      </c>
      <c r="B361" s="10" t="inlineStr">
        <is>
          <t>06 Jun 2025</t>
        </is>
      </c>
      <c r="C361" s="10" t="inlineStr">
        <is>
          <t>C1000</t>
        </is>
      </c>
      <c r="D361" s="10" t="inlineStr">
        <is>
          <t>loyal</t>
        </is>
      </c>
      <c r="E361" s="10" t="inlineStr">
        <is>
          <t xml:space="preserve">Tokopedia </t>
        </is>
      </c>
      <c r="F361" s="10" t="inlineStr">
        <is>
          <t>Jawa Barat</t>
        </is>
      </c>
      <c r="G361" s="10" t="inlineStr">
        <is>
          <t>Elektronik</t>
        </is>
      </c>
      <c r="H361" s="10" t="inlineStr">
        <is>
          <t>Power Bank 20K</t>
        </is>
      </c>
      <c r="I361" s="10" t="n">
        <v>4</v>
      </c>
      <c r="J361" s="10" t="n">
        <v>185000</v>
      </c>
      <c r="K361" s="10" t="n">
        <v>740000</v>
      </c>
    </row>
    <row r="362">
      <c r="A362" s="10" t="inlineStr">
        <is>
          <t>INV-70046</t>
        </is>
      </c>
      <c r="B362" s="10" t="inlineStr">
        <is>
          <t>2025-07-27</t>
        </is>
      </c>
      <c r="C362" s="10" t="inlineStr">
        <is>
          <t>C1012</t>
        </is>
      </c>
      <c r="D362" s="10" t="inlineStr">
        <is>
          <t>loyal</t>
        </is>
      </c>
      <c r="E362" s="10" t="inlineStr">
        <is>
          <t>offline store</t>
        </is>
      </c>
      <c r="F362" s="10" t="inlineStr">
        <is>
          <t>Jabodetabek</t>
        </is>
      </c>
      <c r="G362" s="10" t="inlineStr">
        <is>
          <t>Fashion</t>
        </is>
      </c>
      <c r="H362" s="10" t="inlineStr">
        <is>
          <t>Dress Casual</t>
        </is>
      </c>
      <c r="I362" s="10" t="n">
        <v>1</v>
      </c>
      <c r="J362" s="10" t="n">
        <v>225000</v>
      </c>
      <c r="K362" s="10" t="inlineStr">
        <is>
          <t>Rp 225.000</t>
        </is>
      </c>
    </row>
    <row r="363">
      <c r="A363" s="10" t="inlineStr">
        <is>
          <t>INV-70608</t>
        </is>
      </c>
      <c r="B363" s="10" t="inlineStr">
        <is>
          <t>12/06/2026</t>
        </is>
      </c>
      <c r="C363" s="10" t="inlineStr">
        <is>
          <t>C1165</t>
        </is>
      </c>
      <c r="D363" s="10" t="inlineStr">
        <is>
          <t>regular</t>
        </is>
      </c>
      <c r="E363" s="10" t="inlineStr">
        <is>
          <t>Shopee</t>
        </is>
      </c>
      <c r="F363" s="10" t="inlineStr">
        <is>
          <t>Sumatera</t>
        </is>
      </c>
      <c r="G363" s="10" t="inlineStr">
        <is>
          <t>Kecantikan</t>
        </is>
      </c>
      <c r="H363" s="10" t="inlineStr">
        <is>
          <t>Masker Wajah (5s)</t>
        </is>
      </c>
      <c r="I363" s="10" t="n">
        <v>2</v>
      </c>
      <c r="J363" s="10" t="n">
        <v>55000</v>
      </c>
      <c r="K363" s="10" t="inlineStr">
        <is>
          <t>Rp 110.000</t>
        </is>
      </c>
    </row>
    <row r="364">
      <c r="A364" s="10" t="inlineStr">
        <is>
          <t>INV-71457</t>
        </is>
      </c>
      <c r="B364" s="10" t="inlineStr">
        <is>
          <t>2025-09-21</t>
        </is>
      </c>
      <c r="C364" s="10" t="inlineStr">
        <is>
          <t>C1403</t>
        </is>
      </c>
      <c r="D364" s="10" t="inlineStr">
        <is>
          <t>regular</t>
        </is>
      </c>
      <c r="E364" s="10" t="inlineStr">
        <is>
          <t>Offline Store</t>
        </is>
      </c>
      <c r="F364" s="10" t="inlineStr">
        <is>
          <t>Jabodetabek</t>
        </is>
      </c>
      <c r="G364" s="10" t="inlineStr">
        <is>
          <t>Elektronik</t>
        </is>
      </c>
      <c r="H364" s="10" t="inlineStr">
        <is>
          <t>Power Bank 20K</t>
        </is>
      </c>
      <c r="I364" s="10" t="n">
        <v>4</v>
      </c>
      <c r="J364" s="10" t="n">
        <v>185000</v>
      </c>
      <c r="K364" s="10" t="n">
        <v>740000</v>
      </c>
    </row>
    <row r="365">
      <c r="A365" s="10" t="inlineStr">
        <is>
          <t>INV-70864</t>
        </is>
      </c>
      <c r="B365" s="10" t="inlineStr">
        <is>
          <t>07 Jan 2026</t>
        </is>
      </c>
      <c r="C365" s="10" t="inlineStr">
        <is>
          <t>C1244</t>
        </is>
      </c>
      <c r="D365" s="10" t="inlineStr">
        <is>
          <t>regular</t>
        </is>
      </c>
      <c r="E365" s="10" t="inlineStr">
        <is>
          <t>Shopee</t>
        </is>
      </c>
      <c r="F365" s="10" t="inlineStr">
        <is>
          <t>Jabodetabek</t>
        </is>
      </c>
      <c r="G365" s="10" t="inlineStr">
        <is>
          <t>Kecantikan</t>
        </is>
      </c>
      <c r="H365" s="10" t="inlineStr">
        <is>
          <t>Masker Wajah (5s)</t>
        </is>
      </c>
      <c r="I365" s="10" t="n">
        <v>4</v>
      </c>
      <c r="J365" s="10" t="n">
        <v>55000</v>
      </c>
      <c r="K365" s="10" t="inlineStr">
        <is>
          <t>Rp 220.000</t>
        </is>
      </c>
    </row>
    <row r="366">
      <c r="A366" s="10" t="inlineStr">
        <is>
          <t>INV-70232</t>
        </is>
      </c>
      <c r="B366" s="10" t="inlineStr">
        <is>
          <t>2026-04-15</t>
        </is>
      </c>
      <c r="C366" s="10" t="inlineStr">
        <is>
          <t>C1066</t>
        </is>
      </c>
      <c r="D366" s="10" t="inlineStr">
        <is>
          <t>loyal</t>
        </is>
      </c>
      <c r="E366" s="10" t="inlineStr">
        <is>
          <t>Shopee</t>
        </is>
      </c>
      <c r="F366" s="10" t="inlineStr">
        <is>
          <t>Jabodetabek</t>
        </is>
      </c>
      <c r="G366" s="10" t="inlineStr">
        <is>
          <t>Makanan</t>
        </is>
      </c>
      <c r="H366" s="10" t="inlineStr">
        <is>
          <t>Madu Hutan 250ml</t>
        </is>
      </c>
      <c r="I366" s="10" t="n">
        <v>4</v>
      </c>
      <c r="J366" s="10" t="n">
        <v>110000</v>
      </c>
      <c r="K366" s="10" t="inlineStr">
        <is>
          <t>Rp 440.000</t>
        </is>
      </c>
    </row>
    <row r="367">
      <c r="A367" s="10" t="inlineStr">
        <is>
          <t>INV-70711</t>
        </is>
      </c>
      <c r="B367" s="10" t="inlineStr">
        <is>
          <t>2026-04-07</t>
        </is>
      </c>
      <c r="C367" s="10" t="inlineStr">
        <is>
          <t>C1196</t>
        </is>
      </c>
      <c r="D367" s="10" t="inlineStr">
        <is>
          <t>occasional</t>
        </is>
      </c>
      <c r="E367" s="10" t="inlineStr">
        <is>
          <t>Tokopedia</t>
        </is>
      </c>
      <c r="F367" s="10" t="inlineStr">
        <is>
          <t>Sumatera</t>
        </is>
      </c>
      <c r="G367" s="10" t="inlineStr">
        <is>
          <t>Rumah Tangga</t>
        </is>
      </c>
      <c r="H367" s="10" t="inlineStr">
        <is>
          <t>Karpet Bulu</t>
        </is>
      </c>
      <c r="I367" s="10" t="n">
        <v>1</v>
      </c>
      <c r="J367" s="10" t="n">
        <v>240000</v>
      </c>
      <c r="K367" s="10" t="n">
        <v>240000</v>
      </c>
    </row>
    <row r="368">
      <c r="A368" s="10" t="inlineStr">
        <is>
          <t>INV-70720</t>
        </is>
      </c>
      <c r="B368" s="10" t="inlineStr">
        <is>
          <t>2026-05-10</t>
        </is>
      </c>
      <c r="C368" s="10" t="inlineStr">
        <is>
          <t>C1199</t>
        </is>
      </c>
      <c r="D368" s="10" t="inlineStr">
        <is>
          <t>loyal</t>
        </is>
      </c>
      <c r="E368" s="10" t="inlineStr">
        <is>
          <t>Offline Store</t>
        </is>
      </c>
      <c r="F368" s="10" t="inlineStr">
        <is>
          <t>Jawa Tengah</t>
        </is>
      </c>
      <c r="G368" s="10" t="inlineStr">
        <is>
          <t>kecantikan</t>
        </is>
      </c>
      <c r="H368" s="10" t="inlineStr">
        <is>
          <t>Masker Wajah (5s)</t>
        </is>
      </c>
      <c r="I368" s="10" t="n">
        <v>1</v>
      </c>
      <c r="J368" s="10" t="n">
        <v>55000</v>
      </c>
      <c r="K368" s="10" t="n">
        <v>55000</v>
      </c>
    </row>
    <row r="369">
      <c r="A369" s="10" t="inlineStr">
        <is>
          <t>INV-70319</t>
        </is>
      </c>
      <c r="B369" s="10" t="inlineStr">
        <is>
          <t>2025-11-14</t>
        </is>
      </c>
      <c r="C369" s="10" t="inlineStr">
        <is>
          <t>C1088</t>
        </is>
      </c>
      <c r="D369" s="10" t="inlineStr">
        <is>
          <t>champion</t>
        </is>
      </c>
      <c r="E369" s="10" t="inlineStr">
        <is>
          <t>Shopee</t>
        </is>
      </c>
      <c r="F369" s="10" t="inlineStr">
        <is>
          <t>Jawa Tengah</t>
        </is>
      </c>
      <c r="G369" s="10" t="inlineStr">
        <is>
          <t>Rumah Tangga</t>
        </is>
      </c>
      <c r="H369" s="10" t="inlineStr">
        <is>
          <t>Set Wadah Kedap</t>
        </is>
      </c>
      <c r="I369" s="10" t="n">
        <v>3</v>
      </c>
      <c r="J369" s="10" t="n">
        <v>135000</v>
      </c>
      <c r="K369" s="10" t="n">
        <v>405000</v>
      </c>
    </row>
    <row r="370">
      <c r="A370" s="10" t="inlineStr">
        <is>
          <t>INV-70056</t>
        </is>
      </c>
      <c r="B370" s="10" t="inlineStr">
        <is>
          <t>17/01/2025</t>
        </is>
      </c>
      <c r="C370" s="10" t="inlineStr">
        <is>
          <t>C1016</t>
        </is>
      </c>
      <c r="D370" s="10" t="inlineStr">
        <is>
          <t>regular</t>
        </is>
      </c>
      <c r="E370" s="10" t="inlineStr">
        <is>
          <t>Shopee</t>
        </is>
      </c>
      <c r="F370" s="10" t="inlineStr">
        <is>
          <t>Jawa Timur</t>
        </is>
      </c>
      <c r="G370" s="10" t="inlineStr">
        <is>
          <t>Elektronik</t>
        </is>
      </c>
      <c r="H370" s="10" t="inlineStr">
        <is>
          <t>Smartwatch</t>
        </is>
      </c>
      <c r="I370" s="10" t="n">
        <v>1</v>
      </c>
      <c r="J370" s="10" t="n">
        <v>450000</v>
      </c>
      <c r="K370" s="10" t="inlineStr">
        <is>
          <t>Rp 450.000</t>
        </is>
      </c>
    </row>
    <row r="371">
      <c r="A371" s="10" t="inlineStr">
        <is>
          <t>INV-70002</t>
        </is>
      </c>
      <c r="B371" s="10" t="inlineStr">
        <is>
          <t>2026-06-23</t>
        </is>
      </c>
      <c r="C371" s="10" t="inlineStr">
        <is>
          <t>C1000</t>
        </is>
      </c>
      <c r="D371" s="10" t="inlineStr">
        <is>
          <t>loyal</t>
        </is>
      </c>
      <c r="E371" s="10" t="inlineStr">
        <is>
          <t>TikTok Shop</t>
        </is>
      </c>
      <c r="F371" s="10" t="inlineStr">
        <is>
          <t>Sumatera</t>
        </is>
      </c>
      <c r="G371" s="10" t="inlineStr">
        <is>
          <t>Elektronik</t>
        </is>
      </c>
      <c r="H371" s="10" t="inlineStr">
        <is>
          <t>Power Bank 20K</t>
        </is>
      </c>
      <c r="I371" s="10" t="n">
        <v>1</v>
      </c>
      <c r="J371" s="10" t="n">
        <v>185000</v>
      </c>
      <c r="K371" s="10" t="inlineStr">
        <is>
          <t>Rp 185.000</t>
        </is>
      </c>
    </row>
    <row r="372">
      <c r="A372" s="10" t="inlineStr">
        <is>
          <t>INV-70060</t>
        </is>
      </c>
      <c r="B372" s="10" t="inlineStr">
        <is>
          <t>2026-04-13</t>
        </is>
      </c>
      <c r="C372" s="10" t="inlineStr">
        <is>
          <t>C1017</t>
        </is>
      </c>
      <c r="D372" s="10" t="inlineStr">
        <is>
          <t>loyal</t>
        </is>
      </c>
      <c r="E372" s="10" t="inlineStr">
        <is>
          <t xml:space="preserve">Tokopedia </t>
        </is>
      </c>
      <c r="F372" s="10" t="inlineStr">
        <is>
          <t>Jabodetabek</t>
        </is>
      </c>
      <c r="G372" s="10" t="inlineStr">
        <is>
          <t>Fashion</t>
        </is>
      </c>
      <c r="H372" s="10" t="inlineStr">
        <is>
          <t>Celana Chino</t>
        </is>
      </c>
      <c r="I372" s="10" t="n">
        <v>4</v>
      </c>
      <c r="J372" s="10" t="n">
        <v>195000</v>
      </c>
      <c r="K372" s="10" t="inlineStr">
        <is>
          <t>Rp 780.000</t>
        </is>
      </c>
    </row>
    <row r="373">
      <c r="A373" s="10" t="inlineStr">
        <is>
          <t>INV-71192</t>
        </is>
      </c>
      <c r="B373" s="10" t="inlineStr">
        <is>
          <t>2025-08-08</t>
        </is>
      </c>
      <c r="C373" s="10" t="inlineStr">
        <is>
          <t>C1335</t>
        </is>
      </c>
      <c r="D373" s="10" t="inlineStr">
        <is>
          <t>regular</t>
        </is>
      </c>
      <c r="E373" s="10" t="inlineStr">
        <is>
          <t>Offline Store</t>
        </is>
      </c>
      <c r="F373" s="10" t="inlineStr">
        <is>
          <t>Jabodetabek</t>
        </is>
      </c>
      <c r="G373" s="10" t="inlineStr">
        <is>
          <t>Rumah Tangga</t>
        </is>
      </c>
      <c r="H373" s="10" t="inlineStr">
        <is>
          <t>Set Wadah Kedap</t>
        </is>
      </c>
      <c r="I373" s="10" t="n">
        <v>1</v>
      </c>
      <c r="J373" s="10" t="n">
        <v>135000</v>
      </c>
      <c r="K373" s="10" t="n">
        <v>135000</v>
      </c>
    </row>
    <row r="374">
      <c r="A374" s="10" t="inlineStr">
        <is>
          <t>INV-70249</t>
        </is>
      </c>
      <c r="B374" s="10" t="inlineStr">
        <is>
          <t>2025-08-01</t>
        </is>
      </c>
      <c r="C374" s="10" t="inlineStr">
        <is>
          <t>C1072</t>
        </is>
      </c>
      <c r="D374" s="10" t="inlineStr">
        <is>
          <t>champion</t>
        </is>
      </c>
      <c r="E374" s="10" t="inlineStr">
        <is>
          <t>Shopee</t>
        </is>
      </c>
      <c r="F374" s="10" t="inlineStr">
        <is>
          <t>Jawa Tengah</t>
        </is>
      </c>
      <c r="G374" s="10" t="inlineStr">
        <is>
          <t>elektronik</t>
        </is>
      </c>
      <c r="H374" s="10" t="inlineStr">
        <is>
          <t>Smartwatch</t>
        </is>
      </c>
      <c r="I374" s="10" t="n">
        <v>1</v>
      </c>
      <c r="J374" s="10" t="n">
        <v>450000</v>
      </c>
      <c r="K374" s="10" t="inlineStr">
        <is>
          <t>Rp 450.000</t>
        </is>
      </c>
    </row>
    <row r="375">
      <c r="A375" s="10" t="inlineStr">
        <is>
          <t>INV-71113</t>
        </is>
      </c>
      <c r="B375" s="10" t="inlineStr">
        <is>
          <t>20 Jan 2025</t>
        </is>
      </c>
      <c r="C375" s="10" t="inlineStr">
        <is>
          <t>C1312</t>
        </is>
      </c>
      <c r="D375" s="10" t="inlineStr">
        <is>
          <t>champion</t>
        </is>
      </c>
      <c r="E375" s="10" t="inlineStr">
        <is>
          <t>Tiktok Shop</t>
        </is>
      </c>
      <c r="F375" s="10" t="inlineStr">
        <is>
          <t>Jabodetabek</t>
        </is>
      </c>
      <c r="G375" s="10" t="inlineStr">
        <is>
          <t>Elektronik</t>
        </is>
      </c>
      <c r="H375" s="10" t="inlineStr">
        <is>
          <t>Power Bank 20K</t>
        </is>
      </c>
      <c r="I375" s="10" t="n">
        <v>3</v>
      </c>
      <c r="J375" s="10" t="n">
        <v>185000</v>
      </c>
      <c r="K375" s="10" t="n">
        <v>555000</v>
      </c>
    </row>
    <row r="376">
      <c r="A376" s="10" t="inlineStr">
        <is>
          <t>INV-70681</t>
        </is>
      </c>
      <c r="B376" s="10" t="inlineStr">
        <is>
          <t>04/10/2025</t>
        </is>
      </c>
      <c r="C376" s="10" t="inlineStr">
        <is>
          <t>C1186</t>
        </is>
      </c>
      <c r="D376" s="10" t="inlineStr">
        <is>
          <t>loyal</t>
        </is>
      </c>
      <c r="E376" s="10" t="inlineStr">
        <is>
          <t>Shopee</t>
        </is>
      </c>
      <c r="F376" s="10" t="inlineStr">
        <is>
          <t>Jabodetabek</t>
        </is>
      </c>
      <c r="G376" s="10" t="inlineStr">
        <is>
          <t>Fashion</t>
        </is>
      </c>
      <c r="H376" s="10" t="inlineStr">
        <is>
          <t>Dress Casual</t>
        </is>
      </c>
      <c r="I376" s="10" t="n">
        <v>2</v>
      </c>
      <c r="J376" s="10" t="n">
        <v>225000</v>
      </c>
      <c r="K376" s="10" t="n">
        <v>450000</v>
      </c>
    </row>
    <row r="377">
      <c r="A377" s="10" t="inlineStr">
        <is>
          <t>INV-70221</t>
        </is>
      </c>
      <c r="B377" s="10" t="inlineStr">
        <is>
          <t>2025-08-20</t>
        </is>
      </c>
      <c r="C377" s="10" t="inlineStr">
        <is>
          <t>C1061</t>
        </is>
      </c>
      <c r="D377" s="10" t="inlineStr">
        <is>
          <t>occasional</t>
        </is>
      </c>
      <c r="E377" s="10" t="inlineStr">
        <is>
          <t>Offline Store</t>
        </is>
      </c>
      <c r="F377" s="10" t="inlineStr">
        <is>
          <t>Jabodetabek</t>
        </is>
      </c>
      <c r="G377" s="10" t="inlineStr">
        <is>
          <t>Makanan</t>
        </is>
      </c>
      <c r="H377" s="10" t="inlineStr">
        <is>
          <t>Granola 500g</t>
        </is>
      </c>
      <c r="I377" s="10" t="n">
        <v>4</v>
      </c>
      <c r="J377" s="10" t="n">
        <v>92000</v>
      </c>
      <c r="K377" s="10" t="n">
        <v>368000</v>
      </c>
    </row>
    <row r="378">
      <c r="A378" s="10" t="inlineStr">
        <is>
          <t>INV-70144</t>
        </is>
      </c>
      <c r="B378" s="10" t="inlineStr">
        <is>
          <t>2025-12-13</t>
        </is>
      </c>
      <c r="C378" s="10" t="inlineStr">
        <is>
          <t>C1041</t>
        </is>
      </c>
      <c r="D378" s="10" t="inlineStr">
        <is>
          <t>onetime</t>
        </is>
      </c>
      <c r="E378" s="10" t="inlineStr">
        <is>
          <t>Tokopedia</t>
        </is>
      </c>
      <c r="F378" s="10" t="inlineStr">
        <is>
          <t>Jabodetabek</t>
        </is>
      </c>
      <c r="G378" s="10" t="inlineStr">
        <is>
          <t>Elektronik</t>
        </is>
      </c>
      <c r="H378" s="10" t="inlineStr">
        <is>
          <t>Earbuds TWS</t>
        </is>
      </c>
      <c r="I378" s="10" t="n">
        <v>1</v>
      </c>
      <c r="J378" s="10" t="n">
        <v>265000</v>
      </c>
      <c r="K378" s="10" t="n">
        <v>265000</v>
      </c>
    </row>
    <row r="379">
      <c r="A379" s="10" t="inlineStr">
        <is>
          <t>INV-70380</t>
        </is>
      </c>
      <c r="B379" s="10" t="inlineStr">
        <is>
          <t>2025-01-16</t>
        </is>
      </c>
      <c r="C379" s="10" t="inlineStr">
        <is>
          <t>C1110</t>
        </is>
      </c>
      <c r="D379" s="10" t="inlineStr">
        <is>
          <t>loyal</t>
        </is>
      </c>
      <c r="E379" s="10" t="inlineStr">
        <is>
          <t>Tokopedia</t>
        </is>
      </c>
      <c r="F379" s="10" t="inlineStr">
        <is>
          <t>Sumatera</t>
        </is>
      </c>
      <c r="G379" s="10" t="inlineStr">
        <is>
          <t>Rumah Tangga</t>
        </is>
      </c>
      <c r="H379" s="10" t="inlineStr">
        <is>
          <t>Diffuser Aroma</t>
        </is>
      </c>
      <c r="I379" s="10" t="n">
        <v>1</v>
      </c>
      <c r="J379" s="10" t="n">
        <v>195000</v>
      </c>
      <c r="K379" s="10" t="n">
        <v>195000</v>
      </c>
    </row>
    <row r="380">
      <c r="A380" s="10" t="inlineStr">
        <is>
          <t>INV-70190</t>
        </is>
      </c>
      <c r="B380" s="10" t="inlineStr">
        <is>
          <t>17/03/2026</t>
        </is>
      </c>
      <c r="C380" s="10" t="inlineStr">
        <is>
          <t>C1053</t>
        </is>
      </c>
      <c r="D380" s="10" t="inlineStr">
        <is>
          <t>regular</t>
        </is>
      </c>
      <c r="E380" s="10" t="inlineStr">
        <is>
          <t>Shopee</t>
        </is>
      </c>
      <c r="F380" s="10" t="inlineStr">
        <is>
          <t>Jabodetabek</t>
        </is>
      </c>
      <c r="G380" s="10" t="inlineStr">
        <is>
          <t>Rumah Tangga</t>
        </is>
      </c>
      <c r="H380" s="10" t="inlineStr">
        <is>
          <t>Set Wadah Kedap</t>
        </is>
      </c>
      <c r="I380" s="10" t="n">
        <v>3</v>
      </c>
      <c r="J380" s="10" t="n">
        <v>135000</v>
      </c>
      <c r="K380" s="10" t="n">
        <v>405000</v>
      </c>
    </row>
    <row r="381">
      <c r="A381" s="10" t="inlineStr">
        <is>
          <t>INV-70411</t>
        </is>
      </c>
      <c r="B381" s="10" t="inlineStr">
        <is>
          <t>2025-04-17</t>
        </is>
      </c>
      <c r="C381" s="10" t="inlineStr">
        <is>
          <t>C1113</t>
        </is>
      </c>
      <c r="D381" s="10" t="inlineStr">
        <is>
          <t>loyal</t>
        </is>
      </c>
      <c r="E381" s="10" t="inlineStr">
        <is>
          <t>Tokopedia</t>
        </is>
      </c>
      <c r="F381" s="10" t="inlineStr">
        <is>
          <t>Sumatera</t>
        </is>
      </c>
      <c r="G381" s="10" t="inlineStr">
        <is>
          <t>Rumah Tangga</t>
        </is>
      </c>
      <c r="H381" s="10" t="inlineStr">
        <is>
          <t>Set Wadah Kedap</t>
        </is>
      </c>
      <c r="I381" s="10" t="n">
        <v>3</v>
      </c>
      <c r="J381" s="10" t="n">
        <v>135000</v>
      </c>
      <c r="K381" s="10" t="n">
        <v>405000</v>
      </c>
    </row>
    <row r="382">
      <c r="A382" s="10" t="inlineStr">
        <is>
          <t>INV-70181</t>
        </is>
      </c>
      <c r="B382" s="10" t="inlineStr">
        <is>
          <t>2025-01-14</t>
        </is>
      </c>
      <c r="C382" s="10" t="inlineStr">
        <is>
          <t>C1051</t>
        </is>
      </c>
      <c r="D382" s="10" t="inlineStr">
        <is>
          <t>onetime</t>
        </is>
      </c>
      <c r="E382" s="10" t="inlineStr">
        <is>
          <t>offline store</t>
        </is>
      </c>
      <c r="F382" s="10" t="inlineStr">
        <is>
          <t>Jabodetabek</t>
        </is>
      </c>
      <c r="G382" s="10" t="inlineStr">
        <is>
          <t>Rumah Tangga</t>
        </is>
      </c>
      <c r="H382" s="10" t="inlineStr">
        <is>
          <t>Lampu Meja LED</t>
        </is>
      </c>
      <c r="I382" s="10" t="n">
        <v>2</v>
      </c>
      <c r="J382" s="10" t="n">
        <v>165000</v>
      </c>
      <c r="K382" s="10" t="n">
        <v>330000</v>
      </c>
    </row>
    <row r="383">
      <c r="A383" s="10" t="inlineStr">
        <is>
          <t>INV-70051</t>
        </is>
      </c>
      <c r="B383" s="10" t="inlineStr">
        <is>
          <t>2026-04-19</t>
        </is>
      </c>
      <c r="C383" s="10" t="inlineStr">
        <is>
          <t>C1012</t>
        </is>
      </c>
      <c r="D383" s="10" t="inlineStr">
        <is>
          <t>loyal</t>
        </is>
      </c>
      <c r="E383" s="10" t="inlineStr">
        <is>
          <t xml:space="preserve">Tokopedia </t>
        </is>
      </c>
      <c r="F383" s="10" t="inlineStr">
        <is>
          <t>Sumatera</t>
        </is>
      </c>
      <c r="G383" s="10" t="inlineStr">
        <is>
          <t>rumah tangga</t>
        </is>
      </c>
      <c r="H383" s="10" t="inlineStr">
        <is>
          <t>Set Wadah Kedap</t>
        </is>
      </c>
      <c r="I383" s="10" t="n">
        <v>2</v>
      </c>
      <c r="J383" s="10" t="n">
        <v>135000</v>
      </c>
      <c r="K383" s="10" t="n">
        <v>270000</v>
      </c>
    </row>
    <row r="384">
      <c r="A384" s="10" t="inlineStr">
        <is>
          <t>INV-70245</t>
        </is>
      </c>
      <c r="B384" s="10" t="inlineStr">
        <is>
          <t>2026-05-27</t>
        </is>
      </c>
      <c r="C384" s="10" t="inlineStr">
        <is>
          <t>C1070</t>
        </is>
      </c>
      <c r="D384" s="10" t="inlineStr">
        <is>
          <t>regular</t>
        </is>
      </c>
      <c r="E384" s="10" t="inlineStr">
        <is>
          <t>shopee</t>
        </is>
      </c>
      <c r="F384" s="10" t="inlineStr">
        <is>
          <t>Jabodetabek</t>
        </is>
      </c>
      <c r="G384" s="10" t="inlineStr">
        <is>
          <t>Makanan</t>
        </is>
      </c>
      <c r="H384" s="10" t="inlineStr">
        <is>
          <t>Granola 500g</t>
        </is>
      </c>
      <c r="I384" s="10" t="n">
        <v>1</v>
      </c>
      <c r="J384" s="10" t="n">
        <v>92000</v>
      </c>
      <c r="K384" s="10" t="n">
        <v>92000</v>
      </c>
    </row>
    <row r="385">
      <c r="A385" s="10" t="inlineStr">
        <is>
          <t>INV-70159</t>
        </is>
      </c>
      <c r="B385" s="10" t="inlineStr">
        <is>
          <t>2026-05-19</t>
        </is>
      </c>
      <c r="C385" s="10" t="inlineStr">
        <is>
          <t>C1048</t>
        </is>
      </c>
      <c r="D385" s="10" t="inlineStr">
        <is>
          <t>occasional</t>
        </is>
      </c>
      <c r="E385" s="10" t="inlineStr">
        <is>
          <t>Shopee</t>
        </is>
      </c>
      <c r="F385" s="10" t="inlineStr">
        <is>
          <t>Sumatera</t>
        </is>
      </c>
      <c r="G385" s="10" t="inlineStr">
        <is>
          <t>Fashion</t>
        </is>
      </c>
      <c r="H385" s="10" t="inlineStr">
        <is>
          <t>Dress Casual</t>
        </is>
      </c>
      <c r="I385" s="10" t="n">
        <v>2</v>
      </c>
      <c r="J385" s="10" t="n">
        <v>225000</v>
      </c>
      <c r="K385" s="10" t="n">
        <v>450000</v>
      </c>
    </row>
    <row r="386">
      <c r="A386" s="10" t="inlineStr">
        <is>
          <t>INV-71418</t>
        </is>
      </c>
      <c r="B386" s="10" t="inlineStr">
        <is>
          <t>2026-04-21</t>
        </is>
      </c>
      <c r="C386" s="10" t="inlineStr">
        <is>
          <t>C1392</t>
        </is>
      </c>
      <c r="D386" s="10" t="inlineStr">
        <is>
          <t>loyal</t>
        </is>
      </c>
      <c r="E386" s="10" t="inlineStr">
        <is>
          <t xml:space="preserve"> tokopedia</t>
        </is>
      </c>
      <c r="F386" s="10" t="inlineStr">
        <is>
          <t>Jabodetabek</t>
        </is>
      </c>
      <c r="G386" s="10" t="inlineStr">
        <is>
          <t>Kecantikan</t>
        </is>
      </c>
      <c r="H386" s="10" t="inlineStr">
        <is>
          <t>Masker Wajah (5s)</t>
        </is>
      </c>
      <c r="I386" s="10" t="n">
        <v>1</v>
      </c>
      <c r="J386" s="10" t="n">
        <v>55000</v>
      </c>
      <c r="K386" s="10" t="n">
        <v>55000</v>
      </c>
    </row>
    <row r="387">
      <c r="A387" s="10" t="inlineStr">
        <is>
          <t>INV-70645</t>
        </is>
      </c>
      <c r="B387" s="10" t="inlineStr">
        <is>
          <t>11/02/2026</t>
        </is>
      </c>
      <c r="C387" s="10" t="inlineStr">
        <is>
          <t>C1175</t>
        </is>
      </c>
      <c r="D387" s="10" t="inlineStr">
        <is>
          <t>occasional</t>
        </is>
      </c>
      <c r="E387" s="10" t="inlineStr">
        <is>
          <t>tiktok shop</t>
        </is>
      </c>
      <c r="F387" s="10" t="inlineStr">
        <is>
          <t>Jawa Timur</t>
        </is>
      </c>
      <c r="G387" s="10" t="inlineStr">
        <is>
          <t>Elektronik</t>
        </is>
      </c>
      <c r="H387" s="10" t="inlineStr">
        <is>
          <t>Power Bank 20K</t>
        </is>
      </c>
      <c r="I387" s="10" t="n">
        <v>3</v>
      </c>
      <c r="J387" s="10" t="n">
        <v>185000</v>
      </c>
      <c r="K387" s="10" t="n">
        <v>555000</v>
      </c>
    </row>
    <row r="388">
      <c r="A388" s="10" t="inlineStr">
        <is>
          <t>INV-70308</t>
        </is>
      </c>
      <c r="B388" s="10" t="inlineStr">
        <is>
          <t>2025-05-09</t>
        </is>
      </c>
      <c r="C388" s="10" t="inlineStr">
        <is>
          <t>C1087</t>
        </is>
      </c>
      <c r="D388" s="10" t="inlineStr">
        <is>
          <t>loyal</t>
        </is>
      </c>
      <c r="E388" s="10" t="inlineStr">
        <is>
          <t xml:space="preserve">Shopee </t>
        </is>
      </c>
      <c r="F388" s="10" t="inlineStr">
        <is>
          <t>Jawa Tengah</t>
        </is>
      </c>
      <c r="G388" s="10" t="inlineStr">
        <is>
          <t>Kecantikan</t>
        </is>
      </c>
      <c r="H388" s="10" t="inlineStr">
        <is>
          <t>Masker Wajah (5s)</t>
        </is>
      </c>
      <c r="I388" s="10" t="n">
        <v>1</v>
      </c>
      <c r="J388" s="10" t="n">
        <v>55000</v>
      </c>
      <c r="K388" s="10" t="n">
        <v>55000</v>
      </c>
    </row>
    <row r="389">
      <c r="A389" s="10" t="inlineStr">
        <is>
          <t>INV-71000</t>
        </is>
      </c>
      <c r="B389" s="10" t="inlineStr">
        <is>
          <t>2025-11-12</t>
        </is>
      </c>
      <c r="C389" s="10" t="inlineStr">
        <is>
          <t>C1287</t>
        </is>
      </c>
      <c r="D389" s="10" t="inlineStr">
        <is>
          <t>champion</t>
        </is>
      </c>
      <c r="E389" s="10" t="inlineStr">
        <is>
          <t>Tokopedia</t>
        </is>
      </c>
      <c r="F389" s="10" t="inlineStr">
        <is>
          <t>Jawa Tengah</t>
        </is>
      </c>
      <c r="G389" s="10" t="inlineStr">
        <is>
          <t>Rumah Tangga</t>
        </is>
      </c>
      <c r="H389" s="10" t="inlineStr">
        <is>
          <t>Organizer Laci</t>
        </is>
      </c>
      <c r="I389" s="10" t="n">
        <v>2</v>
      </c>
      <c r="J389" s="10" t="n">
        <v>78000</v>
      </c>
      <c r="K389" s="10" t="n">
        <v>156000</v>
      </c>
    </row>
    <row r="390">
      <c r="A390" s="10" t="inlineStr">
        <is>
          <t>INV-71152</t>
        </is>
      </c>
      <c r="B390" s="10" t="inlineStr">
        <is>
          <t>20 May 2026</t>
        </is>
      </c>
      <c r="C390" s="10" t="inlineStr">
        <is>
          <t>C1326</t>
        </is>
      </c>
      <c r="D390" s="10" t="inlineStr">
        <is>
          <t>loyal</t>
        </is>
      </c>
      <c r="E390" s="10" t="inlineStr">
        <is>
          <t>Offline Store</t>
        </is>
      </c>
      <c r="F390" s="10" t="inlineStr">
        <is>
          <t>Sumatera</t>
        </is>
      </c>
      <c r="G390" s="10" t="inlineStr">
        <is>
          <t>Rumah Tangga</t>
        </is>
      </c>
      <c r="H390" s="10" t="inlineStr">
        <is>
          <t>Set Wadah Kedap</t>
        </is>
      </c>
      <c r="I390" s="10" t="n">
        <v>3</v>
      </c>
      <c r="J390" s="10" t="n">
        <v>135000</v>
      </c>
      <c r="K390" s="10" t="n">
        <v>405000</v>
      </c>
    </row>
    <row r="391">
      <c r="A391" s="10" t="inlineStr">
        <is>
          <t>INV-71166</t>
        </is>
      </c>
      <c r="B391" s="10" t="inlineStr">
        <is>
          <t>2025-03-20</t>
        </is>
      </c>
      <c r="C391" s="10" t="inlineStr">
        <is>
          <t>C1330</t>
        </is>
      </c>
      <c r="D391" s="10" t="inlineStr">
        <is>
          <t>regular</t>
        </is>
      </c>
      <c r="E391" s="10" t="inlineStr">
        <is>
          <t>Tokopedia</t>
        </is>
      </c>
      <c r="F391" s="10" t="inlineStr">
        <is>
          <t>Jawa Barat</t>
        </is>
      </c>
      <c r="G391" s="10" t="inlineStr">
        <is>
          <t>Elektronik</t>
        </is>
      </c>
      <c r="H391" s="10" t="inlineStr">
        <is>
          <t>Keyboard Mekanik</t>
        </is>
      </c>
      <c r="I391" s="10" t="n">
        <v>1</v>
      </c>
      <c r="J391" s="10" t="n">
        <v>380000</v>
      </c>
      <c r="K391" s="10" t="n">
        <v>380000</v>
      </c>
    </row>
    <row r="392">
      <c r="A392" s="10" t="inlineStr">
        <is>
          <t>INV-70924</t>
        </is>
      </c>
      <c r="B392" s="10" t="inlineStr">
        <is>
          <t>2025-02-17</t>
        </is>
      </c>
      <c r="C392" s="10" t="inlineStr">
        <is>
          <t>C1261</t>
        </is>
      </c>
      <c r="D392" s="10" t="inlineStr">
        <is>
          <t>champion</t>
        </is>
      </c>
      <c r="E392" s="10" t="inlineStr">
        <is>
          <t>Shopee</t>
        </is>
      </c>
      <c r="F392" s="10" t="inlineStr">
        <is>
          <t>Jabodetabek</t>
        </is>
      </c>
      <c r="G392" s="10" t="inlineStr">
        <is>
          <t>elektronik</t>
        </is>
      </c>
      <c r="H392" s="10" t="inlineStr">
        <is>
          <t>Webcam HD</t>
        </is>
      </c>
      <c r="I392" s="10" t="n">
        <v>1</v>
      </c>
      <c r="J392" s="10" t="n">
        <v>210000</v>
      </c>
      <c r="K392" s="10" t="inlineStr">
        <is>
          <t>Rp 210.000</t>
        </is>
      </c>
    </row>
    <row r="393">
      <c r="A393" s="10" t="inlineStr">
        <is>
          <t>INV-70493</t>
        </is>
      </c>
      <c r="B393" s="10" t="inlineStr">
        <is>
          <t>07/06/2025</t>
        </is>
      </c>
      <c r="C393" s="10" t="inlineStr">
        <is>
          <t>C1139</t>
        </is>
      </c>
      <c r="D393" s="10" t="inlineStr">
        <is>
          <t>champion</t>
        </is>
      </c>
      <c r="E393" s="10" t="inlineStr">
        <is>
          <t>TIKTOK SHOP</t>
        </is>
      </c>
      <c r="F393" s="10" t="inlineStr">
        <is>
          <t>Jabodetabek</t>
        </is>
      </c>
      <c r="G393" s="10" t="inlineStr">
        <is>
          <t>Rumah Tangga</t>
        </is>
      </c>
      <c r="H393" s="10" t="inlineStr">
        <is>
          <t>Set Wadah Kedap</t>
        </is>
      </c>
      <c r="I393" s="10" t="n">
        <v>1</v>
      </c>
      <c r="J393" s="10" t="n">
        <v>135000</v>
      </c>
      <c r="K393" s="10" t="n">
        <v>135000</v>
      </c>
    </row>
    <row r="394">
      <c r="A394" s="10" t="inlineStr">
        <is>
          <t>INV-71104</t>
        </is>
      </c>
      <c r="B394" s="10" t="inlineStr">
        <is>
          <t>2025-05-17</t>
        </is>
      </c>
      <c r="C394" s="10" t="inlineStr">
        <is>
          <t>C1310</t>
        </is>
      </c>
      <c r="D394" s="10" t="inlineStr">
        <is>
          <t>loyal</t>
        </is>
      </c>
      <c r="E394" s="10" t="inlineStr">
        <is>
          <t>Tokopedia</t>
        </is>
      </c>
      <c r="F394" s="10" t="inlineStr">
        <is>
          <t>Jawa Barat</t>
        </is>
      </c>
      <c r="G394" s="10" t="inlineStr">
        <is>
          <t>Elektronik</t>
        </is>
      </c>
      <c r="H394" s="10" t="inlineStr">
        <is>
          <t>Webcam HD</t>
        </is>
      </c>
      <c r="I394" s="10" t="n">
        <v>4</v>
      </c>
      <c r="J394" s="10" t="n">
        <v>210000</v>
      </c>
      <c r="K394" s="10" t="n">
        <v>840000</v>
      </c>
    </row>
    <row r="395">
      <c r="A395" s="10" t="inlineStr">
        <is>
          <t>INV-70078</t>
        </is>
      </c>
      <c r="B395" s="10" t="inlineStr">
        <is>
          <t>2026-05-26</t>
        </is>
      </c>
      <c r="C395" s="10" t="inlineStr">
        <is>
          <t>C1025</t>
        </is>
      </c>
      <c r="D395" s="10" t="inlineStr">
        <is>
          <t>loyal</t>
        </is>
      </c>
      <c r="E395" s="10" t="inlineStr">
        <is>
          <t>Offline Store</t>
        </is>
      </c>
      <c r="F395" s="10" t="inlineStr">
        <is>
          <t>Jawa Barat</t>
        </is>
      </c>
      <c r="G395" s="10" t="inlineStr">
        <is>
          <t>Fashion</t>
        </is>
      </c>
      <c r="H395" s="10" t="inlineStr">
        <is>
          <t>Kemeja Linen</t>
        </is>
      </c>
      <c r="I395" s="10" t="n">
        <v>4</v>
      </c>
      <c r="J395" s="10" t="n">
        <v>185000</v>
      </c>
      <c r="K395" s="10" t="n">
        <v>740000</v>
      </c>
    </row>
    <row r="396">
      <c r="A396" s="10" t="inlineStr">
        <is>
          <t>INV-71183</t>
        </is>
      </c>
      <c r="B396" s="10" t="inlineStr">
        <is>
          <t>2026-04-25</t>
        </is>
      </c>
      <c r="C396" s="10" t="inlineStr">
        <is>
          <t>C1334</t>
        </is>
      </c>
      <c r="D396" s="10" t="inlineStr">
        <is>
          <t>champion</t>
        </is>
      </c>
      <c r="E396" s="10" t="inlineStr">
        <is>
          <t xml:space="preserve"> tokopedia</t>
        </is>
      </c>
      <c r="F396" s="10" t="inlineStr">
        <is>
          <t>Jawa Barat</t>
        </is>
      </c>
      <c r="G396" s="10" t="inlineStr">
        <is>
          <t>Fashion</t>
        </is>
      </c>
      <c r="H396" s="10" t="inlineStr">
        <is>
          <t>Celana Chino</t>
        </is>
      </c>
      <c r="I396" s="10" t="n">
        <v>1</v>
      </c>
      <c r="J396" s="10" t="n">
        <v>195000</v>
      </c>
      <c r="K396" s="10" t="n">
        <v>195000</v>
      </c>
    </row>
    <row r="397">
      <c r="A397" s="10" t="inlineStr">
        <is>
          <t>INV-70844</t>
        </is>
      </c>
      <c r="B397" s="10" t="inlineStr">
        <is>
          <t>23 Jan 2026</t>
        </is>
      </c>
      <c r="C397" s="10" t="inlineStr">
        <is>
          <t>C1237</t>
        </is>
      </c>
      <c r="D397" s="10" t="inlineStr">
        <is>
          <t>champion</t>
        </is>
      </c>
      <c r="E397" s="10" t="inlineStr">
        <is>
          <t>Shopee</t>
        </is>
      </c>
      <c r="F397" s="10" t="inlineStr">
        <is>
          <t>Sumatera</t>
        </is>
      </c>
      <c r="G397" s="10" t="inlineStr">
        <is>
          <t>Kecantikan</t>
        </is>
      </c>
      <c r="H397" s="10" t="inlineStr">
        <is>
          <t>Masker Wajah (5s)</t>
        </is>
      </c>
      <c r="I397" s="10" t="n">
        <v>1</v>
      </c>
      <c r="J397" s="10" t="n">
        <v>55000</v>
      </c>
      <c r="K397" s="10" t="n">
        <v>55000</v>
      </c>
    </row>
    <row r="398">
      <c r="A398" s="10" t="inlineStr">
        <is>
          <t>INV-71247</t>
        </is>
      </c>
      <c r="B398" s="10" t="inlineStr">
        <is>
          <t>25/04/2025</t>
        </is>
      </c>
      <c r="C398" s="10" t="inlineStr">
        <is>
          <t>C1352</t>
        </is>
      </c>
      <c r="D398" s="10" t="inlineStr">
        <is>
          <t>loyal</t>
        </is>
      </c>
      <c r="E398" s="10" t="inlineStr">
        <is>
          <t>Offline Store</t>
        </is>
      </c>
      <c r="F398" s="10" t="inlineStr">
        <is>
          <t>Jawa Tengah</t>
        </is>
      </c>
      <c r="G398" s="10" t="inlineStr">
        <is>
          <t>rumah tangga</t>
        </is>
      </c>
      <c r="H398" s="10" t="inlineStr">
        <is>
          <t>Set Wadah Kedap</t>
        </is>
      </c>
      <c r="I398" s="10" t="n">
        <v>2</v>
      </c>
      <c r="J398" s="10" t="n">
        <v>135000</v>
      </c>
      <c r="K398" s="10" t="n">
        <v>270000</v>
      </c>
    </row>
    <row r="399">
      <c r="A399" s="10" t="inlineStr">
        <is>
          <t>INV-70437</t>
        </is>
      </c>
      <c r="B399" s="10" t="inlineStr">
        <is>
          <t>15 Apr 2025</t>
        </is>
      </c>
      <c r="C399" s="10" t="inlineStr">
        <is>
          <t>C1123</t>
        </is>
      </c>
      <c r="D399" s="10" t="inlineStr">
        <is>
          <t>regular</t>
        </is>
      </c>
      <c r="E399" s="10" t="inlineStr">
        <is>
          <t xml:space="preserve">Offline store </t>
        </is>
      </c>
      <c r="F399" s="10" t="inlineStr">
        <is>
          <t>Jabodetabek</t>
        </is>
      </c>
      <c r="G399" s="10" t="inlineStr">
        <is>
          <t>makanan</t>
        </is>
      </c>
      <c r="H399" s="10" t="inlineStr">
        <is>
          <t>Granola 500g</t>
        </is>
      </c>
      <c r="I399" s="10" t="n">
        <v>1</v>
      </c>
      <c r="J399" s="10" t="n">
        <v>92000</v>
      </c>
      <c r="K399" s="10" t="inlineStr">
        <is>
          <t>Rp 92.000</t>
        </is>
      </c>
    </row>
    <row r="400">
      <c r="A400" s="10" t="inlineStr">
        <is>
          <t>INV-71421</t>
        </is>
      </c>
      <c r="B400" s="10" t="inlineStr">
        <is>
          <t>2025-07-20</t>
        </is>
      </c>
      <c r="C400" s="10" t="inlineStr">
        <is>
          <t>C1393</t>
        </is>
      </c>
      <c r="D400" s="10" t="inlineStr">
        <is>
          <t>regular</t>
        </is>
      </c>
      <c r="E400" s="10" t="inlineStr">
        <is>
          <t>Tokopedia</t>
        </is>
      </c>
      <c r="F400" s="10" t="inlineStr">
        <is>
          <t>Jawa Barat</t>
        </is>
      </c>
      <c r="G400" s="10" t="inlineStr">
        <is>
          <t>Rumah Tangga</t>
        </is>
      </c>
      <c r="H400" s="10" t="inlineStr">
        <is>
          <t>Organizer Laci</t>
        </is>
      </c>
      <c r="I400" s="10" t="n">
        <v>1</v>
      </c>
      <c r="J400" s="10" t="n">
        <v>78000</v>
      </c>
      <c r="K400" s="10" t="n">
        <v>78000</v>
      </c>
    </row>
    <row r="401">
      <c r="A401" s="10" t="inlineStr">
        <is>
          <t>INV-70591</t>
        </is>
      </c>
      <c r="B401" s="10" t="inlineStr">
        <is>
          <t>2026-04-09</t>
        </is>
      </c>
      <c r="C401" s="10" t="inlineStr">
        <is>
          <t>C1160</t>
        </is>
      </c>
      <c r="D401" s="10" t="inlineStr">
        <is>
          <t>occasional</t>
        </is>
      </c>
      <c r="E401" s="10" t="inlineStr">
        <is>
          <t>Tokopedia</t>
        </is>
      </c>
      <c r="F401" s="10" t="inlineStr">
        <is>
          <t>Jawa Timur</t>
        </is>
      </c>
      <c r="G401" s="10" t="inlineStr">
        <is>
          <t>Rumah Tangga</t>
        </is>
      </c>
      <c r="H401" s="10" t="inlineStr">
        <is>
          <t>Set Wadah Kedap</t>
        </is>
      </c>
      <c r="I401" s="10" t="n">
        <v>1</v>
      </c>
      <c r="J401" s="10" t="n">
        <v>135000</v>
      </c>
      <c r="K401" s="10" t="n">
        <v>135000</v>
      </c>
    </row>
    <row r="402">
      <c r="A402" s="10" t="inlineStr">
        <is>
          <t>INV-70974</t>
        </is>
      </c>
      <c r="B402" s="10" t="inlineStr">
        <is>
          <t>2025-05-19</t>
        </is>
      </c>
      <c r="C402" s="10" t="inlineStr">
        <is>
          <t>C1279</t>
        </is>
      </c>
      <c r="D402" s="10" t="inlineStr">
        <is>
          <t>loyal</t>
        </is>
      </c>
      <c r="E402" s="10" t="inlineStr">
        <is>
          <t>TikTok Shop</t>
        </is>
      </c>
      <c r="F402" s="10" t="inlineStr">
        <is>
          <t>Lainnya</t>
        </is>
      </c>
      <c r="G402" s="10" t="inlineStr">
        <is>
          <t>Fashion</t>
        </is>
      </c>
      <c r="H402" s="10" t="inlineStr">
        <is>
          <t>Dress Casual</t>
        </is>
      </c>
      <c r="I402" s="10" t="n">
        <v>1</v>
      </c>
      <c r="J402" s="10" t="n">
        <v>225000</v>
      </c>
      <c r="K402" s="10" t="inlineStr">
        <is>
          <t>Rp 225.000</t>
        </is>
      </c>
    </row>
    <row r="403">
      <c r="A403" s="10" t="inlineStr">
        <is>
          <t>INV-70694</t>
        </is>
      </c>
      <c r="B403" s="10" t="inlineStr">
        <is>
          <t>2026-06-01</t>
        </is>
      </c>
      <c r="C403" s="10" t="inlineStr">
        <is>
          <t>C1193</t>
        </is>
      </c>
      <c r="D403" s="10" t="inlineStr">
        <is>
          <t>loyal</t>
        </is>
      </c>
      <c r="E403" s="10" t="inlineStr">
        <is>
          <t>Shopee</t>
        </is>
      </c>
      <c r="F403" s="10" t="inlineStr">
        <is>
          <t>Jabodetabek</t>
        </is>
      </c>
      <c r="G403" s="10" t="inlineStr">
        <is>
          <t>Rumah Tangga</t>
        </is>
      </c>
      <c r="H403" s="10" t="inlineStr">
        <is>
          <t>Set Wadah Kedap</t>
        </is>
      </c>
      <c r="I403" s="10" t="n">
        <v>2</v>
      </c>
      <c r="J403" s="10" t="n">
        <v>135000</v>
      </c>
      <c r="K403" s="10" t="n">
        <v>270000</v>
      </c>
    </row>
    <row r="404">
      <c r="A404" s="10" t="inlineStr">
        <is>
          <t>INV-70006</t>
        </is>
      </c>
      <c r="B404" s="10" t="inlineStr">
        <is>
          <t>12 Apr 2025</t>
        </is>
      </c>
      <c r="C404" s="10" t="inlineStr">
        <is>
          <t>C1001</t>
        </is>
      </c>
      <c r="D404" s="10" t="inlineStr">
        <is>
          <t>occasional</t>
        </is>
      </c>
      <c r="E404" s="10" t="inlineStr">
        <is>
          <t>Shopee</t>
        </is>
      </c>
      <c r="F404" s="10" t="inlineStr">
        <is>
          <t>Jabodetabek</t>
        </is>
      </c>
      <c r="G404" s="10" t="inlineStr">
        <is>
          <t>Fashion</t>
        </is>
      </c>
      <c r="H404" s="10" t="inlineStr">
        <is>
          <t>Celana Chino</t>
        </is>
      </c>
      <c r="I404" s="10" t="n">
        <v>1</v>
      </c>
      <c r="J404" s="10" t="n">
        <v>195000</v>
      </c>
      <c r="K404" s="10" t="inlineStr">
        <is>
          <t>Rp 195.000</t>
        </is>
      </c>
    </row>
    <row r="405">
      <c r="A405" s="10" t="inlineStr">
        <is>
          <t>INV-70580</t>
        </is>
      </c>
      <c r="B405" s="10" t="inlineStr">
        <is>
          <t>2026-04-10</t>
        </is>
      </c>
      <c r="C405" s="10" t="inlineStr">
        <is>
          <t>C1157</t>
        </is>
      </c>
      <c r="D405" s="10" t="inlineStr">
        <is>
          <t>loyal</t>
        </is>
      </c>
      <c r="E405" s="10" t="inlineStr">
        <is>
          <t>shopee</t>
        </is>
      </c>
      <c r="F405" s="10" t="inlineStr">
        <is>
          <t>Jawa Barat</t>
        </is>
      </c>
      <c r="G405" s="10" t="inlineStr">
        <is>
          <t>Rumah Tangga</t>
        </is>
      </c>
      <c r="H405" s="10" t="inlineStr">
        <is>
          <t>Set Wadah Kedap</t>
        </is>
      </c>
      <c r="I405" s="10" t="n">
        <v>3</v>
      </c>
      <c r="J405" s="10" t="n">
        <v>135000</v>
      </c>
      <c r="K405" s="10" t="n">
        <v>405000</v>
      </c>
    </row>
    <row r="406">
      <c r="A406" s="10" t="inlineStr">
        <is>
          <t>INV-71206</t>
        </is>
      </c>
      <c r="B406" s="10" t="inlineStr">
        <is>
          <t>2025-02-15</t>
        </is>
      </c>
      <c r="C406" s="10" t="inlineStr">
        <is>
          <t>C1342</t>
        </is>
      </c>
      <c r="D406" s="10" t="inlineStr">
        <is>
          <t>occasional</t>
        </is>
      </c>
      <c r="E406" s="10" t="inlineStr">
        <is>
          <t>Shopee</t>
        </is>
      </c>
      <c r="F406" s="10" t="inlineStr">
        <is>
          <t>Jabodetabek</t>
        </is>
      </c>
      <c r="G406" s="10" t="inlineStr">
        <is>
          <t>Kecantikan</t>
        </is>
      </c>
      <c r="H406" s="10" t="inlineStr">
        <is>
          <t>Masker Wajah (5s)</t>
        </is>
      </c>
      <c r="I406" s="10" t="n">
        <v>1</v>
      </c>
      <c r="J406" s="10" t="n">
        <v>55000</v>
      </c>
      <c r="K406" s="10" t="n">
        <v>55000</v>
      </c>
    </row>
    <row r="407">
      <c r="A407" s="10" t="inlineStr">
        <is>
          <t>INV-70690</t>
        </is>
      </c>
      <c r="B407" s="10" t="inlineStr">
        <is>
          <t>2025-04-08</t>
        </is>
      </c>
      <c r="C407" s="10" t="inlineStr">
        <is>
          <t>C1189</t>
        </is>
      </c>
      <c r="D407" s="10" t="inlineStr">
        <is>
          <t>regular</t>
        </is>
      </c>
      <c r="E407" s="10" t="inlineStr">
        <is>
          <t>Shopee</t>
        </is>
      </c>
      <c r="F407" s="10" t="inlineStr">
        <is>
          <t>Lainnya</t>
        </is>
      </c>
      <c r="G407" s="10" t="inlineStr">
        <is>
          <t>Fashion</t>
        </is>
      </c>
      <c r="H407" s="10" t="inlineStr">
        <is>
          <t>Dress Casual</t>
        </is>
      </c>
      <c r="I407" s="10" t="n">
        <v>3</v>
      </c>
      <c r="J407" s="10" t="n">
        <v>225000</v>
      </c>
      <c r="K407" s="10" t="n">
        <v>675000</v>
      </c>
    </row>
    <row r="408">
      <c r="A408" s="10" t="inlineStr">
        <is>
          <t>INV-70819</t>
        </is>
      </c>
      <c r="B408" s="10" t="inlineStr">
        <is>
          <t>07/04/2026</t>
        </is>
      </c>
      <c r="C408" s="10" t="inlineStr">
        <is>
          <t>C1231</t>
        </is>
      </c>
      <c r="D408" s="10" t="inlineStr">
        <is>
          <t>loyal</t>
        </is>
      </c>
      <c r="E408" s="10" t="inlineStr">
        <is>
          <t>Tokopedia</t>
        </is>
      </c>
      <c r="F408" s="10" t="inlineStr">
        <is>
          <t>Jabodetabek</t>
        </is>
      </c>
      <c r="G408" s="10" t="inlineStr">
        <is>
          <t>Kecantikan</t>
        </is>
      </c>
      <c r="H408" s="10" t="inlineStr">
        <is>
          <t>Masker Wajah (5s)</t>
        </is>
      </c>
      <c r="I408" s="10" t="n">
        <v>1</v>
      </c>
      <c r="J408" s="10" t="n">
        <v>55000</v>
      </c>
      <c r="K408" s="10" t="n">
        <v>55000</v>
      </c>
    </row>
    <row r="409">
      <c r="A409" s="10" t="inlineStr">
        <is>
          <t>INV-71339</t>
        </is>
      </c>
      <c r="B409" s="10" t="inlineStr">
        <is>
          <t>2025-07-06</t>
        </is>
      </c>
      <c r="C409" s="10" t="inlineStr">
        <is>
          <t>C1369</t>
        </is>
      </c>
      <c r="D409" s="10" t="inlineStr">
        <is>
          <t>loyal</t>
        </is>
      </c>
      <c r="E409" s="10" t="inlineStr">
        <is>
          <t>Shopee</t>
        </is>
      </c>
      <c r="F409" s="10" t="inlineStr">
        <is>
          <t>Jawa Barat</t>
        </is>
      </c>
      <c r="G409" s="10" t="inlineStr">
        <is>
          <t>Rumah Tangga</t>
        </is>
      </c>
      <c r="H409" s="10" t="inlineStr">
        <is>
          <t>Set Wadah Kedap</t>
        </is>
      </c>
      <c r="I409" s="10" t="n">
        <v>1</v>
      </c>
      <c r="J409" s="10" t="n">
        <v>135000</v>
      </c>
      <c r="K409" s="10" t="n">
        <v>135000</v>
      </c>
    </row>
    <row r="410">
      <c r="A410" s="10" t="inlineStr">
        <is>
          <t>INV-70837</t>
        </is>
      </c>
      <c r="B410" s="10" t="inlineStr">
        <is>
          <t>2025-07-19</t>
        </is>
      </c>
      <c r="C410" s="10" t="inlineStr">
        <is>
          <t>C1236</t>
        </is>
      </c>
      <c r="D410" s="10" t="inlineStr">
        <is>
          <t>onetime</t>
        </is>
      </c>
      <c r="E410" s="10" t="inlineStr">
        <is>
          <t>Offline Store</t>
        </is>
      </c>
      <c r="F410" s="10" t="inlineStr">
        <is>
          <t>Jawa Barat</t>
        </is>
      </c>
      <c r="G410" s="10" t="inlineStr">
        <is>
          <t>rumah tangga</t>
        </is>
      </c>
      <c r="H410" s="10" t="inlineStr">
        <is>
          <t>Diffuser Aroma</t>
        </is>
      </c>
      <c r="I410" s="10" t="n">
        <v>2</v>
      </c>
      <c r="J410" s="10" t="n">
        <v>195000</v>
      </c>
      <c r="K410" s="10" t="n">
        <v>390000</v>
      </c>
    </row>
    <row r="411">
      <c r="A411" s="10" t="inlineStr">
        <is>
          <t>INV-70847</t>
        </is>
      </c>
      <c r="B411" s="10" t="inlineStr">
        <is>
          <t>2025-08-21</t>
        </is>
      </c>
      <c r="C411" s="10" t="inlineStr">
        <is>
          <t>C1237</t>
        </is>
      </c>
      <c r="D411" s="10" t="inlineStr">
        <is>
          <t>champion</t>
        </is>
      </c>
      <c r="E411" s="10" t="inlineStr">
        <is>
          <t>Shopee</t>
        </is>
      </c>
      <c r="F411" s="10" t="inlineStr">
        <is>
          <t>Jabodetabek</t>
        </is>
      </c>
      <c r="G411" s="10" t="inlineStr">
        <is>
          <t>Rumah Tangga</t>
        </is>
      </c>
      <c r="H411" s="10" t="inlineStr">
        <is>
          <t>Diffuser Aroma</t>
        </is>
      </c>
      <c r="I411" s="10" t="n">
        <v>3</v>
      </c>
      <c r="J411" s="10" t="n">
        <v>195000</v>
      </c>
      <c r="K411" s="10" t="n">
        <v>585000</v>
      </c>
    </row>
    <row r="412">
      <c r="A412" s="10" t="inlineStr">
        <is>
          <t>INV-70971</t>
        </is>
      </c>
      <c r="B412" s="10" t="inlineStr">
        <is>
          <t>2025-04-22</t>
        </is>
      </c>
      <c r="C412" s="10" t="inlineStr">
        <is>
          <t>C1279</t>
        </is>
      </c>
      <c r="D412" s="10" t="inlineStr">
        <is>
          <t>loyal</t>
        </is>
      </c>
      <c r="E412" s="10" t="inlineStr">
        <is>
          <t>Tokopedia</t>
        </is>
      </c>
      <c r="F412" s="10" t="inlineStr">
        <is>
          <t>Jabodetabek</t>
        </is>
      </c>
      <c r="G412" s="10" t="inlineStr">
        <is>
          <t>Elektronik</t>
        </is>
      </c>
      <c r="H412" s="10" t="inlineStr">
        <is>
          <t>Webcam HD</t>
        </is>
      </c>
      <c r="I412" s="10" t="n">
        <v>2</v>
      </c>
      <c r="J412" s="10" t="n">
        <v>210000</v>
      </c>
      <c r="K412" s="10" t="n">
        <v>420000</v>
      </c>
    </row>
    <row r="413">
      <c r="A413" s="10" t="inlineStr">
        <is>
          <t>INV-70916</t>
        </is>
      </c>
      <c r="B413" s="10" t="inlineStr">
        <is>
          <t>2025-11-05</t>
        </is>
      </c>
      <c r="C413" s="10" t="inlineStr">
        <is>
          <t>C1258</t>
        </is>
      </c>
      <c r="D413" s="10" t="inlineStr">
        <is>
          <t>regular</t>
        </is>
      </c>
      <c r="E413" s="10" t="inlineStr">
        <is>
          <t>TikTok Shop</t>
        </is>
      </c>
      <c r="F413" s="10" t="inlineStr">
        <is>
          <t>Jawa Barat</t>
        </is>
      </c>
      <c r="G413" s="10" t="inlineStr">
        <is>
          <t>Rumah Tangga</t>
        </is>
      </c>
      <c r="H413" s="10" t="inlineStr">
        <is>
          <t>Diffuser Aroma</t>
        </is>
      </c>
      <c r="I413" s="10" t="n">
        <v>2</v>
      </c>
      <c r="J413" s="10" t="n">
        <v>195000</v>
      </c>
      <c r="K413" s="10" t="n">
        <v>390000</v>
      </c>
    </row>
    <row r="414">
      <c r="A414" s="10" t="inlineStr">
        <is>
          <t>INV-71208</t>
        </is>
      </c>
      <c r="B414" s="10" t="inlineStr">
        <is>
          <t>10/01/2025</t>
        </is>
      </c>
      <c r="C414" s="10" t="inlineStr">
        <is>
          <t>C1343</t>
        </is>
      </c>
      <c r="D414" s="10" t="inlineStr">
        <is>
          <t>regular</t>
        </is>
      </c>
      <c r="E414" s="10" t="inlineStr">
        <is>
          <t>Offline Store</t>
        </is>
      </c>
      <c r="F414" s="10" t="inlineStr">
        <is>
          <t>Jawa Barat</t>
        </is>
      </c>
      <c r="G414" s="10" t="inlineStr">
        <is>
          <t>Rumah Tangga</t>
        </is>
      </c>
      <c r="H414" s="10" t="inlineStr">
        <is>
          <t>Set Wadah Kedap</t>
        </is>
      </c>
      <c r="I414" s="10" t="n">
        <v>2</v>
      </c>
      <c r="J414" s="10" t="n">
        <v>135000</v>
      </c>
      <c r="K414" s="10" t="inlineStr">
        <is>
          <t>Rp 270.000</t>
        </is>
      </c>
    </row>
    <row r="415">
      <c r="A415" s="10" t="inlineStr">
        <is>
          <t>INV-70725</t>
        </is>
      </c>
      <c r="B415" s="10" t="inlineStr">
        <is>
          <t>2026-06-26</t>
        </is>
      </c>
      <c r="C415" s="10" t="inlineStr">
        <is>
          <t>C1202</t>
        </is>
      </c>
      <c r="D415" s="10" t="inlineStr">
        <is>
          <t>onetime</t>
        </is>
      </c>
      <c r="E415" s="10" t="inlineStr">
        <is>
          <t>Shopee</t>
        </is>
      </c>
      <c r="F415" s="10" t="inlineStr">
        <is>
          <t>Lainnya</t>
        </is>
      </c>
      <c r="G415" s="10" t="inlineStr">
        <is>
          <t>Rumah Tangga</t>
        </is>
      </c>
      <c r="H415" s="10" t="inlineStr">
        <is>
          <t>Set Wadah Kedap</t>
        </is>
      </c>
      <c r="I415" s="10" t="n">
        <v>3</v>
      </c>
      <c r="J415" s="10" t="n">
        <v>135000</v>
      </c>
      <c r="K415" s="10" t="inlineStr">
        <is>
          <t>Rp 405.000</t>
        </is>
      </c>
    </row>
    <row r="416">
      <c r="A416" s="10" t="inlineStr">
        <is>
          <t>INV-71379</t>
        </is>
      </c>
      <c r="B416" s="10" t="inlineStr">
        <is>
          <t>2025-07-20</t>
        </is>
      </c>
      <c r="C416" s="10" t="inlineStr">
        <is>
          <t>C1382</t>
        </is>
      </c>
      <c r="D416" s="10" t="inlineStr">
        <is>
          <t>regular</t>
        </is>
      </c>
      <c r="E416" s="10" t="inlineStr">
        <is>
          <t xml:space="preserve">Shopee </t>
        </is>
      </c>
      <c r="F416" s="10" t="inlineStr">
        <is>
          <t>Jawa Tengah</t>
        </is>
      </c>
      <c r="G416" s="10" t="inlineStr">
        <is>
          <t>fashion</t>
        </is>
      </c>
      <c r="H416" s="10" t="inlineStr">
        <is>
          <t>Celana Chino</t>
        </is>
      </c>
      <c r="I416" s="10" t="n">
        <v>1</v>
      </c>
      <c r="J416" s="10" t="n">
        <v>195000</v>
      </c>
      <c r="K416" s="10" t="inlineStr">
        <is>
          <t>Rp 195.000</t>
        </is>
      </c>
    </row>
    <row r="417">
      <c r="A417" s="10" t="inlineStr">
        <is>
          <t>INV-70087</t>
        </is>
      </c>
      <c r="B417" s="10" t="inlineStr">
        <is>
          <t>2025-03-13</t>
        </is>
      </c>
      <c r="C417" s="10" t="inlineStr">
        <is>
          <t>C1025</t>
        </is>
      </c>
      <c r="D417" s="10" t="inlineStr">
        <is>
          <t>loyal</t>
        </is>
      </c>
      <c r="E417" s="10" t="inlineStr">
        <is>
          <t>TikTok Shop</t>
        </is>
      </c>
      <c r="F417" s="10" t="inlineStr">
        <is>
          <t>Jabodetabek</t>
        </is>
      </c>
      <c r="G417" s="10" t="inlineStr">
        <is>
          <t>Elektronik</t>
        </is>
      </c>
      <c r="H417" s="10" t="inlineStr">
        <is>
          <t>Keyboard Mekanik</t>
        </is>
      </c>
      <c r="I417" s="10" t="n">
        <v>1</v>
      </c>
      <c r="J417" s="10" t="n">
        <v>380000</v>
      </c>
      <c r="K417" s="10" t="n">
        <v>380000</v>
      </c>
    </row>
    <row r="418">
      <c r="A418" s="10" t="inlineStr">
        <is>
          <t>INV-71131</t>
        </is>
      </c>
      <c r="B418" s="10" t="inlineStr">
        <is>
          <t>2025-10-23</t>
        </is>
      </c>
      <c r="C418" s="10" t="inlineStr">
        <is>
          <t>C1321</t>
        </is>
      </c>
      <c r="D418" s="10" t="inlineStr">
        <is>
          <t>occasional</t>
        </is>
      </c>
      <c r="E418" s="10" t="inlineStr">
        <is>
          <t>Offline Store</t>
        </is>
      </c>
      <c r="F418" s="10" t="inlineStr">
        <is>
          <t>Sumatera</t>
        </is>
      </c>
      <c r="G418" s="10" t="inlineStr">
        <is>
          <t>Elektronik</t>
        </is>
      </c>
      <c r="H418" s="10" t="inlineStr">
        <is>
          <t>Smartwatch</t>
        </is>
      </c>
      <c r="I418" s="10" t="n">
        <v>1</v>
      </c>
      <c r="J418" s="10" t="n">
        <v>450000</v>
      </c>
      <c r="K418" s="10" t="inlineStr">
        <is>
          <t>Rp 450.000</t>
        </is>
      </c>
    </row>
    <row r="419">
      <c r="A419" s="10" t="inlineStr">
        <is>
          <t>INV-70122</t>
        </is>
      </c>
      <c r="B419" s="10" t="inlineStr">
        <is>
          <t>2025-12-11</t>
        </is>
      </c>
      <c r="C419" s="10" t="inlineStr">
        <is>
          <t>C1038</t>
        </is>
      </c>
      <c r="D419" s="10" t="inlineStr">
        <is>
          <t>champion</t>
        </is>
      </c>
      <c r="E419" s="10" t="inlineStr">
        <is>
          <t>Shopee</t>
        </is>
      </c>
      <c r="F419" s="10" t="inlineStr">
        <is>
          <t>Jabodetabek</t>
        </is>
      </c>
      <c r="G419" s="10" t="inlineStr">
        <is>
          <t>Kecantikan</t>
        </is>
      </c>
      <c r="H419" s="10" t="inlineStr">
        <is>
          <t>Masker Wajah (5s)</t>
        </is>
      </c>
      <c r="I419" s="10" t="n">
        <v>2</v>
      </c>
      <c r="J419" s="10" t="n">
        <v>55000</v>
      </c>
      <c r="K419" s="10" t="n">
        <v>110000</v>
      </c>
    </row>
    <row r="420">
      <c r="A420" s="10" t="inlineStr">
        <is>
          <t>INV-70710</t>
        </is>
      </c>
      <c r="B420" s="10" t="inlineStr">
        <is>
          <t>2026-04-16</t>
        </is>
      </c>
      <c r="C420" s="10" t="inlineStr">
        <is>
          <t>C1196</t>
        </is>
      </c>
      <c r="D420" s="10" t="inlineStr">
        <is>
          <t>occasional</t>
        </is>
      </c>
      <c r="E420" s="10" t="inlineStr">
        <is>
          <t>TikTok Shop</t>
        </is>
      </c>
      <c r="F420" s="10" t="inlineStr">
        <is>
          <t>Jawa Timur</t>
        </is>
      </c>
      <c r="G420" s="10" t="inlineStr">
        <is>
          <t>Elektronik</t>
        </is>
      </c>
      <c r="H420" s="10" t="inlineStr">
        <is>
          <t>Power Bank 20K</t>
        </is>
      </c>
      <c r="I420" s="10" t="n">
        <v>4</v>
      </c>
      <c r="J420" s="10" t="n">
        <v>185000</v>
      </c>
      <c r="K420" s="10" t="n">
        <v>740000</v>
      </c>
    </row>
    <row r="421">
      <c r="A421" s="10" t="inlineStr">
        <is>
          <t>INV-71533</t>
        </is>
      </c>
      <c r="B421" s="10" t="inlineStr">
        <is>
          <t>2025-11-01</t>
        </is>
      </c>
      <c r="C421" s="10" t="inlineStr">
        <is>
          <t>C1422</t>
        </is>
      </c>
      <c r="D421" s="10" t="inlineStr">
        <is>
          <t>regular</t>
        </is>
      </c>
      <c r="E421" s="10" t="inlineStr">
        <is>
          <t>Tokopedia</t>
        </is>
      </c>
      <c r="F421" s="10" t="inlineStr">
        <is>
          <t>Jawa Barat</t>
        </is>
      </c>
      <c r="G421" s="10" t="inlineStr">
        <is>
          <t>Kecantikan</t>
        </is>
      </c>
      <c r="H421" s="10" t="inlineStr">
        <is>
          <t>Masker Wajah (5s)</t>
        </is>
      </c>
      <c r="I421" s="10" t="n">
        <v>3</v>
      </c>
      <c r="J421" s="10" t="n">
        <v>55000</v>
      </c>
      <c r="K421" s="10" t="n">
        <v>165000</v>
      </c>
    </row>
    <row r="422">
      <c r="A422" s="10" t="inlineStr">
        <is>
          <t>INV-70083</t>
        </is>
      </c>
      <c r="B422" s="10" t="inlineStr">
        <is>
          <t>04/05/2025</t>
        </is>
      </c>
      <c r="C422" s="10" t="inlineStr">
        <is>
          <t>C1025</t>
        </is>
      </c>
      <c r="D422" s="10" t="inlineStr">
        <is>
          <t>loyal</t>
        </is>
      </c>
      <c r="E422" s="10" t="inlineStr">
        <is>
          <t>Shopee</t>
        </is>
      </c>
      <c r="F422" s="10" t="inlineStr">
        <is>
          <t>Jawa Barat</t>
        </is>
      </c>
      <c r="G422" s="10" t="inlineStr">
        <is>
          <t>Rumah Tangga</t>
        </is>
      </c>
      <c r="H422" s="10" t="inlineStr">
        <is>
          <t>Diffuser Aroma</t>
        </is>
      </c>
      <c r="I422" s="10" t="n">
        <v>1</v>
      </c>
      <c r="J422" s="10" t="n">
        <v>195000</v>
      </c>
      <c r="K422" s="10" t="n">
        <v>195000</v>
      </c>
    </row>
    <row r="423">
      <c r="A423" s="10" t="inlineStr">
        <is>
          <t>INV-71018</t>
        </is>
      </c>
      <c r="B423" s="10" t="inlineStr">
        <is>
          <t>2025-01-22</t>
        </is>
      </c>
      <c r="C423" s="10" t="inlineStr">
        <is>
          <t>C1290</t>
        </is>
      </c>
      <c r="D423" s="10" t="inlineStr">
        <is>
          <t>loyal</t>
        </is>
      </c>
      <c r="E423" s="10" t="inlineStr">
        <is>
          <t>Shopee</t>
        </is>
      </c>
      <c r="F423" s="10" t="inlineStr">
        <is>
          <t>Jawa Barat</t>
        </is>
      </c>
      <c r="G423" s="10" t="inlineStr">
        <is>
          <t>Makanan</t>
        </is>
      </c>
      <c r="H423" s="10" t="inlineStr">
        <is>
          <t>Granola 500g</t>
        </is>
      </c>
      <c r="I423" s="10" t="n">
        <v>1</v>
      </c>
      <c r="J423" s="10" t="n">
        <v>92000</v>
      </c>
      <c r="K423" s="10" t="n">
        <v>92000</v>
      </c>
    </row>
    <row r="424">
      <c r="A424" s="10" t="inlineStr">
        <is>
          <t>INV-70417</t>
        </is>
      </c>
      <c r="B424" s="10" t="inlineStr">
        <is>
          <t>2025-09-06</t>
        </is>
      </c>
      <c r="C424" s="10" t="inlineStr">
        <is>
          <t>C1116</t>
        </is>
      </c>
      <c r="D424" s="10" t="inlineStr">
        <is>
          <t>regular</t>
        </is>
      </c>
      <c r="E424" s="10" t="inlineStr">
        <is>
          <t>Offline Store</t>
        </is>
      </c>
      <c r="F424" s="10" t="inlineStr">
        <is>
          <t>Sumatera</t>
        </is>
      </c>
      <c r="G424" s="10" t="inlineStr">
        <is>
          <t>Rumah Tangga</t>
        </is>
      </c>
      <c r="H424" s="10" t="inlineStr">
        <is>
          <t>Set Wadah Kedap</t>
        </is>
      </c>
      <c r="I424" s="10" t="n">
        <v>2</v>
      </c>
      <c r="J424" s="10" t="n">
        <v>135000</v>
      </c>
      <c r="K424" s="10" t="n">
        <v>270000</v>
      </c>
    </row>
    <row r="425">
      <c r="A425" s="10" t="inlineStr">
        <is>
          <t>INV-70640</t>
        </is>
      </c>
      <c r="B425" s="10" t="inlineStr">
        <is>
          <t>2026-05-03</t>
        </is>
      </c>
      <c r="C425" s="10" t="inlineStr">
        <is>
          <t>C1174</t>
        </is>
      </c>
      <c r="D425" s="10" t="inlineStr">
        <is>
          <t>loyal</t>
        </is>
      </c>
      <c r="E425" s="10" t="inlineStr">
        <is>
          <t>Tokopedia</t>
        </is>
      </c>
      <c r="F425" s="10" t="inlineStr">
        <is>
          <t>Jabodetabek</t>
        </is>
      </c>
      <c r="G425" s="10" t="inlineStr">
        <is>
          <t>Fashion</t>
        </is>
      </c>
      <c r="H425" s="10" t="inlineStr">
        <is>
          <t>Dress Casual</t>
        </is>
      </c>
      <c r="I425" s="10" t="n">
        <v>1</v>
      </c>
      <c r="J425" s="10" t="n">
        <v>225000</v>
      </c>
      <c r="K425" s="10" t="n">
        <v>225000</v>
      </c>
    </row>
    <row r="426">
      <c r="A426" s="10" t="inlineStr">
        <is>
          <t>INV-70022</t>
        </is>
      </c>
      <c r="B426" s="10" t="inlineStr">
        <is>
          <t>2025-03-08</t>
        </is>
      </c>
      <c r="C426" s="10" t="inlineStr">
        <is>
          <t>C1004</t>
        </is>
      </c>
      <c r="D426" s="10" t="inlineStr">
        <is>
          <t>loyal</t>
        </is>
      </c>
      <c r="E426" s="10" t="inlineStr">
        <is>
          <t>SHOPEE</t>
        </is>
      </c>
      <c r="F426" s="10" t="inlineStr">
        <is>
          <t>Jabodetabek</t>
        </is>
      </c>
      <c r="G426" s="10" t="inlineStr">
        <is>
          <t>Rumah Tangga</t>
        </is>
      </c>
      <c r="H426" s="10" t="inlineStr">
        <is>
          <t>Karpet Bulu</t>
        </is>
      </c>
      <c r="I426" s="10" t="n">
        <v>4</v>
      </c>
      <c r="J426" s="10" t="n">
        <v>240000</v>
      </c>
      <c r="K426" s="10" t="n">
        <v>960000</v>
      </c>
    </row>
    <row r="427">
      <c r="A427" s="10" t="inlineStr">
        <is>
          <t>INV-70679</t>
        </is>
      </c>
      <c r="B427" s="10" t="inlineStr">
        <is>
          <t>2025-10-03</t>
        </is>
      </c>
      <c r="C427" s="10" t="inlineStr">
        <is>
          <t>C1186</t>
        </is>
      </c>
      <c r="D427" s="10" t="inlineStr">
        <is>
          <t>loyal</t>
        </is>
      </c>
      <c r="E427" s="10" t="inlineStr">
        <is>
          <t>Offline Store</t>
        </is>
      </c>
      <c r="F427" s="10" t="inlineStr">
        <is>
          <t>Jawa Timur</t>
        </is>
      </c>
      <c r="G427" s="10" t="inlineStr">
        <is>
          <t>Elektronik</t>
        </is>
      </c>
      <c r="H427" s="10" t="inlineStr">
        <is>
          <t>Power Bank 20K</t>
        </is>
      </c>
      <c r="I427" s="10" t="n">
        <v>2</v>
      </c>
      <c r="J427" s="10" t="n">
        <v>185000</v>
      </c>
      <c r="K427" s="10" t="n">
        <v>370000</v>
      </c>
    </row>
    <row r="428">
      <c r="A428" s="10" t="inlineStr">
        <is>
          <t>INV-71094</t>
        </is>
      </c>
      <c r="B428" s="10" t="inlineStr">
        <is>
          <t>2025-03-20</t>
        </is>
      </c>
      <c r="C428" s="10" t="inlineStr">
        <is>
          <t>C1306</t>
        </is>
      </c>
      <c r="D428" s="10" t="inlineStr">
        <is>
          <t>loyal</t>
        </is>
      </c>
      <c r="E428" s="10" t="inlineStr">
        <is>
          <t>Tokopedia</t>
        </is>
      </c>
      <c r="F428" s="10" t="inlineStr">
        <is>
          <t>Jabodetabek</t>
        </is>
      </c>
      <c r="G428" s="10" t="inlineStr">
        <is>
          <t>Rumah Tangga</t>
        </is>
      </c>
      <c r="H428" s="10" t="inlineStr">
        <is>
          <t>Organizer Laci</t>
        </is>
      </c>
      <c r="I428" s="10" t="n">
        <v>4</v>
      </c>
      <c r="J428" s="10" t="n">
        <v>78000</v>
      </c>
      <c r="K428" s="10" t="n">
        <v>312000</v>
      </c>
    </row>
    <row r="429">
      <c r="A429" s="10" t="inlineStr">
        <is>
          <t>INV-70176</t>
        </is>
      </c>
      <c r="B429" s="10" t="inlineStr">
        <is>
          <t>2026-05-23</t>
        </is>
      </c>
      <c r="C429" s="10" t="inlineStr">
        <is>
          <t>C1050</t>
        </is>
      </c>
      <c r="D429" s="10" t="inlineStr">
        <is>
          <t>regular</t>
        </is>
      </c>
      <c r="E429" s="10" t="inlineStr">
        <is>
          <t>Tokopedia</t>
        </is>
      </c>
      <c r="F429" s="10" t="inlineStr">
        <is>
          <t>Jawa Barat</t>
        </is>
      </c>
      <c r="G429" s="10" t="inlineStr">
        <is>
          <t>Rumah Tangga</t>
        </is>
      </c>
      <c r="H429" s="10" t="inlineStr">
        <is>
          <t>Diffuser Aroma</t>
        </is>
      </c>
      <c r="I429" s="10" t="n">
        <v>3</v>
      </c>
      <c r="J429" s="10" t="n">
        <v>195000</v>
      </c>
      <c r="K429" s="10" t="n">
        <v>585000</v>
      </c>
    </row>
    <row r="430">
      <c r="A430" s="10" t="inlineStr">
        <is>
          <t>INV-71322</t>
        </is>
      </c>
      <c r="B430" s="10" t="inlineStr">
        <is>
          <t>2025-01-27</t>
        </is>
      </c>
      <c r="C430" s="10" t="inlineStr">
        <is>
          <t>C1364</t>
        </is>
      </c>
      <c r="D430" s="10" t="inlineStr">
        <is>
          <t>champion</t>
        </is>
      </c>
      <c r="E430" s="10" t="inlineStr">
        <is>
          <t>SHOPEE</t>
        </is>
      </c>
      <c r="F430" s="10" t="inlineStr">
        <is>
          <t>Jabodetabek</t>
        </is>
      </c>
      <c r="G430" s="10" t="inlineStr">
        <is>
          <t>Rumah Tangga</t>
        </is>
      </c>
      <c r="H430" s="10" t="inlineStr">
        <is>
          <t>Set Wadah Kedap</t>
        </is>
      </c>
      <c r="I430" s="10" t="n">
        <v>2</v>
      </c>
      <c r="J430" s="10" t="n">
        <v>135000</v>
      </c>
      <c r="K430" s="10" t="n">
        <v>270000</v>
      </c>
    </row>
    <row r="431">
      <c r="A431" s="10" t="inlineStr">
        <is>
          <t>INV-71297</t>
        </is>
      </c>
      <c r="B431" s="10" t="inlineStr">
        <is>
          <t>2026-01-26</t>
        </is>
      </c>
      <c r="C431" s="10" t="inlineStr">
        <is>
          <t>C1359</t>
        </is>
      </c>
      <c r="D431" s="10" t="inlineStr">
        <is>
          <t>champion</t>
        </is>
      </c>
      <c r="E431" s="10" t="inlineStr">
        <is>
          <t>TikTok Shop</t>
        </is>
      </c>
      <c r="F431" s="10" t="inlineStr">
        <is>
          <t>Jawa Barat</t>
        </is>
      </c>
      <c r="G431" s="10" t="inlineStr">
        <is>
          <t>Elektronik</t>
        </is>
      </c>
      <c r="H431" s="10" t="inlineStr">
        <is>
          <t>Keyboard Mekanik</t>
        </is>
      </c>
      <c r="I431" s="10" t="n">
        <v>4</v>
      </c>
      <c r="J431" s="10" t="n">
        <v>380000</v>
      </c>
      <c r="K431" s="10" t="n">
        <v>1520000</v>
      </c>
    </row>
    <row r="432">
      <c r="A432" s="10" t="inlineStr">
        <is>
          <t>INV-71498</t>
        </is>
      </c>
      <c r="B432" s="10" t="inlineStr">
        <is>
          <t>2025-04-22</t>
        </is>
      </c>
      <c r="C432" s="10" t="inlineStr">
        <is>
          <t>C1412</t>
        </is>
      </c>
      <c r="D432" s="10" t="inlineStr">
        <is>
          <t>champion</t>
        </is>
      </c>
      <c r="E432" s="10" t="inlineStr">
        <is>
          <t>SHOPEE</t>
        </is>
      </c>
      <c r="F432" s="10" t="inlineStr">
        <is>
          <t>Jawa Barat</t>
        </is>
      </c>
      <c r="G432" s="10" t="inlineStr">
        <is>
          <t>Rumah Tangga</t>
        </is>
      </c>
      <c r="H432" s="10" t="inlineStr">
        <is>
          <t>Organizer Laci</t>
        </is>
      </c>
      <c r="I432" s="10" t="n">
        <v>2</v>
      </c>
      <c r="J432" s="10" t="n">
        <v>78000</v>
      </c>
      <c r="K432" s="10" t="n">
        <v>156000</v>
      </c>
    </row>
    <row r="433">
      <c r="A433" s="10" t="inlineStr">
        <is>
          <t>INV-70434</t>
        </is>
      </c>
      <c r="B433" s="10" t="inlineStr">
        <is>
          <t>2025-03-04</t>
        </is>
      </c>
      <c r="C433" s="10" t="inlineStr">
        <is>
          <t>C1122</t>
        </is>
      </c>
      <c r="D433" s="10" t="inlineStr">
        <is>
          <t>loyal</t>
        </is>
      </c>
      <c r="E433" s="10" t="inlineStr">
        <is>
          <t>TikTok Shop</t>
        </is>
      </c>
      <c r="F433" s="10" t="inlineStr">
        <is>
          <t>Jabodetabek</t>
        </is>
      </c>
      <c r="G433" s="10" t="inlineStr">
        <is>
          <t>Rumah Tangga</t>
        </is>
      </c>
      <c r="H433" s="10" t="inlineStr">
        <is>
          <t>Diffuser Aroma</t>
        </is>
      </c>
      <c r="I433" s="10" t="n">
        <v>1</v>
      </c>
      <c r="J433" s="10" t="n">
        <v>195000</v>
      </c>
      <c r="K433" s="10" t="n">
        <v>195000</v>
      </c>
    </row>
    <row r="434">
      <c r="A434" s="10" t="inlineStr">
        <is>
          <t>INV-71134</t>
        </is>
      </c>
      <c r="B434" s="10" t="inlineStr">
        <is>
          <t>02 May 2026</t>
        </is>
      </c>
      <c r="C434" s="10" t="inlineStr">
        <is>
          <t>C1322</t>
        </is>
      </c>
      <c r="D434" s="10" t="inlineStr">
        <is>
          <t>loyal</t>
        </is>
      </c>
      <c r="E434" s="10" t="inlineStr">
        <is>
          <t>Shopee</t>
        </is>
      </c>
      <c r="F434" s="10" t="inlineStr">
        <is>
          <t>Jabodetabek</t>
        </is>
      </c>
      <c r="G434" s="10" t="inlineStr">
        <is>
          <t>Makanan</t>
        </is>
      </c>
      <c r="H434" s="10" t="inlineStr">
        <is>
          <t>Granola 500g</t>
        </is>
      </c>
      <c r="I434" s="10" t="n">
        <v>1</v>
      </c>
      <c r="J434" s="10" t="n">
        <v>92000</v>
      </c>
      <c r="K434" s="10" t="inlineStr">
        <is>
          <t>Rp 92.000</t>
        </is>
      </c>
    </row>
    <row r="435">
      <c r="A435" s="10" t="inlineStr">
        <is>
          <t>INV-71509</t>
        </is>
      </c>
      <c r="B435" s="10" t="inlineStr">
        <is>
          <t>2025-04-27</t>
        </is>
      </c>
      <c r="C435" s="10" t="inlineStr">
        <is>
          <t>C1414</t>
        </is>
      </c>
      <c r="D435" s="10" t="inlineStr">
        <is>
          <t>occasional</t>
        </is>
      </c>
      <c r="E435" s="10" t="inlineStr">
        <is>
          <t>TikTok Shop</t>
        </is>
      </c>
      <c r="F435" s="10" t="inlineStr">
        <is>
          <t>Sumatera</t>
        </is>
      </c>
      <c r="G435" s="10" t="inlineStr">
        <is>
          <t>fashion</t>
        </is>
      </c>
      <c r="H435" s="10" t="inlineStr">
        <is>
          <t>Jaket Denim</t>
        </is>
      </c>
      <c r="I435" s="10" t="n">
        <v>2</v>
      </c>
      <c r="J435" s="10" t="n">
        <v>320000</v>
      </c>
      <c r="K435" s="10" t="n">
        <v>640000</v>
      </c>
    </row>
    <row r="436">
      <c r="A436" s="10" t="inlineStr">
        <is>
          <t>INV-70201</t>
        </is>
      </c>
      <c r="B436" s="10" t="inlineStr">
        <is>
          <t>21 May 2025</t>
        </is>
      </c>
      <c r="C436" s="10" t="inlineStr">
        <is>
          <t>C1057</t>
        </is>
      </c>
      <c r="D436" s="10" t="inlineStr">
        <is>
          <t>regular</t>
        </is>
      </c>
      <c r="E436" s="10" t="inlineStr">
        <is>
          <t>Shopee</t>
        </is>
      </c>
      <c r="F436" s="10" t="inlineStr">
        <is>
          <t>Lainnya</t>
        </is>
      </c>
      <c r="G436" s="10" t="inlineStr">
        <is>
          <t>Makanan</t>
        </is>
      </c>
      <c r="H436" s="10" t="inlineStr">
        <is>
          <t>Granola 500g</t>
        </is>
      </c>
      <c r="I436" s="10" t="n">
        <v>2</v>
      </c>
      <c r="J436" s="10" t="n">
        <v>92000</v>
      </c>
      <c r="K436" s="10" t="n">
        <v>184000</v>
      </c>
    </row>
    <row r="437">
      <c r="A437" s="10" t="inlineStr">
        <is>
          <t>INV-71389</t>
        </is>
      </c>
      <c r="B437" s="10" t="inlineStr">
        <is>
          <t>2025-06-11</t>
        </is>
      </c>
      <c r="C437" s="10" t="inlineStr">
        <is>
          <t>C1384</t>
        </is>
      </c>
      <c r="D437" s="10" t="inlineStr">
        <is>
          <t>regular</t>
        </is>
      </c>
      <c r="E437" s="10" t="inlineStr">
        <is>
          <t>Tokopedia</t>
        </is>
      </c>
      <c r="F437" s="10" t="inlineStr">
        <is>
          <t>Sumatera</t>
        </is>
      </c>
      <c r="G437" s="10" t="inlineStr">
        <is>
          <t>rumah tangga</t>
        </is>
      </c>
      <c r="H437" s="10" t="inlineStr">
        <is>
          <t>Set Wadah Kedap</t>
        </is>
      </c>
      <c r="I437" s="10" t="n">
        <v>4</v>
      </c>
      <c r="J437" s="10" t="n">
        <v>135000</v>
      </c>
      <c r="K437" s="10" t="n">
        <v>540000</v>
      </c>
    </row>
    <row r="438">
      <c r="A438" s="10" t="inlineStr">
        <is>
          <t>INV-70586</t>
        </is>
      </c>
      <c r="B438" s="10" t="inlineStr">
        <is>
          <t>03 May 2025</t>
        </is>
      </c>
      <c r="C438" s="10" t="inlineStr">
        <is>
          <t>C1159</t>
        </is>
      </c>
      <c r="D438" s="10" t="inlineStr">
        <is>
          <t>regular</t>
        </is>
      </c>
      <c r="E438" s="10" t="inlineStr">
        <is>
          <t>Offline Store</t>
        </is>
      </c>
      <c r="F438" s="10" t="inlineStr">
        <is>
          <t>Sumatera</t>
        </is>
      </c>
      <c r="G438" s="10" t="inlineStr">
        <is>
          <t>Rumah Tangga</t>
        </is>
      </c>
      <c r="H438" s="10" t="inlineStr">
        <is>
          <t>Set Wadah Kedap</t>
        </is>
      </c>
      <c r="I438" s="10" t="n">
        <v>2</v>
      </c>
      <c r="J438" s="10" t="n">
        <v>135000</v>
      </c>
      <c r="K438" s="10" t="n">
        <v>270000</v>
      </c>
    </row>
    <row r="439">
      <c r="A439" s="10" t="inlineStr">
        <is>
          <t>INV-70713</t>
        </is>
      </c>
      <c r="B439" s="10" t="inlineStr">
        <is>
          <t>2026-01-19</t>
        </is>
      </c>
      <c r="C439" s="10" t="inlineStr">
        <is>
          <t>C1198</t>
        </is>
      </c>
      <c r="D439" s="10" t="inlineStr">
        <is>
          <t>occasional</t>
        </is>
      </c>
      <c r="E439" s="10" t="inlineStr">
        <is>
          <t>offline store</t>
        </is>
      </c>
      <c r="F439" s="10" t="inlineStr">
        <is>
          <t>Jabodetabek</t>
        </is>
      </c>
      <c r="G439" s="10" t="inlineStr">
        <is>
          <t>Elektronik</t>
        </is>
      </c>
      <c r="H439" s="10" t="inlineStr">
        <is>
          <t>Keyboard Mekanik</t>
        </is>
      </c>
      <c r="I439" s="10" t="n">
        <v>1</v>
      </c>
      <c r="J439" s="10" t="n">
        <v>380000</v>
      </c>
      <c r="K439" s="10" t="inlineStr">
        <is>
          <t>Rp 380.000</t>
        </is>
      </c>
    </row>
    <row r="440">
      <c r="A440" s="10" t="inlineStr">
        <is>
          <t>INV-70758</t>
        </is>
      </c>
      <c r="B440" s="10" t="inlineStr">
        <is>
          <t>2025-04-20</t>
        </is>
      </c>
      <c r="C440" s="10" t="inlineStr">
        <is>
          <t>C1212</t>
        </is>
      </c>
      <c r="D440" s="10" t="inlineStr">
        <is>
          <t>occasional</t>
        </is>
      </c>
      <c r="E440" s="10" t="inlineStr">
        <is>
          <t xml:space="preserve">Offline store </t>
        </is>
      </c>
      <c r="F440" s="10" t="inlineStr">
        <is>
          <t>Jabodetabek</t>
        </is>
      </c>
      <c r="G440" s="10" t="inlineStr">
        <is>
          <t>Kecantikan</t>
        </is>
      </c>
      <c r="H440" s="10" t="inlineStr">
        <is>
          <t>Masker Wajah (5s)</t>
        </is>
      </c>
      <c r="I440" s="10" t="n">
        <v>1</v>
      </c>
      <c r="J440" s="10" t="n">
        <v>55000</v>
      </c>
      <c r="K440" s="10" t="n">
        <v>55000</v>
      </c>
    </row>
    <row r="441">
      <c r="A441" s="10" t="inlineStr">
        <is>
          <t>INV-70914</t>
        </is>
      </c>
      <c r="B441" s="10" t="inlineStr">
        <is>
          <t>07 Mar 2026</t>
        </is>
      </c>
      <c r="C441" s="10" t="inlineStr">
        <is>
          <t>C1258</t>
        </is>
      </c>
      <c r="D441" s="10" t="inlineStr">
        <is>
          <t>regular</t>
        </is>
      </c>
      <c r="E441" s="10" t="inlineStr">
        <is>
          <t>Tokopedia</t>
        </is>
      </c>
      <c r="F441" s="10" t="inlineStr">
        <is>
          <t>Jawa Timur</t>
        </is>
      </c>
      <c r="G441" s="10" t="inlineStr">
        <is>
          <t>Fashion</t>
        </is>
      </c>
      <c r="H441" s="10" t="inlineStr">
        <is>
          <t>Kaos Premium</t>
        </is>
      </c>
      <c r="I441" s="10" t="n">
        <v>4</v>
      </c>
      <c r="J441" s="10" t="n">
        <v>95000</v>
      </c>
      <c r="K441" s="10" t="n">
        <v>380000</v>
      </c>
    </row>
    <row r="442">
      <c r="A442" s="10" t="inlineStr">
        <is>
          <t>INV-71090</t>
        </is>
      </c>
      <c r="B442" s="10" t="inlineStr">
        <is>
          <t>2025-04-08</t>
        </is>
      </c>
      <c r="C442" s="10" t="inlineStr">
        <is>
          <t>C1306</t>
        </is>
      </c>
      <c r="D442" s="10" t="inlineStr">
        <is>
          <t>loyal</t>
        </is>
      </c>
      <c r="E442" s="10" t="inlineStr">
        <is>
          <t>TikTok Shop</t>
        </is>
      </c>
      <c r="F442" s="10" t="inlineStr">
        <is>
          <t>Lainnya</t>
        </is>
      </c>
      <c r="G442" s="10" t="inlineStr">
        <is>
          <t>Elektronik</t>
        </is>
      </c>
      <c r="H442" s="10" t="inlineStr">
        <is>
          <t>Webcam HD</t>
        </is>
      </c>
      <c r="I442" s="10" t="n">
        <v>1</v>
      </c>
      <c r="J442" s="10" t="n">
        <v>210000</v>
      </c>
      <c r="K442" s="10" t="inlineStr">
        <is>
          <t>Rp 210.000</t>
        </is>
      </c>
    </row>
    <row r="443">
      <c r="A443" s="10" t="inlineStr">
        <is>
          <t>INV-70097</t>
        </is>
      </c>
      <c r="B443" s="10" t="inlineStr">
        <is>
          <t>2026-06-23</t>
        </is>
      </c>
      <c r="C443" s="10" t="inlineStr">
        <is>
          <t>C1029</t>
        </is>
      </c>
      <c r="D443" s="10" t="inlineStr">
        <is>
          <t>champion</t>
        </is>
      </c>
      <c r="E443" s="10" t="inlineStr">
        <is>
          <t>TikTok Shop</t>
        </is>
      </c>
      <c r="F443" s="10" t="inlineStr">
        <is>
          <t>Jabodetabek</t>
        </is>
      </c>
      <c r="G443" s="10" t="inlineStr">
        <is>
          <t>Kecantikan</t>
        </is>
      </c>
      <c r="H443" s="10" t="inlineStr">
        <is>
          <t>Masker Wajah (5s)</t>
        </is>
      </c>
      <c r="I443" s="10" t="n">
        <v>1</v>
      </c>
      <c r="J443" s="10" t="n">
        <v>55000</v>
      </c>
      <c r="K443" s="10" t="n">
        <v>55000</v>
      </c>
    </row>
    <row r="444">
      <c r="A444" s="10" t="inlineStr">
        <is>
          <t>INV-70264</t>
        </is>
      </c>
      <c r="B444" s="10" t="inlineStr">
        <is>
          <t>05/12/2025</t>
        </is>
      </c>
      <c r="C444" s="10" t="inlineStr">
        <is>
          <t>C1074</t>
        </is>
      </c>
      <c r="D444" s="10" t="inlineStr">
        <is>
          <t>regular</t>
        </is>
      </c>
      <c r="E444" s="10" t="inlineStr">
        <is>
          <t>TikTok Shop</t>
        </is>
      </c>
      <c r="F444" s="10" t="inlineStr">
        <is>
          <t>Jabodetabek</t>
        </is>
      </c>
      <c r="G444" s="10" t="inlineStr">
        <is>
          <t>Rumah Tangga</t>
        </is>
      </c>
      <c r="H444" s="10" t="inlineStr">
        <is>
          <t>Set Wadah Kedap</t>
        </is>
      </c>
      <c r="I444" s="10" t="n">
        <v>1</v>
      </c>
      <c r="J444" s="10" t="n">
        <v>135000</v>
      </c>
      <c r="K444" s="10" t="n">
        <v>135000</v>
      </c>
    </row>
    <row r="445">
      <c r="A445" s="10" t="inlineStr">
        <is>
          <t>INV-70583</t>
        </is>
      </c>
      <c r="B445" s="10" t="inlineStr">
        <is>
          <t>17 Sep 2025</t>
        </is>
      </c>
      <c r="C445" s="10" t="inlineStr">
        <is>
          <t>C1157</t>
        </is>
      </c>
      <c r="D445" s="10" t="inlineStr">
        <is>
          <t>loyal</t>
        </is>
      </c>
      <c r="E445" s="10" t="inlineStr">
        <is>
          <t xml:space="preserve">Offline store </t>
        </is>
      </c>
      <c r="F445" s="10" t="inlineStr">
        <is>
          <t>Sumatera</t>
        </is>
      </c>
      <c r="G445" s="10" t="inlineStr">
        <is>
          <t>Rumah Tangga</t>
        </is>
      </c>
      <c r="H445" s="10" t="inlineStr">
        <is>
          <t>Organizer Laci</t>
        </is>
      </c>
      <c r="I445" s="10" t="n">
        <v>1</v>
      </c>
      <c r="J445" s="10" t="n">
        <v>78000</v>
      </c>
      <c r="K445" s="10" t="inlineStr">
        <is>
          <t>Rp 78.000</t>
        </is>
      </c>
    </row>
    <row r="446">
      <c r="A446" s="10" t="inlineStr">
        <is>
          <t>INV-70697</t>
        </is>
      </c>
      <c r="B446" s="10" t="inlineStr">
        <is>
          <t>24/04/2026</t>
        </is>
      </c>
      <c r="C446" s="10" t="inlineStr">
        <is>
          <t>C1193</t>
        </is>
      </c>
      <c r="D446" s="10" t="inlineStr">
        <is>
          <t>loyal</t>
        </is>
      </c>
      <c r="E446" s="10" t="inlineStr">
        <is>
          <t>SHOPEE</t>
        </is>
      </c>
      <c r="F446" s="10" t="inlineStr">
        <is>
          <t>Jabodetabek</t>
        </is>
      </c>
      <c r="G446" s="10" t="inlineStr">
        <is>
          <t>Rumah Tangga</t>
        </is>
      </c>
      <c r="H446" s="10" t="inlineStr">
        <is>
          <t>Set Wadah Kedap</t>
        </is>
      </c>
      <c r="I446" s="10" t="n">
        <v>1</v>
      </c>
      <c r="J446" s="10" t="n">
        <v>135000</v>
      </c>
      <c r="K446" s="10" t="n">
        <v>135000</v>
      </c>
    </row>
    <row r="447">
      <c r="A447" s="10" t="inlineStr">
        <is>
          <t>INV-71442</t>
        </is>
      </c>
      <c r="B447" s="10" t="inlineStr">
        <is>
          <t>2025-03-15</t>
        </is>
      </c>
      <c r="C447" s="10" t="inlineStr">
        <is>
          <t>C1397</t>
        </is>
      </c>
      <c r="D447" s="10" t="inlineStr">
        <is>
          <t>occasional</t>
        </is>
      </c>
      <c r="E447" s="10" t="inlineStr">
        <is>
          <t xml:space="preserve"> tokopedia</t>
        </is>
      </c>
      <c r="F447" s="10" t="inlineStr">
        <is>
          <t>Jabodetabek</t>
        </is>
      </c>
      <c r="G447" s="10" t="inlineStr">
        <is>
          <t>Rumah Tangga</t>
        </is>
      </c>
      <c r="H447" s="10" t="inlineStr">
        <is>
          <t>Set Wadah Kedap</t>
        </is>
      </c>
      <c r="I447" s="10" t="n">
        <v>2</v>
      </c>
      <c r="J447" s="10" t="n">
        <v>135000</v>
      </c>
      <c r="K447" s="10" t="n">
        <v>270000</v>
      </c>
    </row>
    <row r="448">
      <c r="A448" s="10" t="inlineStr">
        <is>
          <t>INV-71263</t>
        </is>
      </c>
      <c r="B448" s="10" t="inlineStr">
        <is>
          <t>2026-03-04</t>
        </is>
      </c>
      <c r="C448" s="10" t="inlineStr">
        <is>
          <t>C1358</t>
        </is>
      </c>
      <c r="D448" s="10" t="inlineStr">
        <is>
          <t>champion</t>
        </is>
      </c>
      <c r="E448" s="10" t="inlineStr">
        <is>
          <t>Tokopedia</t>
        </is>
      </c>
      <c r="F448" s="10" t="inlineStr">
        <is>
          <t>Jawa Timur</t>
        </is>
      </c>
      <c r="G448" s="10" t="inlineStr">
        <is>
          <t>Rumah Tangga</t>
        </is>
      </c>
      <c r="H448" s="10" t="inlineStr">
        <is>
          <t>Set Wadah Kedap</t>
        </is>
      </c>
      <c r="I448" s="10" t="n">
        <v>2</v>
      </c>
      <c r="J448" s="10" t="n">
        <v>135000</v>
      </c>
      <c r="K448" s="10" t="n">
        <v>270000</v>
      </c>
    </row>
    <row r="449">
      <c r="A449" s="10" t="inlineStr">
        <is>
          <t>INV-70540</t>
        </is>
      </c>
      <c r="B449" s="10" t="inlineStr">
        <is>
          <t>2025-11-16</t>
        </is>
      </c>
      <c r="C449" s="10" t="inlineStr">
        <is>
          <t>C1149</t>
        </is>
      </c>
      <c r="D449" s="10" t="inlineStr">
        <is>
          <t>loyal</t>
        </is>
      </c>
      <c r="E449" s="10" t="inlineStr">
        <is>
          <t>SHOPEE</t>
        </is>
      </c>
      <c r="F449" s="10" t="inlineStr">
        <is>
          <t>Jabodetabek</t>
        </is>
      </c>
      <c r="G449" s="10" t="inlineStr">
        <is>
          <t>Kecantikan</t>
        </is>
      </c>
      <c r="H449" s="10" t="inlineStr">
        <is>
          <t>Masker Wajah (5s)</t>
        </is>
      </c>
      <c r="I449" s="10" t="n">
        <v>2</v>
      </c>
      <c r="J449" s="10" t="n">
        <v>55000</v>
      </c>
      <c r="K449" s="10" t="n">
        <v>110000</v>
      </c>
    </row>
    <row r="450">
      <c r="A450" s="10" t="inlineStr">
        <is>
          <t>INV-70382</t>
        </is>
      </c>
      <c r="B450" s="10" t="inlineStr">
        <is>
          <t>2025-11-04</t>
        </is>
      </c>
      <c r="C450" s="10" t="inlineStr">
        <is>
          <t>C1110</t>
        </is>
      </c>
      <c r="D450" s="10" t="inlineStr">
        <is>
          <t>loyal</t>
        </is>
      </c>
      <c r="E450" s="10" t="inlineStr">
        <is>
          <t>TikTok Shop</t>
        </is>
      </c>
      <c r="F450" s="10" t="inlineStr">
        <is>
          <t>Jabodetabek</t>
        </is>
      </c>
      <c r="G450" s="10" t="inlineStr">
        <is>
          <t>Elektronik</t>
        </is>
      </c>
      <c r="H450" s="10" t="inlineStr">
        <is>
          <t>Webcam HD</t>
        </is>
      </c>
      <c r="I450" s="10" t="n">
        <v>3</v>
      </c>
      <c r="J450" s="10" t="n">
        <v>210000</v>
      </c>
      <c r="K450" s="10" t="n">
        <v>630000</v>
      </c>
    </row>
    <row r="451">
      <c r="A451" s="10" t="inlineStr">
        <is>
          <t>INV-70301</t>
        </is>
      </c>
      <c r="B451" s="10" t="inlineStr">
        <is>
          <t>05/02/2025</t>
        </is>
      </c>
      <c r="C451" s="10" t="inlineStr">
        <is>
          <t>C1085</t>
        </is>
      </c>
      <c r="D451" s="10" t="inlineStr">
        <is>
          <t>occasional</t>
        </is>
      </c>
      <c r="E451" s="10" t="inlineStr">
        <is>
          <t xml:space="preserve"> tokopedia</t>
        </is>
      </c>
      <c r="F451" s="10" t="inlineStr">
        <is>
          <t>Sumatera</t>
        </is>
      </c>
      <c r="G451" s="10" t="inlineStr">
        <is>
          <t>Makanan</t>
        </is>
      </c>
      <c r="H451" s="10" t="inlineStr">
        <is>
          <t>Granola 500g</t>
        </is>
      </c>
      <c r="I451" s="10" t="n">
        <v>3</v>
      </c>
      <c r="J451" s="10" t="n">
        <v>92000</v>
      </c>
      <c r="K451" s="10" t="n">
        <v>276000</v>
      </c>
    </row>
    <row r="452">
      <c r="A452" s="10" t="inlineStr">
        <is>
          <t>INV-70626</t>
        </is>
      </c>
      <c r="B452" s="10" t="inlineStr">
        <is>
          <t>07/04/2025</t>
        </is>
      </c>
      <c r="C452" s="10" t="inlineStr">
        <is>
          <t>C1170</t>
        </is>
      </c>
      <c r="D452" s="10" t="inlineStr">
        <is>
          <t>champion</t>
        </is>
      </c>
      <c r="E452" s="10" t="inlineStr">
        <is>
          <t>TikTok Shop</t>
        </is>
      </c>
      <c r="F452" s="10" t="inlineStr">
        <is>
          <t>Jawa Tengah</t>
        </is>
      </c>
      <c r="G452" s="10" t="inlineStr">
        <is>
          <t>Rumah Tangga</t>
        </is>
      </c>
      <c r="H452" s="10" t="inlineStr">
        <is>
          <t>Set Wadah Kedap</t>
        </is>
      </c>
      <c r="I452" s="10" t="n">
        <v>3</v>
      </c>
      <c r="J452" s="10" t="n">
        <v>135000</v>
      </c>
      <c r="K452" s="10" t="n">
        <v>405000</v>
      </c>
    </row>
    <row r="453">
      <c r="A453" s="10" t="inlineStr">
        <is>
          <t>INV-70344</t>
        </is>
      </c>
      <c r="B453" s="10" t="inlineStr">
        <is>
          <t>2025-11-04</t>
        </is>
      </c>
      <c r="C453" s="10" t="inlineStr">
        <is>
          <t>C1093</t>
        </is>
      </c>
      <c r="D453" s="10" t="inlineStr">
        <is>
          <t>champion</t>
        </is>
      </c>
      <c r="E453" s="10" t="inlineStr">
        <is>
          <t>Tokopedia</t>
        </is>
      </c>
      <c r="F453" s="10" t="inlineStr">
        <is>
          <t>Lainnya</t>
        </is>
      </c>
      <c r="G453" s="10" t="inlineStr">
        <is>
          <t>Makanan</t>
        </is>
      </c>
      <c r="H453" s="10" t="inlineStr">
        <is>
          <t>Keripik Sehat</t>
        </is>
      </c>
      <c r="I453" s="10" t="n">
        <v>2</v>
      </c>
      <c r="J453" s="10" t="n">
        <v>45000</v>
      </c>
      <c r="K453" s="10" t="n">
        <v>90000</v>
      </c>
    </row>
    <row r="454">
      <c r="A454" s="10" t="inlineStr">
        <is>
          <t>INV-70684</t>
        </is>
      </c>
      <c r="B454" s="10" t="inlineStr">
        <is>
          <t>2025-07-10</t>
        </is>
      </c>
      <c r="C454" s="10" t="inlineStr">
        <is>
          <t>C1186</t>
        </is>
      </c>
      <c r="D454" s="10" t="inlineStr">
        <is>
          <t>loyal</t>
        </is>
      </c>
      <c r="E454" s="10" t="inlineStr">
        <is>
          <t>TikTok Shop</t>
        </is>
      </c>
      <c r="F454" s="10" t="inlineStr">
        <is>
          <t>Jabodetabek</t>
        </is>
      </c>
      <c r="G454" s="10" t="inlineStr">
        <is>
          <t>Kecantikan</t>
        </is>
      </c>
      <c r="H454" s="10" t="inlineStr">
        <is>
          <t>Serum Vit C</t>
        </is>
      </c>
      <c r="I454" s="10" t="n">
        <v>1</v>
      </c>
      <c r="J454" s="10" t="n">
        <v>145000</v>
      </c>
      <c r="K454" s="10" t="inlineStr">
        <is>
          <t>Rp 145.000</t>
        </is>
      </c>
    </row>
    <row r="455">
      <c r="A455" s="10" t="inlineStr">
        <is>
          <t>INV-70849</t>
        </is>
      </c>
      <c r="B455" s="10" t="inlineStr">
        <is>
          <t>25 Jul 2025</t>
        </is>
      </c>
      <c r="C455" s="10" t="inlineStr">
        <is>
          <t>C1238</t>
        </is>
      </c>
      <c r="D455" s="10" t="inlineStr">
        <is>
          <t>onetime</t>
        </is>
      </c>
      <c r="E455" s="10" t="inlineStr">
        <is>
          <t>Tiktok Shop</t>
        </is>
      </c>
      <c r="F455" s="10" t="inlineStr">
        <is>
          <t>Jabodetabek</t>
        </is>
      </c>
      <c r="G455" s="10" t="inlineStr">
        <is>
          <t>Rumah Tangga</t>
        </is>
      </c>
      <c r="H455" s="10" t="inlineStr">
        <is>
          <t>Set Wadah Kedap</t>
        </is>
      </c>
      <c r="I455" s="10" t="n">
        <v>1</v>
      </c>
      <c r="J455" s="10" t="n">
        <v>135000</v>
      </c>
      <c r="K455" s="10" t="n">
        <v>135000</v>
      </c>
    </row>
    <row r="456">
      <c r="A456" s="10" t="inlineStr">
        <is>
          <t>INV-71326</t>
        </is>
      </c>
      <c r="B456" s="10" t="inlineStr">
        <is>
          <t>2025-07-13</t>
        </is>
      </c>
      <c r="C456" s="10" t="inlineStr">
        <is>
          <t>C1365</t>
        </is>
      </c>
      <c r="D456" s="10" t="inlineStr">
        <is>
          <t>regular</t>
        </is>
      </c>
      <c r="E456" s="10" t="inlineStr">
        <is>
          <t>Tokopedia</t>
        </is>
      </c>
      <c r="F456" s="10" t="inlineStr">
        <is>
          <t>Jawa Barat</t>
        </is>
      </c>
      <c r="G456" s="10" t="inlineStr">
        <is>
          <t>Makanan</t>
        </is>
      </c>
      <c r="H456" s="10" t="inlineStr">
        <is>
          <t>Keripik Sehat</t>
        </is>
      </c>
      <c r="I456" s="10" t="n">
        <v>2</v>
      </c>
      <c r="J456" s="10" t="n">
        <v>45000</v>
      </c>
      <c r="K456" s="10" t="inlineStr">
        <is>
          <t>Rp 90.000</t>
        </is>
      </c>
    </row>
    <row r="457">
      <c r="A457" s="10" t="inlineStr">
        <is>
          <t>INV-70127</t>
        </is>
      </c>
      <c r="B457" s="10" t="inlineStr">
        <is>
          <t>2026-02-02</t>
        </is>
      </c>
      <c r="C457" s="10" t="inlineStr">
        <is>
          <t>C1038</t>
        </is>
      </c>
      <c r="D457" s="10" t="inlineStr">
        <is>
          <t>champion</t>
        </is>
      </c>
      <c r="E457" s="10" t="inlineStr">
        <is>
          <t>TikTok Shop</t>
        </is>
      </c>
      <c r="F457" s="10" t="inlineStr">
        <is>
          <t>Jawa Tengah</t>
        </is>
      </c>
      <c r="G457" s="10" t="inlineStr">
        <is>
          <t>Elektronik</t>
        </is>
      </c>
      <c r="H457" s="10" t="inlineStr">
        <is>
          <t>Power Bank 20K</t>
        </is>
      </c>
      <c r="I457" s="10" t="n">
        <v>3</v>
      </c>
      <c r="J457" s="10" t="n">
        <v>185000</v>
      </c>
      <c r="K457" s="10" t="inlineStr">
        <is>
          <t>Rp 555.000</t>
        </is>
      </c>
    </row>
    <row r="458">
      <c r="A458" s="10" t="inlineStr">
        <is>
          <t>INV-71461</t>
        </is>
      </c>
      <c r="B458" s="10" t="inlineStr">
        <is>
          <t>12/06/2025</t>
        </is>
      </c>
      <c r="C458" s="10" t="inlineStr">
        <is>
          <t>C1404</t>
        </is>
      </c>
      <c r="D458" s="10" t="inlineStr">
        <is>
          <t>loyal</t>
        </is>
      </c>
      <c r="E458" s="10" t="inlineStr">
        <is>
          <t>Offline Store</t>
        </is>
      </c>
      <c r="F458" s="10" t="inlineStr">
        <is>
          <t>Jawa Timur</t>
        </is>
      </c>
      <c r="G458" s="10" t="inlineStr">
        <is>
          <t>Rumah Tangga</t>
        </is>
      </c>
      <c r="H458" s="10" t="inlineStr">
        <is>
          <t>Set Wadah Kedap</t>
        </is>
      </c>
      <c r="I458" s="10" t="n">
        <v>1</v>
      </c>
      <c r="J458" s="10" t="n">
        <v>135000</v>
      </c>
      <c r="K458" s="10" t="inlineStr">
        <is>
          <t>Rp 135.000</t>
        </is>
      </c>
    </row>
    <row r="459">
      <c r="A459" s="10" t="inlineStr">
        <is>
          <t>INV-70007</t>
        </is>
      </c>
      <c r="B459" s="10" t="inlineStr">
        <is>
          <t>12 Feb 2026</t>
        </is>
      </c>
      <c r="C459" s="10" t="inlineStr">
        <is>
          <t>C1002</t>
        </is>
      </c>
      <c r="D459" s="10" t="inlineStr">
        <is>
          <t>loyal</t>
        </is>
      </c>
      <c r="E459" s="10" t="inlineStr">
        <is>
          <t>TikTok Shop</t>
        </is>
      </c>
      <c r="F459" s="10" t="inlineStr">
        <is>
          <t>Lainnya</t>
        </is>
      </c>
      <c r="G459" s="10" t="inlineStr">
        <is>
          <t>rumah tangga</t>
        </is>
      </c>
      <c r="H459" s="10" t="inlineStr">
        <is>
          <t>Organizer Laci</t>
        </is>
      </c>
      <c r="I459" s="10" t="n">
        <v>2</v>
      </c>
      <c r="J459" s="10" t="n">
        <v>78000</v>
      </c>
      <c r="K459" s="10" t="n">
        <v>156000</v>
      </c>
    </row>
    <row r="460">
      <c r="A460" s="10" t="inlineStr">
        <is>
          <t>INV-70280</t>
        </is>
      </c>
      <c r="B460" s="10" t="inlineStr">
        <is>
          <t>2025-05-24</t>
        </is>
      </c>
      <c r="C460" s="10" t="inlineStr">
        <is>
          <t>C1079</t>
        </is>
      </c>
      <c r="D460" s="10" t="inlineStr">
        <is>
          <t>regular</t>
        </is>
      </c>
      <c r="E460" s="10" t="inlineStr">
        <is>
          <t xml:space="preserve">Shopee </t>
        </is>
      </c>
      <c r="F460" s="10" t="inlineStr">
        <is>
          <t>Jabodetabek</t>
        </is>
      </c>
      <c r="G460" s="10" t="inlineStr">
        <is>
          <t>Rumah Tangga</t>
        </is>
      </c>
      <c r="H460" s="10" t="inlineStr">
        <is>
          <t>Set Wadah Kedap</t>
        </is>
      </c>
      <c r="I460" s="10" t="n">
        <v>1</v>
      </c>
      <c r="J460" s="10" t="n">
        <v>135000</v>
      </c>
      <c r="K460" s="10" t="inlineStr">
        <is>
          <t>Rp 135.000</t>
        </is>
      </c>
    </row>
    <row r="461">
      <c r="A461" s="10" t="inlineStr">
        <is>
          <t>INV-71435</t>
        </is>
      </c>
      <c r="B461" s="10" t="inlineStr">
        <is>
          <t>2026-02-20</t>
        </is>
      </c>
      <c r="C461" s="10" t="inlineStr">
        <is>
          <t>C1395</t>
        </is>
      </c>
      <c r="D461" s="10" t="inlineStr">
        <is>
          <t>occasional</t>
        </is>
      </c>
      <c r="E461" s="10" t="inlineStr">
        <is>
          <t>TikTok Shop</t>
        </is>
      </c>
      <c r="F461" s="10" t="inlineStr">
        <is>
          <t>Jawa Timur</t>
        </is>
      </c>
      <c r="G461" s="10" t="inlineStr">
        <is>
          <t>rumah tangga</t>
        </is>
      </c>
      <c r="H461" s="10" t="inlineStr">
        <is>
          <t>Set Wadah Kedap</t>
        </is>
      </c>
      <c r="I461" s="10" t="n">
        <v>4</v>
      </c>
      <c r="J461" s="10" t="n">
        <v>135000</v>
      </c>
      <c r="K461" s="10" t="n">
        <v>540000</v>
      </c>
    </row>
    <row r="462">
      <c r="A462" s="10" t="inlineStr">
        <is>
          <t>INV-70776</t>
        </is>
      </c>
      <c r="B462" s="10" t="inlineStr">
        <is>
          <t>2025-11-17</t>
        </is>
      </c>
      <c r="C462" s="10" t="inlineStr">
        <is>
          <t>C1219</t>
        </is>
      </c>
      <c r="D462" s="10" t="inlineStr">
        <is>
          <t>occasional</t>
        </is>
      </c>
      <c r="E462" s="10" t="inlineStr">
        <is>
          <t>Offline Store</t>
        </is>
      </c>
      <c r="F462" s="10" t="inlineStr">
        <is>
          <t>Jawa Timur</t>
        </is>
      </c>
      <c r="G462" s="10" t="inlineStr">
        <is>
          <t>Rumah Tangga</t>
        </is>
      </c>
      <c r="H462" s="10" t="inlineStr">
        <is>
          <t>Organizer Laci</t>
        </is>
      </c>
      <c r="I462" s="10" t="n">
        <v>3</v>
      </c>
      <c r="J462" s="10" t="n">
        <v>78000</v>
      </c>
      <c r="K462" s="10" t="n">
        <v>234000</v>
      </c>
    </row>
    <row r="463">
      <c r="A463" s="10" t="inlineStr">
        <is>
          <t>INV-71095</t>
        </is>
      </c>
      <c r="B463" s="10" t="inlineStr">
        <is>
          <t>11/07/2025</t>
        </is>
      </c>
      <c r="C463" s="10" t="inlineStr">
        <is>
          <t>C1306</t>
        </is>
      </c>
      <c r="D463" s="10" t="inlineStr">
        <is>
          <t>loyal</t>
        </is>
      </c>
      <c r="E463" s="10" t="inlineStr">
        <is>
          <t>tiktok shop</t>
        </is>
      </c>
      <c r="F463" s="10" t="inlineStr">
        <is>
          <t>Jabodetabek</t>
        </is>
      </c>
      <c r="G463" s="10" t="inlineStr">
        <is>
          <t>Elektronik</t>
        </is>
      </c>
      <c r="H463" s="10" t="inlineStr">
        <is>
          <t>Webcam HD</t>
        </is>
      </c>
      <c r="I463" s="10" t="n">
        <v>2</v>
      </c>
      <c r="J463" s="10" t="n">
        <v>210000</v>
      </c>
      <c r="K463" s="10" t="n">
        <v>420000</v>
      </c>
    </row>
    <row r="464">
      <c r="A464" s="10" t="inlineStr">
        <is>
          <t>INV-70314</t>
        </is>
      </c>
      <c r="B464" s="10" t="inlineStr">
        <is>
          <t>2025-12-08</t>
        </is>
      </c>
      <c r="C464" s="10" t="inlineStr">
        <is>
          <t>C1088</t>
        </is>
      </c>
      <c r="D464" s="10" t="inlineStr">
        <is>
          <t>champion</t>
        </is>
      </c>
      <c r="E464" s="10" t="inlineStr">
        <is>
          <t>offline store</t>
        </is>
      </c>
      <c r="F464" s="10" t="inlineStr">
        <is>
          <t>Lainnya</t>
        </is>
      </c>
      <c r="G464" s="10" t="inlineStr">
        <is>
          <t>Kecantikan</t>
        </is>
      </c>
      <c r="H464" s="10" t="inlineStr">
        <is>
          <t>Masker Wajah (5s)</t>
        </is>
      </c>
      <c r="I464" s="10" t="n">
        <v>2</v>
      </c>
      <c r="J464" s="10" t="n">
        <v>55000</v>
      </c>
      <c r="K464" s="10" t="n">
        <v>110000</v>
      </c>
    </row>
    <row r="465">
      <c r="A465" s="10" t="inlineStr">
        <is>
          <t>INV-71362</t>
        </is>
      </c>
      <c r="B465" s="10" t="inlineStr">
        <is>
          <t>2026-03-25</t>
        </is>
      </c>
      <c r="C465" s="10" t="inlineStr">
        <is>
          <t>C1377</t>
        </is>
      </c>
      <c r="D465" s="10" t="inlineStr">
        <is>
          <t>champion</t>
        </is>
      </c>
      <c r="E465" s="10" t="inlineStr">
        <is>
          <t>Tokopedia</t>
        </is>
      </c>
      <c r="F465" s="10" t="inlineStr">
        <is>
          <t>Jabodetabek</t>
        </is>
      </c>
      <c r="G465" s="10" t="inlineStr">
        <is>
          <t>Elektronik</t>
        </is>
      </c>
      <c r="H465" s="10" t="inlineStr">
        <is>
          <t>Keyboard Mekanik</t>
        </is>
      </c>
      <c r="I465" s="10" t="n">
        <v>2</v>
      </c>
      <c r="J465" s="10" t="n">
        <v>380000</v>
      </c>
      <c r="K465" s="10" t="n">
        <v>760000</v>
      </c>
    </row>
    <row r="466">
      <c r="A466" s="10" t="inlineStr">
        <is>
          <t>INV-71539</t>
        </is>
      </c>
      <c r="B466" s="10" t="inlineStr">
        <is>
          <t>19 May 2025</t>
        </is>
      </c>
      <c r="C466" s="10" t="inlineStr">
        <is>
          <t>C1424</t>
        </is>
      </c>
      <c r="D466" s="10" t="inlineStr">
        <is>
          <t>loyal</t>
        </is>
      </c>
      <c r="E466" s="10" t="inlineStr">
        <is>
          <t>TikTok Shop</t>
        </is>
      </c>
      <c r="F466" s="10" t="inlineStr">
        <is>
          <t>Jawa Timur</t>
        </is>
      </c>
      <c r="G466" s="10" t="inlineStr">
        <is>
          <t>Rumah Tangga</t>
        </is>
      </c>
      <c r="H466" s="10" t="inlineStr">
        <is>
          <t>Set Wadah Kedap</t>
        </is>
      </c>
      <c r="I466" s="10" t="n">
        <v>1</v>
      </c>
      <c r="J466" s="10" t="n">
        <v>135000</v>
      </c>
      <c r="K466" s="10" t="n">
        <v>135000</v>
      </c>
    </row>
    <row r="467">
      <c r="A467" s="10" t="inlineStr">
        <is>
          <t>INV-71219</t>
        </is>
      </c>
      <c r="B467" s="10" t="inlineStr">
        <is>
          <t>2025-10-23</t>
        </is>
      </c>
      <c r="C467" s="10" t="inlineStr">
        <is>
          <t>C1346</t>
        </is>
      </c>
      <c r="D467" s="10" t="inlineStr">
        <is>
          <t>regular</t>
        </is>
      </c>
      <c r="E467" s="10" t="inlineStr">
        <is>
          <t>Shopee</t>
        </is>
      </c>
      <c r="F467" s="10" t="inlineStr">
        <is>
          <t>Jabodetabek</t>
        </is>
      </c>
      <c r="G467" s="10" t="inlineStr">
        <is>
          <t>Rumah Tangga</t>
        </is>
      </c>
      <c r="H467" s="10" t="inlineStr">
        <is>
          <t>Set Wadah Kedap</t>
        </is>
      </c>
      <c r="I467" s="10" t="n">
        <v>2</v>
      </c>
      <c r="J467" s="10" t="n">
        <v>135000</v>
      </c>
      <c r="K467" s="10" t="inlineStr">
        <is>
          <t>Rp 270.000</t>
        </is>
      </c>
    </row>
    <row r="468">
      <c r="A468" s="10" t="inlineStr">
        <is>
          <t>INV-70420</t>
        </is>
      </c>
      <c r="B468" s="10" t="inlineStr">
        <is>
          <t>2026-02-14</t>
        </is>
      </c>
      <c r="C468" s="10" t="inlineStr">
        <is>
          <t>C1117</t>
        </is>
      </c>
      <c r="D468" s="10" t="inlineStr">
        <is>
          <t>regular</t>
        </is>
      </c>
      <c r="E468" s="10" t="inlineStr">
        <is>
          <t>TikTok Shop</t>
        </is>
      </c>
      <c r="F468" s="10" t="inlineStr">
        <is>
          <t>Jawa Timur</t>
        </is>
      </c>
      <c r="G468" s="10" t="inlineStr">
        <is>
          <t>Elektronik</t>
        </is>
      </c>
      <c r="H468" s="10" t="inlineStr">
        <is>
          <t>Webcam HD</t>
        </is>
      </c>
      <c r="I468" s="10" t="n">
        <v>2</v>
      </c>
      <c r="J468" s="10" t="n">
        <v>210000</v>
      </c>
      <c r="K468" s="10" t="inlineStr">
        <is>
          <t>Rp 420.000</t>
        </is>
      </c>
    </row>
    <row r="469">
      <c r="A469" s="10" t="inlineStr">
        <is>
          <t>INV-70740</t>
        </is>
      </c>
      <c r="B469" s="10" t="inlineStr">
        <is>
          <t>2026-05-25</t>
        </is>
      </c>
      <c r="C469" s="10" t="inlineStr">
        <is>
          <t>C1207</t>
        </is>
      </c>
      <c r="D469" s="10" t="inlineStr">
        <is>
          <t>loyal</t>
        </is>
      </c>
      <c r="E469" s="10" t="inlineStr">
        <is>
          <t>Shopee</t>
        </is>
      </c>
      <c r="F469" s="10" t="inlineStr">
        <is>
          <t>Jabodetabek</t>
        </is>
      </c>
      <c r="G469" s="10" t="inlineStr">
        <is>
          <t>Rumah Tangga</t>
        </is>
      </c>
      <c r="H469" s="10" t="inlineStr">
        <is>
          <t>Set Wadah Kedap</t>
        </is>
      </c>
      <c r="I469" s="10" t="n">
        <v>1</v>
      </c>
      <c r="J469" s="10" t="n">
        <v>135000</v>
      </c>
      <c r="K469" s="10" t="n">
        <v>135000</v>
      </c>
    </row>
    <row r="470">
      <c r="A470" s="10" t="inlineStr">
        <is>
          <t>INV-71290</t>
        </is>
      </c>
      <c r="B470" s="10" t="inlineStr">
        <is>
          <t>27 Apr 2025</t>
        </is>
      </c>
      <c r="C470" s="10" t="inlineStr">
        <is>
          <t>C1359</t>
        </is>
      </c>
      <c r="D470" s="10" t="inlineStr">
        <is>
          <t>champion</t>
        </is>
      </c>
      <c r="E470" s="10" t="inlineStr">
        <is>
          <t>Tokopedia</t>
        </is>
      </c>
      <c r="F470" s="10" t="inlineStr">
        <is>
          <t>Jawa Timur</t>
        </is>
      </c>
      <c r="G470" s="10" t="inlineStr">
        <is>
          <t>Kecantikan</t>
        </is>
      </c>
      <c r="H470" s="10" t="inlineStr">
        <is>
          <t>Masker Wajah (5s)</t>
        </is>
      </c>
      <c r="I470" s="10" t="n">
        <v>1</v>
      </c>
      <c r="J470" s="10" t="n">
        <v>55000</v>
      </c>
      <c r="K470" s="10" t="inlineStr">
        <is>
          <t>Rp 55.000</t>
        </is>
      </c>
    </row>
    <row r="471">
      <c r="A471" s="10" t="inlineStr">
        <is>
          <t>INV-70490</t>
        </is>
      </c>
      <c r="B471" s="10" t="inlineStr">
        <is>
          <t>19 Nov 2025</t>
        </is>
      </c>
      <c r="C471" s="10" t="inlineStr">
        <is>
          <t>C1139</t>
        </is>
      </c>
      <c r="D471" s="10" t="inlineStr">
        <is>
          <t>champion</t>
        </is>
      </c>
      <c r="E471" s="10" t="inlineStr">
        <is>
          <t>Tokopedia</t>
        </is>
      </c>
      <c r="F471" s="10" t="inlineStr">
        <is>
          <t>Jabodetabek</t>
        </is>
      </c>
      <c r="G471" s="10" t="inlineStr">
        <is>
          <t>Kecantikan</t>
        </is>
      </c>
      <c r="H471" s="10" t="inlineStr">
        <is>
          <t>Masker Wajah (5s)</t>
        </is>
      </c>
      <c r="I471" s="10" t="n">
        <v>1</v>
      </c>
      <c r="J471" s="10" t="n">
        <v>55000</v>
      </c>
      <c r="K471" s="10" t="n">
        <v>55000</v>
      </c>
    </row>
    <row r="472">
      <c r="A472" s="10" t="inlineStr">
        <is>
          <t>INV-71139</t>
        </is>
      </c>
      <c r="B472" s="10" t="inlineStr">
        <is>
          <t>2025-07-03</t>
        </is>
      </c>
      <c r="C472" s="10" t="inlineStr">
        <is>
          <t>C1322</t>
        </is>
      </c>
      <c r="D472" s="10" t="inlineStr">
        <is>
          <t>loyal</t>
        </is>
      </c>
      <c r="E472" s="10" t="inlineStr">
        <is>
          <t>TikTok Shop</t>
        </is>
      </c>
      <c r="F472" s="10" t="inlineStr">
        <is>
          <t>Jawa Barat</t>
        </is>
      </c>
      <c r="G472" s="10" t="inlineStr">
        <is>
          <t>makanan</t>
        </is>
      </c>
      <c r="H472" s="10" t="inlineStr">
        <is>
          <t>Granola 500g</t>
        </is>
      </c>
      <c r="I472" s="10" t="n">
        <v>4</v>
      </c>
      <c r="J472" s="10" t="n">
        <v>92000</v>
      </c>
      <c r="K472" s="10" t="n">
        <v>368000</v>
      </c>
    </row>
    <row r="473">
      <c r="A473" s="10" t="inlineStr">
        <is>
          <t>INV-70686</t>
        </is>
      </c>
      <c r="B473" s="10" t="inlineStr">
        <is>
          <t>2025-10-07</t>
        </is>
      </c>
      <c r="C473" s="10" t="inlineStr">
        <is>
          <t>C1186</t>
        </is>
      </c>
      <c r="D473" s="10" t="inlineStr">
        <is>
          <t>loyal</t>
        </is>
      </c>
      <c r="E473" s="10" t="inlineStr">
        <is>
          <t>offline store</t>
        </is>
      </c>
      <c r="F473" s="10" t="inlineStr">
        <is>
          <t>Jabodetabek</t>
        </is>
      </c>
      <c r="G473" s="10" t="inlineStr">
        <is>
          <t>Rumah Tangga</t>
        </is>
      </c>
      <c r="H473" s="10" t="inlineStr">
        <is>
          <t>Organizer Laci</t>
        </is>
      </c>
      <c r="I473" s="10" t="n">
        <v>2</v>
      </c>
      <c r="J473" s="10" t="n">
        <v>78000</v>
      </c>
      <c r="K473" s="10" t="inlineStr">
        <is>
          <t>Rp 156.000</t>
        </is>
      </c>
    </row>
    <row r="474">
      <c r="A474" s="10" t="inlineStr">
        <is>
          <t>INV-70940</t>
        </is>
      </c>
      <c r="B474" s="10" t="inlineStr">
        <is>
          <t>2025-04-22</t>
        </is>
      </c>
      <c r="C474" s="10" t="inlineStr">
        <is>
          <t>C1265</t>
        </is>
      </c>
      <c r="D474" s="10" t="inlineStr">
        <is>
          <t>loyal</t>
        </is>
      </c>
      <c r="E474" s="10" t="inlineStr">
        <is>
          <t xml:space="preserve">Shopee </t>
        </is>
      </c>
      <c r="F474" s="10" t="inlineStr">
        <is>
          <t>Jabodetabek</t>
        </is>
      </c>
      <c r="G474" s="10" t="inlineStr">
        <is>
          <t>Makanan</t>
        </is>
      </c>
      <c r="H474" s="10" t="inlineStr">
        <is>
          <t>Madu Hutan 250ml</t>
        </is>
      </c>
      <c r="I474" s="10" t="n">
        <v>2</v>
      </c>
      <c r="J474" s="10" t="n">
        <v>110000</v>
      </c>
      <c r="K474" s="10" t="n">
        <v>220000</v>
      </c>
    </row>
    <row r="475">
      <c r="A475" s="10" t="inlineStr">
        <is>
          <t>INV-71462</t>
        </is>
      </c>
      <c r="B475" s="10" t="inlineStr">
        <is>
          <t>2025-02-19</t>
        </is>
      </c>
      <c r="C475" s="10" t="inlineStr">
        <is>
          <t>C1404</t>
        </is>
      </c>
      <c r="D475" s="10" t="inlineStr">
        <is>
          <t>loyal</t>
        </is>
      </c>
      <c r="E475" s="10" t="inlineStr">
        <is>
          <t xml:space="preserve">Offline store </t>
        </is>
      </c>
      <c r="F475" s="10" t="inlineStr">
        <is>
          <t>Sumatera</t>
        </is>
      </c>
      <c r="G475" s="10" t="inlineStr">
        <is>
          <t>Elektronik</t>
        </is>
      </c>
      <c r="H475" s="10" t="inlineStr">
        <is>
          <t>Power Bank 20K</t>
        </is>
      </c>
      <c r="I475" s="10" t="n">
        <v>2</v>
      </c>
      <c r="J475" s="10" t="n">
        <v>185000</v>
      </c>
      <c r="K475" s="10" t="n">
        <v>370000</v>
      </c>
    </row>
    <row r="476">
      <c r="A476" s="10" t="inlineStr">
        <is>
          <t>INV-71203</t>
        </is>
      </c>
      <c r="B476" s="10" t="inlineStr">
        <is>
          <t>20/03/2026</t>
        </is>
      </c>
      <c r="C476" s="10" t="inlineStr">
        <is>
          <t>C1340</t>
        </is>
      </c>
      <c r="D476" s="10" t="inlineStr">
        <is>
          <t>loyal</t>
        </is>
      </c>
      <c r="E476" s="10" t="inlineStr">
        <is>
          <t>TIKTOK SHOP</t>
        </is>
      </c>
      <c r="F476" s="10" t="inlineStr">
        <is>
          <t>Jawa Barat</t>
        </is>
      </c>
      <c r="G476" s="10" t="inlineStr">
        <is>
          <t>Rumah Tangga</t>
        </is>
      </c>
      <c r="H476" s="10" t="inlineStr">
        <is>
          <t>Karpet Bulu</t>
        </is>
      </c>
      <c r="I476" s="10" t="n">
        <v>1</v>
      </c>
      <c r="J476" s="10" t="n">
        <v>240000</v>
      </c>
      <c r="K476" s="10" t="n">
        <v>240000</v>
      </c>
    </row>
    <row r="477">
      <c r="A477" s="10" t="inlineStr">
        <is>
          <t>INV-70371</t>
        </is>
      </c>
      <c r="B477" s="10" t="inlineStr">
        <is>
          <t>2025-04-26</t>
        </is>
      </c>
      <c r="C477" s="10" t="inlineStr">
        <is>
          <t>C1105</t>
        </is>
      </c>
      <c r="D477" s="10" t="inlineStr">
        <is>
          <t>regular</t>
        </is>
      </c>
      <c r="E477" s="10" t="inlineStr">
        <is>
          <t>Tokopedia</t>
        </is>
      </c>
      <c r="F477" s="10" t="inlineStr">
        <is>
          <t>Lainnya</t>
        </is>
      </c>
      <c r="G477" s="10" t="inlineStr">
        <is>
          <t>Rumah Tangga</t>
        </is>
      </c>
      <c r="H477" s="10" t="inlineStr">
        <is>
          <t>Organizer Laci</t>
        </is>
      </c>
      <c r="I477" s="10" t="n">
        <v>2</v>
      </c>
      <c r="J477" s="10" t="n">
        <v>78000</v>
      </c>
      <c r="K477" s="10" t="n">
        <v>156000</v>
      </c>
    </row>
    <row r="478">
      <c r="A478" s="10" t="inlineStr">
        <is>
          <t>INV-70141</t>
        </is>
      </c>
      <c r="B478" s="10" t="inlineStr">
        <is>
          <t>25/01/2025</t>
        </is>
      </c>
      <c r="C478" s="10" t="inlineStr">
        <is>
          <t>C1040</t>
        </is>
      </c>
      <c r="D478" s="10" t="inlineStr">
        <is>
          <t>occasional</t>
        </is>
      </c>
      <c r="E478" s="10" t="inlineStr">
        <is>
          <t>Tokopedia</t>
        </is>
      </c>
      <c r="F478" s="10" t="inlineStr">
        <is>
          <t>Lainnya</t>
        </is>
      </c>
      <c r="G478" s="10" t="inlineStr">
        <is>
          <t>fashion</t>
        </is>
      </c>
      <c r="H478" s="10" t="inlineStr">
        <is>
          <t>Celana Chino</t>
        </is>
      </c>
      <c r="I478" s="10" t="n">
        <v>1</v>
      </c>
      <c r="J478" s="10" t="n">
        <v>195000</v>
      </c>
      <c r="K478" s="10" t="n">
        <v>195000</v>
      </c>
    </row>
    <row r="479">
      <c r="A479" s="10" t="inlineStr">
        <is>
          <t>INV-70653</t>
        </is>
      </c>
      <c r="B479" s="10" t="inlineStr">
        <is>
          <t>2025-12-04</t>
        </is>
      </c>
      <c r="C479" s="10" t="inlineStr">
        <is>
          <t>C1179</t>
        </is>
      </c>
      <c r="D479" s="10" t="inlineStr">
        <is>
          <t>loyal</t>
        </is>
      </c>
      <c r="E479" s="10" t="inlineStr">
        <is>
          <t>Shopee</t>
        </is>
      </c>
      <c r="F479" s="10" t="inlineStr">
        <is>
          <t>Jabodetabek</t>
        </is>
      </c>
      <c r="G479" s="10" t="inlineStr">
        <is>
          <t>Rumah Tangga</t>
        </is>
      </c>
      <c r="H479" s="10" t="inlineStr">
        <is>
          <t>Set Wadah Kedap</t>
        </is>
      </c>
      <c r="I479" s="10" t="n">
        <v>3</v>
      </c>
      <c r="J479" s="10" t="n">
        <v>135000</v>
      </c>
      <c r="K479" s="10" t="inlineStr">
        <is>
          <t>Rp 405.000</t>
        </is>
      </c>
    </row>
    <row r="480">
      <c r="A480" s="10" t="inlineStr">
        <is>
          <t>INV-71239</t>
        </is>
      </c>
      <c r="B480" s="10" t="inlineStr">
        <is>
          <t>2025-02-23</t>
        </is>
      </c>
      <c r="C480" s="10" t="inlineStr">
        <is>
          <t>C1349</t>
        </is>
      </c>
      <c r="D480" s="10" t="inlineStr">
        <is>
          <t>champion</t>
        </is>
      </c>
      <c r="E480" s="10" t="inlineStr">
        <is>
          <t xml:space="preserve">Offline store </t>
        </is>
      </c>
      <c r="F480" s="10" t="inlineStr">
        <is>
          <t>Jawa Barat</t>
        </is>
      </c>
      <c r="G480" s="10" t="inlineStr">
        <is>
          <t>Rumah Tangga</t>
        </is>
      </c>
      <c r="H480" s="10" t="inlineStr">
        <is>
          <t>Set Wadah Kedap</t>
        </is>
      </c>
      <c r="I480" s="10" t="n">
        <v>1</v>
      </c>
      <c r="J480" s="10" t="n">
        <v>135000</v>
      </c>
      <c r="K480" s="10" t="inlineStr">
        <is>
          <t>Rp 135.000</t>
        </is>
      </c>
    </row>
    <row r="481">
      <c r="A481" s="10" t="inlineStr">
        <is>
          <t>INV-71180</t>
        </is>
      </c>
      <c r="B481" s="10" t="inlineStr">
        <is>
          <t>2025-09-21</t>
        </is>
      </c>
      <c r="C481" s="10" t="inlineStr">
        <is>
          <t>C1334</t>
        </is>
      </c>
      <c r="D481" s="10" t="inlineStr">
        <is>
          <t>champion</t>
        </is>
      </c>
      <c r="E481" s="10" t="inlineStr">
        <is>
          <t>Tokopedia</t>
        </is>
      </c>
      <c r="F481" s="10" t="inlineStr">
        <is>
          <t>Jabodetabek</t>
        </is>
      </c>
      <c r="G481" s="10" t="inlineStr">
        <is>
          <t>Fashion</t>
        </is>
      </c>
      <c r="H481" s="10" t="inlineStr">
        <is>
          <t>Celana Chino</t>
        </is>
      </c>
      <c r="I481" s="10" t="n">
        <v>4</v>
      </c>
      <c r="J481" s="10" t="n">
        <v>195000</v>
      </c>
      <c r="K481" s="10" t="n">
        <v>780000</v>
      </c>
    </row>
    <row r="482">
      <c r="A482" s="10" t="inlineStr">
        <is>
          <t>INV-70162</t>
        </is>
      </c>
      <c r="B482" s="10" t="inlineStr">
        <is>
          <t>2025-10-12</t>
        </is>
      </c>
      <c r="C482" s="10" t="inlineStr">
        <is>
          <t>C1049</t>
        </is>
      </c>
      <c r="D482" s="10" t="inlineStr">
        <is>
          <t>champion</t>
        </is>
      </c>
      <c r="E482" s="10" t="inlineStr">
        <is>
          <t xml:space="preserve">Shopee </t>
        </is>
      </c>
      <c r="F482" s="10" t="inlineStr">
        <is>
          <t>Jabodetabek</t>
        </is>
      </c>
      <c r="G482" s="10" t="inlineStr">
        <is>
          <t>rumah tangga</t>
        </is>
      </c>
      <c r="H482" s="10" t="inlineStr">
        <is>
          <t>Diffuser Aroma</t>
        </is>
      </c>
      <c r="I482" s="10" t="n">
        <v>3</v>
      </c>
      <c r="J482" s="10" t="n">
        <v>195000</v>
      </c>
      <c r="K482" s="10" t="inlineStr">
        <is>
          <t>Rp 585.000</t>
        </is>
      </c>
    </row>
    <row r="483">
      <c r="A483" s="10" t="inlineStr">
        <is>
          <t>INV-71039</t>
        </is>
      </c>
      <c r="B483" s="10" t="inlineStr">
        <is>
          <t>2026-02-17</t>
        </is>
      </c>
      <c r="C483" s="10" t="inlineStr">
        <is>
          <t>C1295</t>
        </is>
      </c>
      <c r="D483" s="10" t="inlineStr">
        <is>
          <t>regular</t>
        </is>
      </c>
      <c r="E483" s="10" t="inlineStr">
        <is>
          <t xml:space="preserve">Tokopedia </t>
        </is>
      </c>
      <c r="F483" s="10" t="inlineStr">
        <is>
          <t>Jabodetabek</t>
        </is>
      </c>
      <c r="G483" s="10" t="inlineStr">
        <is>
          <t>Elektronik</t>
        </is>
      </c>
      <c r="H483" s="10" t="inlineStr">
        <is>
          <t>Power Bank 20K</t>
        </is>
      </c>
      <c r="I483" s="10" t="n">
        <v>3</v>
      </c>
      <c r="J483" s="10" t="n">
        <v>185000</v>
      </c>
      <c r="K483" s="10" t="n">
        <v>555000</v>
      </c>
    </row>
    <row r="484">
      <c r="A484" s="10" t="inlineStr">
        <is>
          <t>INV-70368</t>
        </is>
      </c>
      <c r="B484" s="10" t="inlineStr">
        <is>
          <t>2025-11-02</t>
        </is>
      </c>
      <c r="C484" s="10" t="inlineStr">
        <is>
          <t>C1103</t>
        </is>
      </c>
      <c r="D484" s="10" t="inlineStr">
        <is>
          <t>occasional</t>
        </is>
      </c>
      <c r="E484" s="10" t="inlineStr">
        <is>
          <t>Tokopedia</t>
        </is>
      </c>
      <c r="F484" s="10" t="inlineStr">
        <is>
          <t>Jabodetabek</t>
        </is>
      </c>
      <c r="G484" s="10" t="inlineStr">
        <is>
          <t>Kecantikan</t>
        </is>
      </c>
      <c r="H484" s="10" t="inlineStr">
        <is>
          <t>Masker Wajah (5s)</t>
        </is>
      </c>
      <c r="I484" s="10" t="n">
        <v>2</v>
      </c>
      <c r="J484" s="10" t="n">
        <v>55000</v>
      </c>
      <c r="K484" s="10" t="n">
        <v>110000</v>
      </c>
    </row>
    <row r="485">
      <c r="A485" s="10" t="inlineStr">
        <is>
          <t>INV-71055</t>
        </is>
      </c>
      <c r="B485" s="10" t="inlineStr">
        <is>
          <t>2026-02-09</t>
        </is>
      </c>
      <c r="C485" s="10" t="inlineStr">
        <is>
          <t>C1299</t>
        </is>
      </c>
      <c r="D485" s="10" t="inlineStr">
        <is>
          <t>occasional</t>
        </is>
      </c>
      <c r="E485" s="10" t="inlineStr">
        <is>
          <t>Tokopedia</t>
        </is>
      </c>
      <c r="F485" s="10" t="inlineStr">
        <is>
          <t>Sumatera</t>
        </is>
      </c>
      <c r="G485" s="10" t="inlineStr">
        <is>
          <t>Kecantikan</t>
        </is>
      </c>
      <c r="H485" s="10" t="inlineStr">
        <is>
          <t>Masker Wajah (5s)</t>
        </is>
      </c>
      <c r="I485" s="10" t="n">
        <v>2</v>
      </c>
      <c r="J485" s="10" t="n">
        <v>55000</v>
      </c>
      <c r="K485" s="10" t="inlineStr">
        <is>
          <t>Rp 110.000</t>
        </is>
      </c>
    </row>
    <row r="486">
      <c r="A486" s="10" t="inlineStr">
        <is>
          <t>INV-70729</t>
        </is>
      </c>
      <c r="B486" s="10" t="inlineStr">
        <is>
          <t>2025-06-24</t>
        </is>
      </c>
      <c r="C486" s="10" t="inlineStr">
        <is>
          <t>C1206</t>
        </is>
      </c>
      <c r="D486" s="10" t="inlineStr">
        <is>
          <t>regular</t>
        </is>
      </c>
      <c r="E486" s="10" t="inlineStr">
        <is>
          <t>TikTok Shop</t>
        </is>
      </c>
      <c r="F486" s="10" t="inlineStr">
        <is>
          <t>Jabodetabek</t>
        </is>
      </c>
      <c r="G486" s="10" t="inlineStr">
        <is>
          <t>Makanan</t>
        </is>
      </c>
      <c r="H486" s="10" t="inlineStr">
        <is>
          <t>Granola 500g</t>
        </is>
      </c>
      <c r="I486" s="10" t="n">
        <v>1</v>
      </c>
      <c r="J486" s="10" t="n">
        <v>92000</v>
      </c>
      <c r="K486" s="10" t="n">
        <v>92000</v>
      </c>
    </row>
    <row r="487">
      <c r="A487" s="10" t="inlineStr">
        <is>
          <t>INV-70841</t>
        </is>
      </c>
      <c r="B487" s="10" t="inlineStr">
        <is>
          <t>04/05/2025</t>
        </is>
      </c>
      <c r="C487" s="10" t="inlineStr">
        <is>
          <t>C1237</t>
        </is>
      </c>
      <c r="D487" s="10" t="inlineStr">
        <is>
          <t>champion</t>
        </is>
      </c>
      <c r="E487" s="10" t="inlineStr">
        <is>
          <t>Shopee</t>
        </is>
      </c>
      <c r="F487" s="10" t="inlineStr">
        <is>
          <t>Jawa Tengah</t>
        </is>
      </c>
      <c r="G487" s="10" t="inlineStr">
        <is>
          <t>Rumah Tangga</t>
        </is>
      </c>
      <c r="H487" s="10" t="inlineStr">
        <is>
          <t>Set Wadah Kedap</t>
        </is>
      </c>
      <c r="I487" s="10" t="n">
        <v>3</v>
      </c>
      <c r="J487" s="10" t="n">
        <v>135000</v>
      </c>
      <c r="K487" s="10" t="n">
        <v>405000</v>
      </c>
    </row>
    <row r="488">
      <c r="A488" s="10" t="inlineStr">
        <is>
          <t>INV-70723</t>
        </is>
      </c>
      <c r="B488" s="10" t="inlineStr">
        <is>
          <t>2026-01-21</t>
        </is>
      </c>
      <c r="C488" s="10" t="inlineStr">
        <is>
          <t>C1201</t>
        </is>
      </c>
      <c r="D488" s="10" t="inlineStr">
        <is>
          <t>regular</t>
        </is>
      </c>
      <c r="E488" s="10" t="inlineStr">
        <is>
          <t>Offline Store</t>
        </is>
      </c>
      <c r="F488" s="10" t="inlineStr">
        <is>
          <t>Jawa Barat</t>
        </is>
      </c>
      <c r="G488" s="10" t="inlineStr">
        <is>
          <t>Rumah Tangga</t>
        </is>
      </c>
      <c r="H488" s="10" t="inlineStr">
        <is>
          <t>Set Wadah Kedap</t>
        </is>
      </c>
      <c r="I488" s="10" t="n">
        <v>4</v>
      </c>
      <c r="J488" s="10" t="n">
        <v>135000</v>
      </c>
      <c r="K488" s="10" t="n">
        <v>540000</v>
      </c>
    </row>
    <row r="489">
      <c r="A489" s="10" t="inlineStr">
        <is>
          <t>INV-71401</t>
        </is>
      </c>
      <c r="B489" s="10" t="inlineStr">
        <is>
          <t>2025-04-08</t>
        </is>
      </c>
      <c r="C489" s="10" t="inlineStr">
        <is>
          <t>C1386</t>
        </is>
      </c>
      <c r="D489" s="10" t="inlineStr">
        <is>
          <t>loyal</t>
        </is>
      </c>
      <c r="E489" s="10" t="inlineStr">
        <is>
          <t>Offline Store</t>
        </is>
      </c>
      <c r="F489" s="10" t="inlineStr">
        <is>
          <t>Jabodetabek</t>
        </is>
      </c>
      <c r="G489" s="10" t="inlineStr">
        <is>
          <t>Rumah Tangga</t>
        </is>
      </c>
      <c r="H489" s="10" t="inlineStr">
        <is>
          <t>Set Wadah Kedap</t>
        </is>
      </c>
      <c r="I489" s="10" t="n">
        <v>1</v>
      </c>
      <c r="J489" s="10" t="n">
        <v>135000</v>
      </c>
      <c r="K489" s="10" t="inlineStr">
        <is>
          <t>Rp 135.000</t>
        </is>
      </c>
    </row>
    <row r="490">
      <c r="A490" s="10" t="inlineStr">
        <is>
          <t>INV-71306</t>
        </is>
      </c>
      <c r="B490" s="10" t="inlineStr">
        <is>
          <t>2025-04-15</t>
        </is>
      </c>
      <c r="C490" s="10" t="inlineStr">
        <is>
          <t>C1361</t>
        </is>
      </c>
      <c r="D490" s="10" t="inlineStr">
        <is>
          <t>champion</t>
        </is>
      </c>
      <c r="E490" s="10" t="inlineStr">
        <is>
          <t>Shopee</t>
        </is>
      </c>
      <c r="F490" s="10" t="inlineStr">
        <is>
          <t>Jabodetabek</t>
        </is>
      </c>
      <c r="G490" s="10" t="inlineStr">
        <is>
          <t>Makanan</t>
        </is>
      </c>
      <c r="H490" s="10" t="inlineStr">
        <is>
          <t>Granola 500g</t>
        </is>
      </c>
      <c r="I490" s="10" t="n">
        <v>3</v>
      </c>
      <c r="J490" s="10" t="n">
        <v>92000</v>
      </c>
      <c r="K490" s="10" t="n">
        <v>276000</v>
      </c>
    </row>
    <row r="491">
      <c r="A491" s="10" t="inlineStr">
        <is>
          <t>INV-71361</t>
        </is>
      </c>
      <c r="B491" s="10" t="inlineStr">
        <is>
          <t>2025-09-22</t>
        </is>
      </c>
      <c r="C491" s="10" t="inlineStr">
        <is>
          <t>C1377</t>
        </is>
      </c>
      <c r="D491" s="10" t="inlineStr">
        <is>
          <t>champion</t>
        </is>
      </c>
      <c r="E491" s="10" t="inlineStr">
        <is>
          <t xml:space="preserve">Offline store </t>
        </is>
      </c>
      <c r="F491" s="10" t="inlineStr">
        <is>
          <t>Jabodetabek</t>
        </is>
      </c>
      <c r="G491" s="10" t="inlineStr">
        <is>
          <t>rumah tangga</t>
        </is>
      </c>
      <c r="H491" s="10" t="inlineStr">
        <is>
          <t>Karpet Bulu</t>
        </is>
      </c>
      <c r="I491" s="10" t="n">
        <v>4</v>
      </c>
      <c r="J491" s="10" t="n">
        <v>240000</v>
      </c>
      <c r="K491" s="10" t="n">
        <v>960000</v>
      </c>
    </row>
    <row r="492">
      <c r="A492" s="10" t="inlineStr">
        <is>
          <t>INV-70606</t>
        </is>
      </c>
      <c r="B492" s="10" t="inlineStr">
        <is>
          <t>2025-04-27</t>
        </is>
      </c>
      <c r="C492" s="10" t="inlineStr">
        <is>
          <t>C1163</t>
        </is>
      </c>
      <c r="D492" s="10" t="inlineStr">
        <is>
          <t>occasional</t>
        </is>
      </c>
      <c r="E492" s="10" t="inlineStr">
        <is>
          <t>Offline Store</t>
        </is>
      </c>
      <c r="F492" s="10" t="inlineStr">
        <is>
          <t>Jawa Barat</t>
        </is>
      </c>
      <c r="G492" s="10" t="inlineStr">
        <is>
          <t>Kecantikan</t>
        </is>
      </c>
      <c r="H492" s="10" t="inlineStr">
        <is>
          <t>Masker Wajah (5s)</t>
        </is>
      </c>
      <c r="I492" s="10" t="n">
        <v>3</v>
      </c>
      <c r="J492" s="10" t="n">
        <v>55000</v>
      </c>
      <c r="K492" s="10" t="n">
        <v>165000</v>
      </c>
    </row>
    <row r="493">
      <c r="A493" s="10" t="inlineStr">
        <is>
          <t>INV-70581</t>
        </is>
      </c>
      <c r="B493" s="10" t="inlineStr">
        <is>
          <t>2026-05-19</t>
        </is>
      </c>
      <c r="C493" s="10" t="inlineStr">
        <is>
          <t>C1157</t>
        </is>
      </c>
      <c r="D493" s="10" t="inlineStr">
        <is>
          <t>loyal</t>
        </is>
      </c>
      <c r="E493" s="10" t="inlineStr">
        <is>
          <t>Shopee</t>
        </is>
      </c>
      <c r="F493" s="10" t="inlineStr">
        <is>
          <t>Jabodetabek</t>
        </is>
      </c>
      <c r="G493" s="10" t="inlineStr">
        <is>
          <t>Kecantikan</t>
        </is>
      </c>
      <c r="H493" s="10" t="inlineStr">
        <is>
          <t>Masker Wajah (5s)</t>
        </is>
      </c>
      <c r="I493" s="10" t="n">
        <v>1</v>
      </c>
      <c r="J493" s="10" t="n">
        <v>55000</v>
      </c>
      <c r="K493" s="10" t="inlineStr">
        <is>
          <t>Rp 55.000</t>
        </is>
      </c>
    </row>
    <row r="494">
      <c r="A494" s="10" t="inlineStr">
        <is>
          <t>INV-70426</t>
        </is>
      </c>
      <c r="B494" s="10" t="inlineStr">
        <is>
          <t>12/06/2025</t>
        </is>
      </c>
      <c r="C494" s="10" t="inlineStr">
        <is>
          <t>C1120</t>
        </is>
      </c>
      <c r="D494" s="10" t="inlineStr">
        <is>
          <t>occasional</t>
        </is>
      </c>
      <c r="E494" s="10" t="inlineStr">
        <is>
          <t xml:space="preserve">Offline store </t>
        </is>
      </c>
      <c r="F494" s="10" t="inlineStr">
        <is>
          <t>Lainnya</t>
        </is>
      </c>
      <c r="G494" s="10" t="inlineStr">
        <is>
          <t>Kecantikan</t>
        </is>
      </c>
      <c r="H494" s="10" t="inlineStr">
        <is>
          <t>Masker Wajah (5s)</t>
        </is>
      </c>
      <c r="I494" s="10" t="n">
        <v>1</v>
      </c>
      <c r="J494" s="10" t="n">
        <v>55000</v>
      </c>
      <c r="K494" s="10" t="n">
        <v>55000</v>
      </c>
    </row>
    <row r="495">
      <c r="A495" s="10" t="inlineStr">
        <is>
          <t>INV-71510</t>
        </is>
      </c>
      <c r="B495" s="10" t="inlineStr">
        <is>
          <t>2026-02-21</t>
        </is>
      </c>
      <c r="C495" s="10" t="inlineStr">
        <is>
          <t>C1414</t>
        </is>
      </c>
      <c r="D495" s="10" t="inlineStr">
        <is>
          <t>occasional</t>
        </is>
      </c>
      <c r="E495" s="10" t="inlineStr">
        <is>
          <t>Shopee</t>
        </is>
      </c>
      <c r="F495" s="10" t="inlineStr">
        <is>
          <t>Jawa Barat</t>
        </is>
      </c>
      <c r="G495" s="10" t="inlineStr">
        <is>
          <t>Rumah Tangga</t>
        </is>
      </c>
      <c r="H495" s="10" t="inlineStr">
        <is>
          <t>Set Wadah Kedap</t>
        </is>
      </c>
      <c r="I495" s="10" t="n">
        <v>1</v>
      </c>
      <c r="J495" s="10" t="n">
        <v>135000</v>
      </c>
      <c r="K495" s="10" t="n">
        <v>135000</v>
      </c>
    </row>
    <row r="496">
      <c r="A496" s="10" t="inlineStr">
        <is>
          <t>INV-71138</t>
        </is>
      </c>
      <c r="B496" s="10" t="inlineStr">
        <is>
          <t>2025-04-21</t>
        </is>
      </c>
      <c r="C496" s="10" t="inlineStr">
        <is>
          <t>C1322</t>
        </is>
      </c>
      <c r="D496" s="10" t="inlineStr">
        <is>
          <t>loyal</t>
        </is>
      </c>
      <c r="E496" s="10" t="inlineStr">
        <is>
          <t>Tiktok Shop</t>
        </is>
      </c>
      <c r="F496" s="10" t="inlineStr">
        <is>
          <t>Jawa Tengah</t>
        </is>
      </c>
      <c r="G496" s="10" t="inlineStr">
        <is>
          <t>Kecantikan</t>
        </is>
      </c>
      <c r="H496" s="10" t="inlineStr">
        <is>
          <t>Masker Wajah (5s)</t>
        </is>
      </c>
      <c r="I496" s="10" t="n">
        <v>2</v>
      </c>
      <c r="J496" s="10" t="n">
        <v>55000</v>
      </c>
      <c r="K496" s="10" t="n">
        <v>110000</v>
      </c>
    </row>
    <row r="497">
      <c r="A497" s="10" t="inlineStr">
        <is>
          <t>INV-70556</t>
        </is>
      </c>
      <c r="B497" s="10" t="inlineStr">
        <is>
          <t>2025-03-15</t>
        </is>
      </c>
      <c r="C497" s="10" t="inlineStr">
        <is>
          <t>C1153</t>
        </is>
      </c>
      <c r="D497" s="10" t="inlineStr">
        <is>
          <t>loyal</t>
        </is>
      </c>
      <c r="E497" s="10" t="inlineStr">
        <is>
          <t>TikTok Shop</t>
        </is>
      </c>
      <c r="F497" s="10" t="inlineStr">
        <is>
          <t>Jabodetabek</t>
        </is>
      </c>
      <c r="G497" s="10" t="inlineStr">
        <is>
          <t>Elektronik</t>
        </is>
      </c>
      <c r="H497" s="10" t="inlineStr">
        <is>
          <t>Smartwatch</t>
        </is>
      </c>
      <c r="I497" s="10" t="n">
        <v>1</v>
      </c>
      <c r="J497" s="10" t="n">
        <v>450000</v>
      </c>
      <c r="K497" s="10" t="n">
        <v>450000</v>
      </c>
    </row>
    <row r="498">
      <c r="A498" s="10" t="inlineStr">
        <is>
          <t>INV-71212</t>
        </is>
      </c>
      <c r="B498" s="10" t="inlineStr">
        <is>
          <t>2025-10-22</t>
        </is>
      </c>
      <c r="C498" s="10" t="inlineStr">
        <is>
          <t>C1344</t>
        </is>
      </c>
      <c r="D498" s="10" t="inlineStr">
        <is>
          <t>loyal</t>
        </is>
      </c>
      <c r="E498" s="10" t="inlineStr">
        <is>
          <t>TikTok Shop</t>
        </is>
      </c>
      <c r="F498" s="10" t="inlineStr">
        <is>
          <t>Jabodetabek</t>
        </is>
      </c>
      <c r="G498" s="10" t="inlineStr">
        <is>
          <t>Makanan</t>
        </is>
      </c>
      <c r="H498" s="10" t="inlineStr">
        <is>
          <t>Madu Hutan 250ml</t>
        </is>
      </c>
      <c r="I498" s="10" t="n">
        <v>1</v>
      </c>
      <c r="J498" s="10" t="n">
        <v>110000</v>
      </c>
      <c r="K498" s="10" t="n">
        <v>110000</v>
      </c>
    </row>
    <row r="499">
      <c r="A499" s="10" t="inlineStr">
        <is>
          <t>INV-71497</t>
        </is>
      </c>
      <c r="B499" s="10" t="inlineStr">
        <is>
          <t>2025-05-16</t>
        </is>
      </c>
      <c r="C499" s="10" t="inlineStr">
        <is>
          <t>C1412</t>
        </is>
      </c>
      <c r="D499" s="10" t="inlineStr">
        <is>
          <t>champion</t>
        </is>
      </c>
      <c r="E499" s="10" t="inlineStr">
        <is>
          <t>Offline Store</t>
        </is>
      </c>
      <c r="F499" s="10" t="inlineStr">
        <is>
          <t>Jawa Barat</t>
        </is>
      </c>
      <c r="G499" s="10" t="inlineStr">
        <is>
          <t>Elektronik</t>
        </is>
      </c>
      <c r="H499" s="10" t="inlineStr">
        <is>
          <t>Webcam HD</t>
        </is>
      </c>
      <c r="I499" s="10" t="n">
        <v>1</v>
      </c>
      <c r="J499" s="10" t="n">
        <v>210000</v>
      </c>
      <c r="K499" s="10" t="inlineStr">
        <is>
          <t>Rp 210.000</t>
        </is>
      </c>
    </row>
    <row r="500">
      <c r="A500" s="10" t="inlineStr">
        <is>
          <t>INV-71321</t>
        </is>
      </c>
      <c r="B500" s="10" t="inlineStr">
        <is>
          <t>20/01/2026</t>
        </is>
      </c>
      <c r="C500" s="10" t="inlineStr">
        <is>
          <t>C1364</t>
        </is>
      </c>
      <c r="D500" s="10" t="inlineStr">
        <is>
          <t>champion</t>
        </is>
      </c>
      <c r="E500" s="10" t="inlineStr">
        <is>
          <t>TikTok Shop</t>
        </is>
      </c>
      <c r="F500" s="10" t="inlineStr">
        <is>
          <t>Jabodetabek</t>
        </is>
      </c>
      <c r="G500" s="10" t="inlineStr">
        <is>
          <t>Rumah Tangga</t>
        </is>
      </c>
      <c r="H500" s="10" t="inlineStr">
        <is>
          <t>Set Wadah Kedap</t>
        </is>
      </c>
      <c r="I500" s="10" t="n">
        <v>1</v>
      </c>
      <c r="J500" s="10" t="n">
        <v>135000</v>
      </c>
      <c r="K500" s="10" t="n">
        <v>135000</v>
      </c>
    </row>
    <row r="501">
      <c r="A501" s="10" t="inlineStr">
        <is>
          <t>INV-70197</t>
        </is>
      </c>
      <c r="B501" s="10" t="inlineStr">
        <is>
          <t>2025-12-12</t>
        </is>
      </c>
      <c r="C501" s="10" t="inlineStr">
        <is>
          <t>C1056</t>
        </is>
      </c>
      <c r="D501" s="10" t="inlineStr">
        <is>
          <t>loyal</t>
        </is>
      </c>
      <c r="E501" s="10" t="inlineStr">
        <is>
          <t>Tokopedia</t>
        </is>
      </c>
      <c r="F501" s="10" t="inlineStr">
        <is>
          <t>Jabodetabek</t>
        </is>
      </c>
      <c r="G501" s="10" t="inlineStr">
        <is>
          <t>Elektronik</t>
        </is>
      </c>
      <c r="H501" s="10" t="inlineStr">
        <is>
          <t>Earbuds TWS</t>
        </is>
      </c>
      <c r="I501" s="10" t="n">
        <v>4</v>
      </c>
      <c r="J501" s="10" t="n">
        <v>265000</v>
      </c>
      <c r="K501" s="10" t="n">
        <v>1060000</v>
      </c>
    </row>
    <row r="502">
      <c r="A502" s="10" t="inlineStr">
        <is>
          <t>INV-70518</t>
        </is>
      </c>
      <c r="B502" s="10" t="inlineStr">
        <is>
          <t>2025-09-06</t>
        </is>
      </c>
      <c r="C502" s="10" t="inlineStr">
        <is>
          <t>C1142</t>
        </is>
      </c>
      <c r="D502" s="10" t="inlineStr">
        <is>
          <t>champion</t>
        </is>
      </c>
      <c r="E502" s="10" t="inlineStr">
        <is>
          <t>Tokopedia</t>
        </is>
      </c>
      <c r="F502" s="10" t="n"/>
      <c r="G502" s="10" t="inlineStr">
        <is>
          <t>Rumah Tangga</t>
        </is>
      </c>
      <c r="H502" s="10" t="inlineStr">
        <is>
          <t>Set Wadah Kedap</t>
        </is>
      </c>
      <c r="I502" s="10" t="n">
        <v>1</v>
      </c>
      <c r="J502" s="10" t="n">
        <v>135000</v>
      </c>
      <c r="K502" s="10" t="n">
        <v>135000</v>
      </c>
    </row>
    <row r="503">
      <c r="A503" s="10" t="inlineStr">
        <is>
          <t>INV-70491</t>
        </is>
      </c>
      <c r="B503" s="10" t="inlineStr">
        <is>
          <t>2025-12-24</t>
        </is>
      </c>
      <c r="C503" s="10" t="inlineStr">
        <is>
          <t>C1139</t>
        </is>
      </c>
      <c r="D503" s="10" t="inlineStr">
        <is>
          <t>champion</t>
        </is>
      </c>
      <c r="E503" s="10" t="inlineStr">
        <is>
          <t>Tiktok Shop</t>
        </is>
      </c>
      <c r="F503" s="10" t="inlineStr">
        <is>
          <t>Jabodetabek</t>
        </is>
      </c>
      <c r="G503" s="10" t="inlineStr">
        <is>
          <t>Rumah Tangga</t>
        </is>
      </c>
      <c r="H503" s="10" t="inlineStr">
        <is>
          <t>Organizer Laci</t>
        </is>
      </c>
      <c r="I503" s="10" t="n">
        <v>3</v>
      </c>
      <c r="J503" s="10" t="n">
        <v>78000</v>
      </c>
      <c r="K503" s="10" t="inlineStr">
        <is>
          <t>Rp 234.000</t>
        </is>
      </c>
    </row>
    <row r="504">
      <c r="A504" s="10" t="inlineStr">
        <is>
          <t>INV-70689</t>
        </is>
      </c>
      <c r="B504" s="10" t="inlineStr">
        <is>
          <t>2025-03-01</t>
        </is>
      </c>
      <c r="C504" s="10" t="inlineStr">
        <is>
          <t>C1189</t>
        </is>
      </c>
      <c r="D504" s="10" t="inlineStr">
        <is>
          <t>regular</t>
        </is>
      </c>
      <c r="E504" s="10" t="inlineStr">
        <is>
          <t>Tokopedia</t>
        </is>
      </c>
      <c r="F504" s="10" t="inlineStr">
        <is>
          <t>Jawa Barat</t>
        </is>
      </c>
      <c r="G504" s="10" t="inlineStr">
        <is>
          <t>Rumah Tangga</t>
        </is>
      </c>
      <c r="H504" s="10" t="inlineStr">
        <is>
          <t>Set Wadah Kedap</t>
        </is>
      </c>
      <c r="I504" s="10" t="n">
        <v>1</v>
      </c>
      <c r="J504" s="10" t="n">
        <v>135000</v>
      </c>
      <c r="K504" s="10" t="inlineStr">
        <is>
          <t>Rp 135.000</t>
        </is>
      </c>
    </row>
    <row r="505">
      <c r="A505" s="10" t="inlineStr">
        <is>
          <t>INV-71439</t>
        </is>
      </c>
      <c r="B505" s="10" t="inlineStr">
        <is>
          <t>07/04/2026</t>
        </is>
      </c>
      <c r="C505" s="10" t="inlineStr">
        <is>
          <t>C1396</t>
        </is>
      </c>
      <c r="D505" s="10" t="inlineStr">
        <is>
          <t>loyal</t>
        </is>
      </c>
      <c r="E505" s="10" t="inlineStr">
        <is>
          <t>SHOPEE</t>
        </is>
      </c>
      <c r="F505" s="10" t="inlineStr">
        <is>
          <t>Jawa Timur</t>
        </is>
      </c>
      <c r="G505" s="10" t="inlineStr">
        <is>
          <t>Makanan</t>
        </is>
      </c>
      <c r="H505" s="10" t="inlineStr">
        <is>
          <t>Madu Hutan 250ml</t>
        </is>
      </c>
      <c r="I505" s="10" t="n">
        <v>4</v>
      </c>
      <c r="J505" s="10" t="n">
        <v>110000</v>
      </c>
      <c r="K505" s="10" t="n">
        <v>452000</v>
      </c>
    </row>
    <row r="506">
      <c r="A506" s="10" t="inlineStr">
        <is>
          <t>INV-70912</t>
        </is>
      </c>
      <c r="B506" s="10" t="inlineStr">
        <is>
          <t>06/03/2025</t>
        </is>
      </c>
      <c r="C506" s="10" t="inlineStr">
        <is>
          <t>C1258</t>
        </is>
      </c>
      <c r="D506" s="10" t="inlineStr">
        <is>
          <t>regular</t>
        </is>
      </c>
      <c r="E506" s="10" t="inlineStr">
        <is>
          <t>TikTok Shop</t>
        </is>
      </c>
      <c r="F506" s="10" t="inlineStr">
        <is>
          <t>Jawa Timur</t>
        </is>
      </c>
      <c r="G506" s="10" t="inlineStr">
        <is>
          <t>Rumah Tangga</t>
        </is>
      </c>
      <c r="H506" s="10" t="inlineStr">
        <is>
          <t>Set Wadah Kedap</t>
        </is>
      </c>
      <c r="I506" s="10" t="n">
        <v>1</v>
      </c>
      <c r="J506" s="10" t="n">
        <v>135000</v>
      </c>
      <c r="K506" s="10" t="n">
        <v>135000</v>
      </c>
    </row>
    <row r="507">
      <c r="A507" s="10" t="inlineStr">
        <is>
          <t>INV-70129</t>
        </is>
      </c>
      <c r="B507" s="10" t="inlineStr">
        <is>
          <t>03 Jan 2025</t>
        </is>
      </c>
      <c r="C507" s="10" t="inlineStr">
        <is>
          <t>C1038</t>
        </is>
      </c>
      <c r="D507" s="10" t="inlineStr">
        <is>
          <t>champion</t>
        </is>
      </c>
      <c r="E507" s="10" t="inlineStr">
        <is>
          <t>TikTok Shop</t>
        </is>
      </c>
      <c r="F507" s="10" t="inlineStr">
        <is>
          <t>Jawa Barat</t>
        </is>
      </c>
      <c r="G507" s="10" t="inlineStr">
        <is>
          <t>Kecantikan</t>
        </is>
      </c>
      <c r="H507" s="10" t="inlineStr">
        <is>
          <t>Masker Wajah (5s)</t>
        </is>
      </c>
      <c r="I507" s="10" t="n">
        <v>4</v>
      </c>
      <c r="J507" s="10" t="n">
        <v>55000</v>
      </c>
      <c r="K507" s="10" t="n">
        <v>220000</v>
      </c>
    </row>
    <row r="508">
      <c r="A508" s="10" t="inlineStr">
        <is>
          <t>INV-71240</t>
        </is>
      </c>
      <c r="B508" s="10" t="inlineStr">
        <is>
          <t>21 Apr 2026</t>
        </is>
      </c>
      <c r="C508" s="10" t="inlineStr">
        <is>
          <t>C1349</t>
        </is>
      </c>
      <c r="D508" s="10" t="inlineStr">
        <is>
          <t>champion</t>
        </is>
      </c>
      <c r="E508" s="10" t="inlineStr">
        <is>
          <t>Shopee</t>
        </is>
      </c>
      <c r="F508" s="10" t="inlineStr">
        <is>
          <t>Sumatera</t>
        </is>
      </c>
      <c r="G508" s="10" t="inlineStr">
        <is>
          <t>Elektronik</t>
        </is>
      </c>
      <c r="H508" s="10" t="inlineStr">
        <is>
          <t>Webcam HD</t>
        </is>
      </c>
      <c r="I508" s="10" t="n">
        <v>2</v>
      </c>
      <c r="J508" s="10" t="n">
        <v>210000</v>
      </c>
      <c r="K508" s="10" t="n">
        <v>420000</v>
      </c>
    </row>
    <row r="509">
      <c r="A509" s="10" t="inlineStr">
        <is>
          <t>INV-70719</t>
        </is>
      </c>
      <c r="B509" s="10" t="inlineStr">
        <is>
          <t>08/05/2026</t>
        </is>
      </c>
      <c r="C509" s="10" t="inlineStr">
        <is>
          <t>C1199</t>
        </is>
      </c>
      <c r="D509" s="10" t="inlineStr">
        <is>
          <t>loyal</t>
        </is>
      </c>
      <c r="E509" s="10" t="inlineStr">
        <is>
          <t>Tokopedia</t>
        </is>
      </c>
      <c r="F509" s="10" t="inlineStr">
        <is>
          <t>Jawa Tengah</t>
        </is>
      </c>
      <c r="G509" s="10" t="inlineStr">
        <is>
          <t>Rumah Tangga</t>
        </is>
      </c>
      <c r="H509" s="10" t="inlineStr">
        <is>
          <t>Set Wadah Kedap</t>
        </is>
      </c>
      <c r="I509" s="10" t="n">
        <v>1</v>
      </c>
      <c r="J509" s="10" t="n">
        <v>135000</v>
      </c>
      <c r="K509" s="10" t="n">
        <v>135000</v>
      </c>
    </row>
    <row r="510">
      <c r="A510" s="10" t="inlineStr">
        <is>
          <t>INV-70384</t>
        </is>
      </c>
      <c r="B510" s="10" t="inlineStr">
        <is>
          <t>2025-08-04</t>
        </is>
      </c>
      <c r="C510" s="10" t="inlineStr">
        <is>
          <t>C1111</t>
        </is>
      </c>
      <c r="D510" s="10" t="inlineStr">
        <is>
          <t>champion</t>
        </is>
      </c>
      <c r="E510" s="10" t="inlineStr">
        <is>
          <t>SHOPEE</t>
        </is>
      </c>
      <c r="F510" s="10" t="inlineStr">
        <is>
          <t>Sumatera</t>
        </is>
      </c>
      <c r="G510" s="10" t="inlineStr">
        <is>
          <t>Elektronik</t>
        </is>
      </c>
      <c r="H510" s="10" t="inlineStr">
        <is>
          <t>Webcam HD</t>
        </is>
      </c>
      <c r="I510" s="10" t="n">
        <v>2</v>
      </c>
      <c r="J510" s="10" t="n">
        <v>210000</v>
      </c>
      <c r="K510" s="10" t="n">
        <v>420000</v>
      </c>
    </row>
    <row r="511">
      <c r="A511" s="10" t="inlineStr">
        <is>
          <t>INV-70805</t>
        </is>
      </c>
      <c r="B511" s="10" t="inlineStr">
        <is>
          <t>2025-03-01</t>
        </is>
      </c>
      <c r="C511" s="10" t="inlineStr">
        <is>
          <t>C1225</t>
        </is>
      </c>
      <c r="D511" s="10" t="inlineStr">
        <is>
          <t>regular</t>
        </is>
      </c>
      <c r="E511" s="10" t="inlineStr">
        <is>
          <t>Tokopedia</t>
        </is>
      </c>
      <c r="F511" s="10" t="inlineStr">
        <is>
          <t>Jawa Tengah</t>
        </is>
      </c>
      <c r="G511" s="10" t="inlineStr">
        <is>
          <t>rumah tangga</t>
        </is>
      </c>
      <c r="H511" s="10" t="inlineStr">
        <is>
          <t>Set Wadah Kedap</t>
        </is>
      </c>
      <c r="I511" s="10" t="n">
        <v>2</v>
      </c>
      <c r="J511" s="10" t="n">
        <v>135000</v>
      </c>
      <c r="K511" s="10" t="n">
        <v>270000</v>
      </c>
    </row>
    <row r="512">
      <c r="A512" s="10" t="inlineStr">
        <is>
          <t>INV-70738</t>
        </is>
      </c>
      <c r="B512" s="10" t="inlineStr">
        <is>
          <t>2025-07-21</t>
        </is>
      </c>
      <c r="C512" s="10" t="inlineStr">
        <is>
          <t>C1207</t>
        </is>
      </c>
      <c r="D512" s="10" t="inlineStr">
        <is>
          <t>loyal</t>
        </is>
      </c>
      <c r="E512" s="10" t="inlineStr">
        <is>
          <t>SHOPEE</t>
        </is>
      </c>
      <c r="F512" s="10" t="n"/>
      <c r="G512" s="10" t="inlineStr">
        <is>
          <t>Rumah Tangga</t>
        </is>
      </c>
      <c r="H512" s="10" t="inlineStr">
        <is>
          <t>Set Wadah Kedap</t>
        </is>
      </c>
      <c r="I512" s="10" t="n">
        <v>2</v>
      </c>
      <c r="J512" s="10" t="n">
        <v>135000</v>
      </c>
      <c r="K512" s="10" t="n">
        <v>270000</v>
      </c>
    </row>
    <row r="513">
      <c r="A513" s="10" t="inlineStr">
        <is>
          <t>INV-71226</t>
        </is>
      </c>
      <c r="B513" s="10" t="inlineStr">
        <is>
          <t>2025-04-01</t>
        </is>
      </c>
      <c r="C513" s="10" t="inlineStr">
        <is>
          <t>C1348</t>
        </is>
      </c>
      <c r="D513" s="10" t="inlineStr">
        <is>
          <t>loyal</t>
        </is>
      </c>
      <c r="E513" s="10" t="inlineStr">
        <is>
          <t>Offline Store</t>
        </is>
      </c>
      <c r="F513" s="10" t="inlineStr">
        <is>
          <t>Jabodetabek</t>
        </is>
      </c>
      <c r="G513" s="10" t="inlineStr">
        <is>
          <t>Fashion</t>
        </is>
      </c>
      <c r="H513" s="10" t="inlineStr">
        <is>
          <t>Dress Casual</t>
        </is>
      </c>
      <c r="I513" s="10" t="n">
        <v>1</v>
      </c>
      <c r="J513" s="10" t="n">
        <v>225000</v>
      </c>
      <c r="K513" s="10" t="n">
        <v>225000</v>
      </c>
    </row>
    <row r="514">
      <c r="A514" s="10" t="inlineStr">
        <is>
          <t>INV-70029</t>
        </is>
      </c>
      <c r="B514" s="10" t="inlineStr">
        <is>
          <t>2025-08-08</t>
        </is>
      </c>
      <c r="C514" s="10" t="inlineStr">
        <is>
          <t>C1006</t>
        </is>
      </c>
      <c r="D514" s="10" t="inlineStr">
        <is>
          <t>regular</t>
        </is>
      </c>
      <c r="E514" s="10" t="inlineStr">
        <is>
          <t xml:space="preserve">Offline store </t>
        </is>
      </c>
      <c r="F514" s="10" t="inlineStr">
        <is>
          <t>Sumatera</t>
        </is>
      </c>
      <c r="G514" s="10" t="inlineStr">
        <is>
          <t>Elektronik</t>
        </is>
      </c>
      <c r="H514" s="10" t="inlineStr">
        <is>
          <t>Smartwatch</t>
        </is>
      </c>
      <c r="I514" s="10" t="n">
        <v>2</v>
      </c>
      <c r="J514" s="10" t="n">
        <v>450000</v>
      </c>
      <c r="K514" s="10" t="n">
        <v>900000</v>
      </c>
    </row>
    <row r="515">
      <c r="A515" s="10" t="inlineStr">
        <is>
          <t>INV-71313</t>
        </is>
      </c>
      <c r="B515" s="10" t="inlineStr">
        <is>
          <t>02 Oct 2025</t>
        </is>
      </c>
      <c r="C515" s="10" t="inlineStr">
        <is>
          <t>C1364</t>
        </is>
      </c>
      <c r="D515" s="10" t="inlineStr">
        <is>
          <t>champion</t>
        </is>
      </c>
      <c r="E515" s="10" t="inlineStr">
        <is>
          <t>Shopee</t>
        </is>
      </c>
      <c r="F515" s="10" t="inlineStr">
        <is>
          <t>Jabodetabek</t>
        </is>
      </c>
      <c r="G515" s="10" t="inlineStr">
        <is>
          <t>Elektronik</t>
        </is>
      </c>
      <c r="H515" s="10" t="inlineStr">
        <is>
          <t>Webcam HD</t>
        </is>
      </c>
      <c r="I515" s="10" t="n">
        <v>1</v>
      </c>
      <c r="J515" s="10" t="n">
        <v>210000</v>
      </c>
      <c r="K515" s="10" t="n">
        <v>210000</v>
      </c>
    </row>
    <row r="516">
      <c r="A516" s="10" t="inlineStr">
        <is>
          <t>INV-70907</t>
        </is>
      </c>
      <c r="B516" s="10" t="inlineStr">
        <is>
          <t>2025-05-25</t>
        </is>
      </c>
      <c r="C516" s="10" t="inlineStr">
        <is>
          <t>C1256</t>
        </is>
      </c>
      <c r="D516" s="10" t="inlineStr">
        <is>
          <t>loyal</t>
        </is>
      </c>
      <c r="E516" s="10" t="inlineStr">
        <is>
          <t>Tokopedia</t>
        </is>
      </c>
      <c r="F516" s="10" t="inlineStr">
        <is>
          <t>Jawa Tengah</t>
        </is>
      </c>
      <c r="G516" s="10" t="inlineStr">
        <is>
          <t>Fashion</t>
        </is>
      </c>
      <c r="H516" s="10" t="inlineStr">
        <is>
          <t>Celana Chino</t>
        </is>
      </c>
      <c r="I516" s="10" t="n">
        <v>2</v>
      </c>
      <c r="J516" s="10" t="n">
        <v>195000</v>
      </c>
      <c r="K516" s="10" t="n">
        <v>390000</v>
      </c>
    </row>
    <row r="517">
      <c r="A517" s="10" t="inlineStr">
        <is>
          <t>INV-70168</t>
        </is>
      </c>
      <c r="B517" s="10" t="inlineStr">
        <is>
          <t>2025-03-23</t>
        </is>
      </c>
      <c r="C517" s="10" t="inlineStr">
        <is>
          <t>C1049</t>
        </is>
      </c>
      <c r="D517" s="10" t="inlineStr">
        <is>
          <t>champion</t>
        </is>
      </c>
      <c r="E517" s="10" t="inlineStr">
        <is>
          <t>Tokopedia</t>
        </is>
      </c>
      <c r="F517" s="10" t="inlineStr">
        <is>
          <t>Jawa Barat</t>
        </is>
      </c>
      <c r="G517" s="10" t="inlineStr">
        <is>
          <t>Rumah Tangga</t>
        </is>
      </c>
      <c r="H517" s="10" t="inlineStr">
        <is>
          <t>Set Wadah Kedap</t>
        </is>
      </c>
      <c r="I517" s="10" t="n">
        <v>3</v>
      </c>
      <c r="J517" s="10" t="n">
        <v>135000</v>
      </c>
      <c r="K517" s="10" t="n">
        <v>405000</v>
      </c>
    </row>
    <row r="518">
      <c r="A518" s="10" t="inlineStr">
        <is>
          <t>INV-70774</t>
        </is>
      </c>
      <c r="B518" s="10" t="inlineStr">
        <is>
          <t>26 Jan 2025</t>
        </is>
      </c>
      <c r="C518" s="10" t="inlineStr">
        <is>
          <t>C1218</t>
        </is>
      </c>
      <c r="D518" s="10" t="inlineStr">
        <is>
          <t>occasional</t>
        </is>
      </c>
      <c r="E518" s="10" t="inlineStr">
        <is>
          <t xml:space="preserve">Tokopedia </t>
        </is>
      </c>
      <c r="F518" s="10" t="inlineStr">
        <is>
          <t>Jabodetabek</t>
        </is>
      </c>
      <c r="G518" s="10" t="inlineStr">
        <is>
          <t>Elektronik</t>
        </is>
      </c>
      <c r="H518" s="10" t="inlineStr">
        <is>
          <t>Earbuds TWS</t>
        </is>
      </c>
      <c r="I518" s="10" t="n">
        <v>2</v>
      </c>
      <c r="J518" s="10" t="n">
        <v>265000</v>
      </c>
      <c r="K518" s="10" t="n">
        <v>530000</v>
      </c>
    </row>
    <row r="519">
      <c r="A519" s="10" t="inlineStr">
        <is>
          <t>INV-70402</t>
        </is>
      </c>
      <c r="B519" s="10" t="inlineStr">
        <is>
          <t>2025-11-12</t>
        </is>
      </c>
      <c r="C519" s="10" t="inlineStr">
        <is>
          <t>C1112</t>
        </is>
      </c>
      <c r="D519" s="10" t="inlineStr">
        <is>
          <t>loyal</t>
        </is>
      </c>
      <c r="E519" s="10" t="inlineStr">
        <is>
          <t>Tokopedia</t>
        </is>
      </c>
      <c r="F519" s="10" t="inlineStr">
        <is>
          <t>Jabodetabek</t>
        </is>
      </c>
      <c r="G519" s="10" t="inlineStr">
        <is>
          <t>Kecantikan</t>
        </is>
      </c>
      <c r="H519" s="10" t="inlineStr">
        <is>
          <t>Serum Vit C</t>
        </is>
      </c>
      <c r="I519" s="10" t="n">
        <v>3</v>
      </c>
      <c r="J519" s="10" t="n">
        <v>145000</v>
      </c>
      <c r="K519" s="10" t="inlineStr">
        <is>
          <t>Rp 435.000</t>
        </is>
      </c>
    </row>
    <row r="520">
      <c r="A520" s="10" t="inlineStr">
        <is>
          <t>INV-70820</t>
        </is>
      </c>
      <c r="B520" s="10" t="inlineStr">
        <is>
          <t>2025-08-03</t>
        </is>
      </c>
      <c r="C520" s="10" t="inlineStr">
        <is>
          <t>C1232</t>
        </is>
      </c>
      <c r="D520" s="10" t="inlineStr">
        <is>
          <t>onetime</t>
        </is>
      </c>
      <c r="E520" s="10" t="inlineStr">
        <is>
          <t>Shopee</t>
        </is>
      </c>
      <c r="F520" s="10" t="inlineStr">
        <is>
          <t>Jabodetabek</t>
        </is>
      </c>
      <c r="G520" s="10" t="inlineStr">
        <is>
          <t>Fashion</t>
        </is>
      </c>
      <c r="H520" s="10" t="inlineStr">
        <is>
          <t>Celana Chino</t>
        </is>
      </c>
      <c r="I520" s="10" t="n">
        <v>4</v>
      </c>
      <c r="J520" s="10" t="n">
        <v>195000</v>
      </c>
      <c r="K520" s="10" t="n">
        <v>780000</v>
      </c>
    </row>
    <row r="521">
      <c r="A521" s="10" t="inlineStr">
        <is>
          <t>INV-70515</t>
        </is>
      </c>
      <c r="B521" s="10" t="inlineStr">
        <is>
          <t>14/02/2025</t>
        </is>
      </c>
      <c r="C521" s="10" t="inlineStr">
        <is>
          <t>C1142</t>
        </is>
      </c>
      <c r="D521" s="10" t="inlineStr">
        <is>
          <t>champion</t>
        </is>
      </c>
      <c r="E521" s="10" t="inlineStr">
        <is>
          <t>Tokopedia</t>
        </is>
      </c>
      <c r="F521" s="10" t="inlineStr">
        <is>
          <t>Lainnya</t>
        </is>
      </c>
      <c r="G521" s="10" t="inlineStr">
        <is>
          <t>Elektronik</t>
        </is>
      </c>
      <c r="H521" s="10" t="inlineStr">
        <is>
          <t>Webcam HD</t>
        </is>
      </c>
      <c r="I521" s="10" t="n">
        <v>2</v>
      </c>
      <c r="J521" s="10" t="n">
        <v>210000</v>
      </c>
      <c r="K521" s="10" t="n">
        <v>420000</v>
      </c>
    </row>
    <row r="522">
      <c r="A522" s="10" t="inlineStr">
        <is>
          <t>INV-70169</t>
        </is>
      </c>
      <c r="B522" s="10" t="inlineStr">
        <is>
          <t>19/04/2025</t>
        </is>
      </c>
      <c r="C522" s="10" t="inlineStr">
        <is>
          <t>C1049</t>
        </is>
      </c>
      <c r="D522" s="10" t="inlineStr">
        <is>
          <t>champion</t>
        </is>
      </c>
      <c r="E522" s="10" t="inlineStr">
        <is>
          <t>Tokopedia</t>
        </is>
      </c>
      <c r="F522" s="10" t="inlineStr">
        <is>
          <t>Jawa Barat</t>
        </is>
      </c>
      <c r="G522" s="10" t="inlineStr">
        <is>
          <t>Elektronik</t>
        </is>
      </c>
      <c r="H522" s="10" t="inlineStr">
        <is>
          <t>Smartwatch</t>
        </is>
      </c>
      <c r="I522" s="10" t="n">
        <v>2</v>
      </c>
      <c r="J522" s="10" t="n">
        <v>450000</v>
      </c>
      <c r="K522" s="10" t="inlineStr">
        <is>
          <t>Rp 900.000</t>
        </is>
      </c>
    </row>
    <row r="523">
      <c r="A523" s="10" t="inlineStr">
        <is>
          <t>INV-70170</t>
        </is>
      </c>
      <c r="B523" s="10" t="inlineStr">
        <is>
          <t>2025-05-23</t>
        </is>
      </c>
      <c r="C523" s="10" t="inlineStr">
        <is>
          <t>C1049</t>
        </is>
      </c>
      <c r="D523" s="10" t="inlineStr">
        <is>
          <t>champion</t>
        </is>
      </c>
      <c r="E523" s="10" t="inlineStr">
        <is>
          <t xml:space="preserve"> tokopedia</t>
        </is>
      </c>
      <c r="F523" s="10" t="inlineStr">
        <is>
          <t>Jabodetabek</t>
        </is>
      </c>
      <c r="G523" s="10" t="inlineStr">
        <is>
          <t>elektronik</t>
        </is>
      </c>
      <c r="H523" s="10" t="inlineStr">
        <is>
          <t>Power Bank 20K</t>
        </is>
      </c>
      <c r="I523" s="10" t="n">
        <v>1</v>
      </c>
      <c r="J523" s="10" t="n">
        <v>185000</v>
      </c>
      <c r="K523" s="10" t="n">
        <v>185000</v>
      </c>
    </row>
    <row r="524">
      <c r="A524" s="10" t="inlineStr">
        <is>
          <t>INV-71285</t>
        </is>
      </c>
      <c r="B524" s="10" t="inlineStr">
        <is>
          <t>2025-03-05</t>
        </is>
      </c>
      <c r="C524" s="10" t="inlineStr">
        <is>
          <t>C1359</t>
        </is>
      </c>
      <c r="D524" s="10" t="inlineStr">
        <is>
          <t>champion</t>
        </is>
      </c>
      <c r="E524" s="10" t="inlineStr">
        <is>
          <t xml:space="preserve"> tokopedia</t>
        </is>
      </c>
      <c r="F524" s="10" t="inlineStr">
        <is>
          <t>Jawa Barat</t>
        </is>
      </c>
      <c r="G524" s="10" t="inlineStr">
        <is>
          <t>Rumah Tangga</t>
        </is>
      </c>
      <c r="H524" s="10" t="inlineStr">
        <is>
          <t>Set Wadah Kedap</t>
        </is>
      </c>
      <c r="I524" s="10" t="n">
        <v>1</v>
      </c>
      <c r="J524" s="10" t="n">
        <v>135000</v>
      </c>
      <c r="K524" s="10" t="n">
        <v>135000</v>
      </c>
    </row>
    <row r="525">
      <c r="A525" s="10" t="inlineStr">
        <is>
          <t>INV-71121</t>
        </is>
      </c>
      <c r="B525" s="10" t="inlineStr">
        <is>
          <t>18 Sep 2025</t>
        </is>
      </c>
      <c r="C525" s="10" t="inlineStr">
        <is>
          <t>C1314</t>
        </is>
      </c>
      <c r="D525" s="10" t="inlineStr">
        <is>
          <t>occasional</t>
        </is>
      </c>
      <c r="E525" s="10" t="inlineStr">
        <is>
          <t>TikTok Shop</t>
        </is>
      </c>
      <c r="F525" s="10" t="inlineStr">
        <is>
          <t>Jawa Tengah</t>
        </is>
      </c>
      <c r="G525" s="10" t="inlineStr">
        <is>
          <t>Rumah Tangga</t>
        </is>
      </c>
      <c r="H525" s="10" t="inlineStr">
        <is>
          <t>Set Wadah Kedap</t>
        </is>
      </c>
      <c r="I525" s="10" t="n">
        <v>1</v>
      </c>
      <c r="J525" s="10" t="n">
        <v>135000</v>
      </c>
      <c r="K525" s="10" t="n">
        <v>135000</v>
      </c>
    </row>
    <row r="526">
      <c r="A526" s="10" t="inlineStr">
        <is>
          <t>INV-71238</t>
        </is>
      </c>
      <c r="B526" s="10" t="inlineStr">
        <is>
          <t>2026-04-16</t>
        </is>
      </c>
      <c r="C526" s="10" t="inlineStr">
        <is>
          <t>C1349</t>
        </is>
      </c>
      <c r="D526" s="10" t="inlineStr">
        <is>
          <t>champion</t>
        </is>
      </c>
      <c r="E526" s="10" t="inlineStr">
        <is>
          <t>Tokopedia</t>
        </is>
      </c>
      <c r="F526" s="10" t="inlineStr">
        <is>
          <t>Jabodetabek</t>
        </is>
      </c>
      <c r="G526" s="10" t="inlineStr">
        <is>
          <t>Kecantikan</t>
        </is>
      </c>
      <c r="H526" s="10" t="inlineStr">
        <is>
          <t>Serum Vit C</t>
        </is>
      </c>
      <c r="I526" s="10" t="n">
        <v>1</v>
      </c>
      <c r="J526" s="10" t="n">
        <v>145000</v>
      </c>
      <c r="K526" s="10" t="n">
        <v>145000</v>
      </c>
    </row>
    <row r="527">
      <c r="A527" s="10" t="inlineStr">
        <is>
          <t>INV-70292</t>
        </is>
      </c>
      <c r="B527" s="10" t="inlineStr">
        <is>
          <t>2025-05-18</t>
        </is>
      </c>
      <c r="C527" s="10" t="inlineStr">
        <is>
          <t>C1083</t>
        </is>
      </c>
      <c r="D527" s="10" t="inlineStr">
        <is>
          <t>loyal</t>
        </is>
      </c>
      <c r="E527" s="10" t="inlineStr">
        <is>
          <t xml:space="preserve"> tokopedia</t>
        </is>
      </c>
      <c r="F527" s="10" t="inlineStr">
        <is>
          <t>Jabodetabek</t>
        </is>
      </c>
      <c r="G527" s="10" t="inlineStr">
        <is>
          <t>Fashion</t>
        </is>
      </c>
      <c r="H527" s="10" t="inlineStr">
        <is>
          <t>Kemeja Linen</t>
        </is>
      </c>
      <c r="I527" s="10" t="n">
        <v>4</v>
      </c>
      <c r="J527" s="10" t="n">
        <v>185000</v>
      </c>
      <c r="K527" s="10" t="inlineStr">
        <is>
          <t>Rp 740.000</t>
        </is>
      </c>
    </row>
    <row r="528">
      <c r="A528" s="10" t="inlineStr">
        <is>
          <t>INV-70119</t>
        </is>
      </c>
      <c r="B528" s="10" t="inlineStr">
        <is>
          <t>2025-08-06</t>
        </is>
      </c>
      <c r="C528" s="10" t="inlineStr">
        <is>
          <t>C1038</t>
        </is>
      </c>
      <c r="D528" s="10" t="inlineStr">
        <is>
          <t>champion</t>
        </is>
      </c>
      <c r="E528" s="10" t="inlineStr">
        <is>
          <t>Tokopedia</t>
        </is>
      </c>
      <c r="F528" s="10" t="inlineStr">
        <is>
          <t>Sumatera</t>
        </is>
      </c>
      <c r="G528" s="10" t="inlineStr">
        <is>
          <t>Rumah Tangga</t>
        </is>
      </c>
      <c r="H528" s="10" t="inlineStr">
        <is>
          <t>Set Wadah Kedap</t>
        </is>
      </c>
      <c r="I528" s="10" t="n">
        <v>3</v>
      </c>
      <c r="J528" s="10" t="n">
        <v>135000</v>
      </c>
      <c r="K528" s="10" t="n">
        <v>405000</v>
      </c>
    </row>
    <row r="529">
      <c r="A529" s="10" t="inlineStr">
        <is>
          <t>INV-71010</t>
        </is>
      </c>
      <c r="B529" s="10" t="inlineStr">
        <is>
          <t>2025-03-04</t>
        </is>
      </c>
      <c r="C529" s="10" t="inlineStr">
        <is>
          <t>C1287</t>
        </is>
      </c>
      <c r="D529" s="10" t="inlineStr">
        <is>
          <t>champion</t>
        </is>
      </c>
      <c r="E529" s="10" t="inlineStr">
        <is>
          <t>Offline Store</t>
        </is>
      </c>
      <c r="F529" s="10" t="inlineStr">
        <is>
          <t>Jabodetabek</t>
        </is>
      </c>
      <c r="G529" s="10" t="inlineStr">
        <is>
          <t>Kecantikan</t>
        </is>
      </c>
      <c r="H529" s="10" t="inlineStr">
        <is>
          <t>Serum Vit C</t>
        </is>
      </c>
      <c r="I529" s="10" t="n">
        <v>1</v>
      </c>
      <c r="J529" s="10" t="n">
        <v>145000</v>
      </c>
      <c r="K529" s="10" t="n">
        <v>145000</v>
      </c>
    </row>
    <row r="530">
      <c r="A530" s="10" t="inlineStr">
        <is>
          <t>INV-70991</t>
        </is>
      </c>
      <c r="B530" s="10" t="inlineStr">
        <is>
          <t>2025-10-06</t>
        </is>
      </c>
      <c r="C530" s="10" t="inlineStr">
        <is>
          <t>C1285</t>
        </is>
      </c>
      <c r="D530" s="10" t="inlineStr">
        <is>
          <t>loyal</t>
        </is>
      </c>
      <c r="E530" s="10" t="inlineStr">
        <is>
          <t>Shopee</t>
        </is>
      </c>
      <c r="F530" s="10" t="inlineStr">
        <is>
          <t>Jabodetabek</t>
        </is>
      </c>
      <c r="G530" s="10" t="inlineStr">
        <is>
          <t>Rumah Tangga</t>
        </is>
      </c>
      <c r="H530" s="10" t="inlineStr">
        <is>
          <t>Set Wadah Kedap</t>
        </is>
      </c>
      <c r="I530" s="10" t="n">
        <v>2</v>
      </c>
      <c r="J530" s="10" t="n">
        <v>135000</v>
      </c>
      <c r="K530" s="10" t="n">
        <v>270000</v>
      </c>
    </row>
    <row r="531">
      <c r="A531" s="10" t="inlineStr">
        <is>
          <t>INV-71484</t>
        </is>
      </c>
      <c r="B531" s="10" t="inlineStr">
        <is>
          <t>2025-12-18</t>
        </is>
      </c>
      <c r="C531" s="10" t="inlineStr">
        <is>
          <t>C1409</t>
        </is>
      </c>
      <c r="D531" s="10" t="inlineStr">
        <is>
          <t>loyal</t>
        </is>
      </c>
      <c r="E531" s="10" t="inlineStr">
        <is>
          <t>TIKTOK SHOP</t>
        </is>
      </c>
      <c r="F531" s="10" t="inlineStr">
        <is>
          <t>Jabodetabek</t>
        </is>
      </c>
      <c r="G531" s="10" t="inlineStr">
        <is>
          <t>Rumah Tangga</t>
        </is>
      </c>
      <c r="H531" s="10" t="inlineStr">
        <is>
          <t>Set Wadah Kedap</t>
        </is>
      </c>
      <c r="I531" s="10" t="n">
        <v>2</v>
      </c>
      <c r="J531" s="10" t="n">
        <v>135000</v>
      </c>
      <c r="K531" s="10" t="inlineStr">
        <is>
          <t>Rp 270.000</t>
        </is>
      </c>
    </row>
    <row r="532">
      <c r="A532" s="10" t="inlineStr">
        <is>
          <t>INV-70138</t>
        </is>
      </c>
      <c r="B532" s="10" t="inlineStr">
        <is>
          <t>2025-10-23</t>
        </is>
      </c>
      <c r="C532" s="10" t="inlineStr">
        <is>
          <t>C1039</t>
        </is>
      </c>
      <c r="D532" s="10" t="inlineStr">
        <is>
          <t>loyal</t>
        </is>
      </c>
      <c r="E532" s="10" t="inlineStr">
        <is>
          <t>Tokopedia</t>
        </is>
      </c>
      <c r="F532" s="10" t="inlineStr">
        <is>
          <t>Jawa Tengah</t>
        </is>
      </c>
      <c r="G532" s="10" t="inlineStr">
        <is>
          <t>Rumah Tangga</t>
        </is>
      </c>
      <c r="H532" s="10" t="inlineStr">
        <is>
          <t>Organizer Laci</t>
        </is>
      </c>
      <c r="I532" s="10" t="n">
        <v>1</v>
      </c>
      <c r="J532" s="10" t="n">
        <v>78000</v>
      </c>
      <c r="K532" s="10" t="n">
        <v>78000</v>
      </c>
    </row>
    <row r="533">
      <c r="A533" s="10" t="inlineStr">
        <is>
          <t>INV-70664</t>
        </is>
      </c>
      <c r="B533" s="10" t="inlineStr">
        <is>
          <t>2025-10-21</t>
        </is>
      </c>
      <c r="C533" s="10" t="inlineStr">
        <is>
          <t>C1182</t>
        </is>
      </c>
      <c r="D533" s="10" t="inlineStr">
        <is>
          <t>occasional</t>
        </is>
      </c>
      <c r="E533" s="10" t="inlineStr">
        <is>
          <t>offline store</t>
        </is>
      </c>
      <c r="F533" s="10" t="inlineStr">
        <is>
          <t>Jawa Timur</t>
        </is>
      </c>
      <c r="G533" s="10" t="inlineStr">
        <is>
          <t>Rumah Tangga</t>
        </is>
      </c>
      <c r="H533" s="10" t="inlineStr">
        <is>
          <t>Set Wadah Kedap</t>
        </is>
      </c>
      <c r="I533" s="10" t="n">
        <v>-1</v>
      </c>
      <c r="J533" s="10" t="n">
        <v>135000</v>
      </c>
      <c r="K533" s="10" t="n">
        <v>135000</v>
      </c>
    </row>
    <row r="534">
      <c r="A534" s="10" t="inlineStr">
        <is>
          <t>INV-71199</t>
        </is>
      </c>
      <c r="B534" s="10" t="inlineStr">
        <is>
          <t>2026-02-06</t>
        </is>
      </c>
      <c r="C534" s="10" t="inlineStr">
        <is>
          <t>C1338</t>
        </is>
      </c>
      <c r="D534" s="10" t="inlineStr">
        <is>
          <t>regular</t>
        </is>
      </c>
      <c r="E534" s="10" t="inlineStr">
        <is>
          <t>Shopee</t>
        </is>
      </c>
      <c r="F534" s="10" t="inlineStr">
        <is>
          <t>Jawa Barat</t>
        </is>
      </c>
      <c r="G534" s="10" t="inlineStr">
        <is>
          <t>Rumah Tangga</t>
        </is>
      </c>
      <c r="H534" s="10" t="inlineStr">
        <is>
          <t>Set Wadah Kedap</t>
        </is>
      </c>
      <c r="I534" s="10" t="n">
        <v>1</v>
      </c>
      <c r="J534" s="10" t="n">
        <v>135000</v>
      </c>
      <c r="K534" s="10" t="n">
        <v>135000</v>
      </c>
    </row>
    <row r="535">
      <c r="A535" s="10" t="inlineStr">
        <is>
          <t>INV-71279</t>
        </is>
      </c>
      <c r="B535" s="10" t="inlineStr">
        <is>
          <t>2026-04-13</t>
        </is>
      </c>
      <c r="C535" s="10" t="inlineStr">
        <is>
          <t>C1358</t>
        </is>
      </c>
      <c r="D535" s="10" t="inlineStr">
        <is>
          <t>champion</t>
        </is>
      </c>
      <c r="E535" s="10" t="inlineStr">
        <is>
          <t>Shopee</t>
        </is>
      </c>
      <c r="F535" s="10" t="inlineStr">
        <is>
          <t>Jabodetabek</t>
        </is>
      </c>
      <c r="G535" s="10" t="inlineStr">
        <is>
          <t>Rumah Tangga</t>
        </is>
      </c>
      <c r="H535" s="10" t="inlineStr">
        <is>
          <t>Set Wadah Kedap</t>
        </is>
      </c>
      <c r="I535" s="10" t="n">
        <v>2</v>
      </c>
      <c r="J535" s="10" t="n">
        <v>135000</v>
      </c>
      <c r="K535" s="10" t="n">
        <v>270000</v>
      </c>
    </row>
    <row r="536">
      <c r="A536" s="10" t="inlineStr">
        <is>
          <t>INV-70977</t>
        </is>
      </c>
      <c r="B536" s="10" t="inlineStr">
        <is>
          <t>2025-05-07</t>
        </is>
      </c>
      <c r="C536" s="10" t="inlineStr">
        <is>
          <t>C1280</t>
        </is>
      </c>
      <c r="D536" s="10" t="inlineStr">
        <is>
          <t>regular</t>
        </is>
      </c>
      <c r="E536" s="10" t="inlineStr">
        <is>
          <t>Tokopedia</t>
        </is>
      </c>
      <c r="F536" s="10" t="inlineStr">
        <is>
          <t>Jawa Tengah</t>
        </is>
      </c>
      <c r="G536" s="10" t="inlineStr">
        <is>
          <t>Fashion</t>
        </is>
      </c>
      <c r="H536" s="10" t="inlineStr">
        <is>
          <t>Kemeja Linen</t>
        </is>
      </c>
      <c r="I536" s="10" t="n">
        <v>4</v>
      </c>
      <c r="J536" s="10" t="n">
        <v>185000</v>
      </c>
      <c r="K536" s="10" t="inlineStr">
        <is>
          <t>Rp 740.000</t>
        </is>
      </c>
    </row>
    <row r="537">
      <c r="A537" s="10" t="inlineStr">
        <is>
          <t>INV-70291</t>
        </is>
      </c>
      <c r="B537" s="10" t="inlineStr">
        <is>
          <t>16/02/2025</t>
        </is>
      </c>
      <c r="C537" s="10" t="inlineStr">
        <is>
          <t>C1083</t>
        </is>
      </c>
      <c r="D537" s="10" t="inlineStr">
        <is>
          <t>loyal</t>
        </is>
      </c>
      <c r="E537" s="10" t="inlineStr">
        <is>
          <t>Shopee</t>
        </is>
      </c>
      <c r="F537" s="10" t="inlineStr">
        <is>
          <t>Jabodetabek</t>
        </is>
      </c>
      <c r="G537" s="10" t="inlineStr">
        <is>
          <t>Fashion</t>
        </is>
      </c>
      <c r="H537" s="10" t="inlineStr">
        <is>
          <t>Dress Casual</t>
        </is>
      </c>
      <c r="I537" s="10" t="n">
        <v>3</v>
      </c>
      <c r="J537" s="10" t="n">
        <v>225000</v>
      </c>
      <c r="K537" s="10" t="n">
        <v>675000</v>
      </c>
    </row>
    <row r="538">
      <c r="A538" s="10" t="inlineStr">
        <is>
          <t>INV-70177</t>
        </is>
      </c>
      <c r="B538" s="10" t="inlineStr">
        <is>
          <t>2025-02-05</t>
        </is>
      </c>
      <c r="C538" s="10" t="inlineStr">
        <is>
          <t>C1050</t>
        </is>
      </c>
      <c r="D538" s="10" t="inlineStr">
        <is>
          <t>regular</t>
        </is>
      </c>
      <c r="E538" s="10" t="inlineStr">
        <is>
          <t>TikTok Shop</t>
        </is>
      </c>
      <c r="F538" s="10" t="inlineStr">
        <is>
          <t>Jawa Timur</t>
        </is>
      </c>
      <c r="G538" s="10" t="inlineStr">
        <is>
          <t>elektronik</t>
        </is>
      </c>
      <c r="H538" s="10" t="inlineStr">
        <is>
          <t>Webcam HD</t>
        </is>
      </c>
      <c r="I538" s="10" t="n">
        <v>2</v>
      </c>
      <c r="J538" s="10" t="n">
        <v>210000</v>
      </c>
      <c r="K538" s="10" t="inlineStr">
        <is>
          <t>Rp 420.000</t>
        </is>
      </c>
    </row>
    <row r="539">
      <c r="A539" s="10" t="inlineStr">
        <is>
          <t>INV-71126</t>
        </is>
      </c>
      <c r="B539" s="10" t="inlineStr">
        <is>
          <t>15/01/2025</t>
        </is>
      </c>
      <c r="C539" s="10" t="inlineStr">
        <is>
          <t>C1317</t>
        </is>
      </c>
      <c r="D539" s="10" t="inlineStr">
        <is>
          <t>onetime</t>
        </is>
      </c>
      <c r="E539" s="10" t="inlineStr">
        <is>
          <t xml:space="preserve">Offline store </t>
        </is>
      </c>
      <c r="F539" s="10" t="inlineStr">
        <is>
          <t>Jawa Barat</t>
        </is>
      </c>
      <c r="G539" s="10" t="inlineStr">
        <is>
          <t>Rumah Tangga</t>
        </is>
      </c>
      <c r="H539" s="10" t="inlineStr">
        <is>
          <t>Set Wadah Kedap</t>
        </is>
      </c>
      <c r="I539" s="10" t="n">
        <v>2</v>
      </c>
      <c r="J539" s="10" t="n">
        <v>135000</v>
      </c>
      <c r="K539" s="10" t="n">
        <v>270000</v>
      </c>
    </row>
    <row r="540">
      <c r="A540" s="10" t="inlineStr">
        <is>
          <t>INV-70323</t>
        </is>
      </c>
      <c r="B540" s="10" t="inlineStr">
        <is>
          <t>2025-05-05</t>
        </is>
      </c>
      <c r="C540" s="10" t="inlineStr">
        <is>
          <t>C1090</t>
        </is>
      </c>
      <c r="D540" s="10" t="inlineStr">
        <is>
          <t>champion</t>
        </is>
      </c>
      <c r="E540" s="10" t="inlineStr">
        <is>
          <t xml:space="preserve"> tokopedia</t>
        </is>
      </c>
      <c r="F540" s="10" t="inlineStr">
        <is>
          <t>Jabodetabek</t>
        </is>
      </c>
      <c r="G540" s="10" t="inlineStr">
        <is>
          <t>Rumah Tangga</t>
        </is>
      </c>
      <c r="H540" s="10" t="inlineStr">
        <is>
          <t>Set Wadah Kedap</t>
        </is>
      </c>
      <c r="I540" s="10" t="n">
        <v>3</v>
      </c>
      <c r="J540" s="10" t="n">
        <v>135000</v>
      </c>
      <c r="K540" s="10" t="n">
        <v>405000</v>
      </c>
    </row>
    <row r="541">
      <c r="A541" s="10" t="inlineStr">
        <is>
          <t>INV-70809</t>
        </is>
      </c>
      <c r="B541" s="10" t="inlineStr">
        <is>
          <t>2026-02-01</t>
        </is>
      </c>
      <c r="C541" s="10" t="inlineStr">
        <is>
          <t>C1227</t>
        </is>
      </c>
      <c r="D541" s="10" t="inlineStr">
        <is>
          <t>occasional</t>
        </is>
      </c>
      <c r="E541" s="10" t="inlineStr">
        <is>
          <t>Offline Store</t>
        </is>
      </c>
      <c r="F541" s="10" t="inlineStr">
        <is>
          <t>Jawa Tengah</t>
        </is>
      </c>
      <c r="G541" s="10" t="inlineStr">
        <is>
          <t>Makanan</t>
        </is>
      </c>
      <c r="H541" s="10" t="inlineStr">
        <is>
          <t>Granola 500g</t>
        </is>
      </c>
      <c r="I541" s="10" t="n">
        <v>2</v>
      </c>
      <c r="J541" s="10" t="n">
        <v>92000</v>
      </c>
      <c r="K541" s="10" t="n">
        <v>184000</v>
      </c>
    </row>
    <row r="542">
      <c r="A542" s="10" t="inlineStr">
        <is>
          <t>INV-70186</t>
        </is>
      </c>
      <c r="B542" s="10" t="inlineStr">
        <is>
          <t>2025-03-10</t>
        </is>
      </c>
      <c r="C542" s="10" t="inlineStr">
        <is>
          <t>C1053</t>
        </is>
      </c>
      <c r="D542" s="10" t="inlineStr">
        <is>
          <t>regular</t>
        </is>
      </c>
      <c r="E542" s="10" t="inlineStr">
        <is>
          <t>SHOPEE</t>
        </is>
      </c>
      <c r="F542" s="10" t="inlineStr">
        <is>
          <t>Jawa Timur</t>
        </is>
      </c>
      <c r="G542" s="10" t="inlineStr">
        <is>
          <t>Kecantikan</t>
        </is>
      </c>
      <c r="H542" s="10" t="inlineStr">
        <is>
          <t>Masker Wajah (5s)</t>
        </is>
      </c>
      <c r="I542" s="10" t="n">
        <v>4</v>
      </c>
      <c r="J542" s="10" t="n">
        <v>55000</v>
      </c>
      <c r="K542" s="10" t="n">
        <v>220000</v>
      </c>
    </row>
    <row r="543">
      <c r="A543" s="10" t="inlineStr">
        <is>
          <t>INV-70209</t>
        </is>
      </c>
      <c r="B543" s="10" t="inlineStr">
        <is>
          <t>2026-03-14</t>
        </is>
      </c>
      <c r="C543" s="10" t="inlineStr">
        <is>
          <t>C1059</t>
        </is>
      </c>
      <c r="D543" s="10" t="inlineStr">
        <is>
          <t>regular</t>
        </is>
      </c>
      <c r="E543" s="10" t="inlineStr">
        <is>
          <t>Shopee</t>
        </is>
      </c>
      <c r="F543" s="10" t="inlineStr">
        <is>
          <t>Jabodetabek</t>
        </is>
      </c>
      <c r="G543" s="10" t="inlineStr">
        <is>
          <t>elektronik</t>
        </is>
      </c>
      <c r="H543" s="10" t="inlineStr">
        <is>
          <t>Webcam HD</t>
        </is>
      </c>
      <c r="I543" s="10" t="n">
        <v>1</v>
      </c>
      <c r="J543" s="10" t="n">
        <v>210000</v>
      </c>
      <c r="K543" s="10" t="n">
        <v>210000</v>
      </c>
    </row>
    <row r="544">
      <c r="A544" s="10" t="inlineStr">
        <is>
          <t>INV-70596</t>
        </is>
      </c>
      <c r="B544" s="10" t="inlineStr">
        <is>
          <t>18/11/2025</t>
        </is>
      </c>
      <c r="C544" s="10" t="inlineStr">
        <is>
          <t>C1161</t>
        </is>
      </c>
      <c r="D544" s="10" t="inlineStr">
        <is>
          <t>champion</t>
        </is>
      </c>
      <c r="E544" s="10" t="inlineStr">
        <is>
          <t xml:space="preserve">Offline store </t>
        </is>
      </c>
      <c r="F544" s="10" t="inlineStr">
        <is>
          <t>Jawa Tengah</t>
        </is>
      </c>
      <c r="G544" s="10" t="inlineStr">
        <is>
          <t>Elektronik</t>
        </is>
      </c>
      <c r="H544" s="10" t="inlineStr">
        <is>
          <t>Earbuds TWS</t>
        </is>
      </c>
      <c r="I544" s="10" t="n">
        <v>3</v>
      </c>
      <c r="J544" s="10" t="n">
        <v>265000</v>
      </c>
      <c r="K544" s="10" t="n">
        <v>795000</v>
      </c>
    </row>
    <row r="545">
      <c r="A545" s="10" t="inlineStr">
        <is>
          <t>INV-71145</t>
        </is>
      </c>
      <c r="B545" s="10" t="inlineStr">
        <is>
          <t>2025-07-21</t>
        </is>
      </c>
      <c r="C545" s="10" t="inlineStr">
        <is>
          <t>C1324</t>
        </is>
      </c>
      <c r="D545" s="10" t="inlineStr">
        <is>
          <t>occasional</t>
        </is>
      </c>
      <c r="E545" s="10" t="inlineStr">
        <is>
          <t>Shopee</t>
        </is>
      </c>
      <c r="F545" s="10" t="inlineStr">
        <is>
          <t>Jabodetabek</t>
        </is>
      </c>
      <c r="G545" s="10" t="inlineStr">
        <is>
          <t>Fashion</t>
        </is>
      </c>
      <c r="H545" s="10" t="inlineStr">
        <is>
          <t>Celana Chino</t>
        </is>
      </c>
      <c r="I545" s="10" t="n">
        <v>2</v>
      </c>
      <c r="J545" s="10" t="n">
        <v>195000</v>
      </c>
      <c r="K545" s="10" t="n">
        <v>390000</v>
      </c>
    </row>
    <row r="546">
      <c r="A546" s="10" t="inlineStr">
        <is>
          <t>INV-70631</t>
        </is>
      </c>
      <c r="B546" s="10" t="inlineStr">
        <is>
          <t>2026-04-05</t>
        </is>
      </c>
      <c r="C546" s="10" t="inlineStr">
        <is>
          <t>C1173</t>
        </is>
      </c>
      <c r="D546" s="10" t="inlineStr">
        <is>
          <t>loyal</t>
        </is>
      </c>
      <c r="E546" s="10" t="inlineStr">
        <is>
          <t>Shopee</t>
        </is>
      </c>
      <c r="F546" s="10" t="inlineStr">
        <is>
          <t>Jawa Tengah</t>
        </is>
      </c>
      <c r="G546" s="10" t="inlineStr">
        <is>
          <t>Elektronik</t>
        </is>
      </c>
      <c r="H546" s="10" t="inlineStr">
        <is>
          <t>Power Bank 20K</t>
        </is>
      </c>
      <c r="I546" s="10" t="n">
        <v>1</v>
      </c>
      <c r="J546" s="10" t="n">
        <v>185000</v>
      </c>
      <c r="K546" s="10" t="n">
        <v>185000</v>
      </c>
    </row>
    <row r="547">
      <c r="A547" s="10" t="inlineStr">
        <is>
          <t>INV-71286</t>
        </is>
      </c>
      <c r="B547" s="10" t="inlineStr">
        <is>
          <t>2025-09-03</t>
        </is>
      </c>
      <c r="C547" s="10" t="inlineStr">
        <is>
          <t>C1359</t>
        </is>
      </c>
      <c r="D547" s="10" t="inlineStr">
        <is>
          <t>champion</t>
        </is>
      </c>
      <c r="E547" s="10" t="inlineStr">
        <is>
          <t>Tokopedia</t>
        </is>
      </c>
      <c r="F547" s="10" t="inlineStr">
        <is>
          <t>Jawa Barat</t>
        </is>
      </c>
      <c r="G547" s="10" t="inlineStr">
        <is>
          <t>Rumah Tangga</t>
        </is>
      </c>
      <c r="H547" s="10" t="inlineStr">
        <is>
          <t>Set Wadah Kedap</t>
        </is>
      </c>
      <c r="I547" s="10" t="n">
        <v>4</v>
      </c>
      <c r="J547" s="10" t="n">
        <v>135000</v>
      </c>
      <c r="K547" s="10" t="n">
        <v>540000</v>
      </c>
    </row>
    <row r="548">
      <c r="A548" s="10" t="inlineStr">
        <is>
          <t>INV-70364</t>
        </is>
      </c>
      <c r="B548" s="10" t="inlineStr">
        <is>
          <t>01 Apr 2025</t>
        </is>
      </c>
      <c r="C548" s="10" t="inlineStr">
        <is>
          <t>C1101</t>
        </is>
      </c>
      <c r="D548" s="10" t="inlineStr">
        <is>
          <t>regular</t>
        </is>
      </c>
      <c r="E548" s="10" t="inlineStr">
        <is>
          <t>Shopee</t>
        </is>
      </c>
      <c r="F548" s="10" t="inlineStr">
        <is>
          <t>Jawa Barat</t>
        </is>
      </c>
      <c r="G548" s="10" t="inlineStr">
        <is>
          <t>Rumah Tangga</t>
        </is>
      </c>
      <c r="H548" s="10" t="inlineStr">
        <is>
          <t>Set Wadah Kedap</t>
        </is>
      </c>
      <c r="I548" s="10" t="n">
        <v>1</v>
      </c>
      <c r="J548" s="10" t="n">
        <v>135000</v>
      </c>
      <c r="K548" s="10" t="n">
        <v>135000</v>
      </c>
    </row>
    <row r="549">
      <c r="A549" s="10" t="inlineStr">
        <is>
          <t>INV-71210</t>
        </is>
      </c>
      <c r="B549" s="10" t="inlineStr">
        <is>
          <t>04/02/2025</t>
        </is>
      </c>
      <c r="C549" s="10" t="inlineStr">
        <is>
          <t>C1344</t>
        </is>
      </c>
      <c r="D549" s="10" t="inlineStr">
        <is>
          <t>loyal</t>
        </is>
      </c>
      <c r="E549" s="10" t="inlineStr">
        <is>
          <t>SHOPEE</t>
        </is>
      </c>
      <c r="F549" s="10" t="inlineStr">
        <is>
          <t>Jawa Barat</t>
        </is>
      </c>
      <c r="G549" s="10" t="inlineStr">
        <is>
          <t>makanan</t>
        </is>
      </c>
      <c r="H549" s="10" t="inlineStr">
        <is>
          <t>Madu Hutan 250ml</t>
        </is>
      </c>
      <c r="I549" s="10" t="n">
        <v>3</v>
      </c>
      <c r="J549" s="10" t="n">
        <v>110000</v>
      </c>
      <c r="K549" s="10" t="n">
        <v>330000</v>
      </c>
    </row>
    <row r="550">
      <c r="A550" s="10" t="inlineStr">
        <is>
          <t>INV-71548</t>
        </is>
      </c>
      <c r="B550" s="10" t="inlineStr">
        <is>
          <t>2026-04-05</t>
        </is>
      </c>
      <c r="C550" s="10" t="inlineStr">
        <is>
          <t>C1426</t>
        </is>
      </c>
      <c r="D550" s="10" t="inlineStr">
        <is>
          <t>occasional</t>
        </is>
      </c>
      <c r="E550" s="10" t="inlineStr">
        <is>
          <t>Tokopedia</t>
        </is>
      </c>
      <c r="F550" s="10" t="inlineStr">
        <is>
          <t>Jabodetabek</t>
        </is>
      </c>
      <c r="G550" s="10" t="inlineStr">
        <is>
          <t>Kecantikan</t>
        </is>
      </c>
      <c r="H550" s="10" t="inlineStr">
        <is>
          <t>Masker Wajah (5s)</t>
        </is>
      </c>
      <c r="I550" s="10" t="n">
        <v>2</v>
      </c>
      <c r="J550" s="10" t="n">
        <v>55000</v>
      </c>
      <c r="K550" s="10" t="n">
        <v>110000</v>
      </c>
    </row>
    <row r="551">
      <c r="A551" s="10" t="inlineStr">
        <is>
          <t>INV-71453</t>
        </is>
      </c>
      <c r="B551" s="10" t="inlineStr">
        <is>
          <t>2025-10-08</t>
        </is>
      </c>
      <c r="C551" s="10" t="inlineStr">
        <is>
          <t>C1401</t>
        </is>
      </c>
      <c r="D551" s="10" t="inlineStr">
        <is>
          <t>occasional</t>
        </is>
      </c>
      <c r="E551" s="10" t="inlineStr">
        <is>
          <t xml:space="preserve">Offline store </t>
        </is>
      </c>
      <c r="F551" s="10" t="inlineStr">
        <is>
          <t>Jawa Barat</t>
        </is>
      </c>
      <c r="G551" s="10" t="inlineStr">
        <is>
          <t>Rumah Tangga</t>
        </is>
      </c>
      <c r="H551" s="10" t="inlineStr">
        <is>
          <t>Organizer Laci</t>
        </is>
      </c>
      <c r="I551" s="10" t="n">
        <v>2</v>
      </c>
      <c r="J551" s="10" t="n">
        <v>78000</v>
      </c>
      <c r="K551" s="10" t="n">
        <v>156000</v>
      </c>
    </row>
    <row r="552">
      <c r="A552" s="10" t="inlineStr">
        <is>
          <t>INV-71386</t>
        </is>
      </c>
      <c r="B552" s="10" t="inlineStr">
        <is>
          <t>2025-08-09</t>
        </is>
      </c>
      <c r="C552" s="10" t="inlineStr">
        <is>
          <t>C1384</t>
        </is>
      </c>
      <c r="D552" s="10" t="inlineStr">
        <is>
          <t>regular</t>
        </is>
      </c>
      <c r="E552" s="10" t="inlineStr">
        <is>
          <t xml:space="preserve"> tokopedia</t>
        </is>
      </c>
      <c r="F552" s="10" t="inlineStr">
        <is>
          <t>Sumatera</t>
        </is>
      </c>
      <c r="G552" s="10" t="inlineStr">
        <is>
          <t>rumah tangga</t>
        </is>
      </c>
      <c r="H552" s="10" t="inlineStr">
        <is>
          <t>Organizer Laci</t>
        </is>
      </c>
      <c r="I552" s="10" t="n">
        <v>1</v>
      </c>
      <c r="J552" s="10" t="n">
        <v>78000</v>
      </c>
      <c r="K552" s="10" t="inlineStr">
        <is>
          <t>Rp 78.000</t>
        </is>
      </c>
    </row>
    <row r="553">
      <c r="A553" s="10" t="inlineStr">
        <is>
          <t>INV-70547</t>
        </is>
      </c>
      <c r="B553" s="10" t="inlineStr">
        <is>
          <t>2026-03-19</t>
        </is>
      </c>
      <c r="C553" s="10" t="inlineStr">
        <is>
          <t>C1150</t>
        </is>
      </c>
      <c r="D553" s="10" t="inlineStr">
        <is>
          <t>champion</t>
        </is>
      </c>
      <c r="E553" s="10" t="inlineStr">
        <is>
          <t>TikTok Shop</t>
        </is>
      </c>
      <c r="F553" s="10" t="inlineStr">
        <is>
          <t>Jawa Barat</t>
        </is>
      </c>
      <c r="G553" s="10" t="inlineStr">
        <is>
          <t>Rumah Tangga</t>
        </is>
      </c>
      <c r="H553" s="10" t="inlineStr">
        <is>
          <t>Set Wadah Kedap</t>
        </is>
      </c>
      <c r="I553" s="10" t="n">
        <v>1</v>
      </c>
      <c r="J553" s="10" t="n">
        <v>135000</v>
      </c>
      <c r="K553" s="10" t="n">
        <v>135000</v>
      </c>
    </row>
    <row r="554">
      <c r="A554" s="10" t="inlineStr">
        <is>
          <t>INV-70855</t>
        </is>
      </c>
      <c r="B554" s="10" t="inlineStr">
        <is>
          <t>2025-07-16</t>
        </is>
      </c>
      <c r="C554" s="10" t="inlineStr">
        <is>
          <t>C1240</t>
        </is>
      </c>
      <c r="D554" s="10" t="inlineStr">
        <is>
          <t>loyal</t>
        </is>
      </c>
      <c r="E554" s="10" t="inlineStr">
        <is>
          <t>tiktok shop</t>
        </is>
      </c>
      <c r="F554" s="10" t="inlineStr">
        <is>
          <t>Jabodetabek</t>
        </is>
      </c>
      <c r="G554" s="10" t="inlineStr">
        <is>
          <t>Makanan</t>
        </is>
      </c>
      <c r="H554" s="10" t="inlineStr">
        <is>
          <t>Keripik Sehat</t>
        </is>
      </c>
      <c r="I554" s="10" t="n">
        <v>1</v>
      </c>
      <c r="J554" s="10" t="n">
        <v>45000</v>
      </c>
      <c r="K554" s="10" t="inlineStr">
        <is>
          <t>Rp 45.000</t>
        </is>
      </c>
    </row>
    <row r="555">
      <c r="A555" s="10" t="inlineStr">
        <is>
          <t>INV-70973</t>
        </is>
      </c>
      <c r="B555" s="10" t="inlineStr">
        <is>
          <t>2025-05-02</t>
        </is>
      </c>
      <c r="C555" s="10" t="inlineStr">
        <is>
          <t>C1279</t>
        </is>
      </c>
      <c r="D555" s="10" t="inlineStr">
        <is>
          <t>loyal</t>
        </is>
      </c>
      <c r="E555" s="10" t="inlineStr">
        <is>
          <t>shopee</t>
        </is>
      </c>
      <c r="F555" s="10" t="inlineStr">
        <is>
          <t>Jabodetabek</t>
        </is>
      </c>
      <c r="G555" s="10" t="inlineStr">
        <is>
          <t>Elektronik</t>
        </is>
      </c>
      <c r="H555" s="10" t="inlineStr">
        <is>
          <t>Power Bank 20K</t>
        </is>
      </c>
      <c r="I555" s="10" t="n">
        <v>4</v>
      </c>
      <c r="J555" s="10" t="n">
        <v>185000</v>
      </c>
      <c r="K555" s="10" t="n">
        <v>740000</v>
      </c>
    </row>
    <row r="556">
      <c r="A556" s="10" t="inlineStr">
        <is>
          <t>INV-70191</t>
        </is>
      </c>
      <c r="B556" s="10" t="inlineStr">
        <is>
          <t>25/05/2026</t>
        </is>
      </c>
      <c r="C556" s="10" t="inlineStr">
        <is>
          <t>C1054</t>
        </is>
      </c>
      <c r="D556" s="10" t="inlineStr">
        <is>
          <t>regular</t>
        </is>
      </c>
      <c r="E556" s="10" t="inlineStr">
        <is>
          <t xml:space="preserve">Tokopedia </t>
        </is>
      </c>
      <c r="F556" s="10" t="inlineStr">
        <is>
          <t>Jawa Timur</t>
        </is>
      </c>
      <c r="G556" s="10" t="inlineStr">
        <is>
          <t>Rumah Tangga</t>
        </is>
      </c>
      <c r="H556" s="10" t="inlineStr">
        <is>
          <t>Set Wadah Kedap</t>
        </is>
      </c>
      <c r="I556" s="10" t="n">
        <v>1</v>
      </c>
      <c r="J556" s="10" t="n">
        <v>135000</v>
      </c>
      <c r="K556" s="10" t="n">
        <v>135000</v>
      </c>
    </row>
    <row r="557">
      <c r="A557" s="10" t="inlineStr">
        <is>
          <t>INV-70054</t>
        </is>
      </c>
      <c r="B557" s="10" t="inlineStr">
        <is>
          <t>2026-04-14</t>
        </is>
      </c>
      <c r="C557" s="10" t="inlineStr">
        <is>
          <t>C1014</t>
        </is>
      </c>
      <c r="D557" s="10" t="inlineStr">
        <is>
          <t>occasional</t>
        </is>
      </c>
      <c r="E557" s="10" t="inlineStr">
        <is>
          <t>Shopee</t>
        </is>
      </c>
      <c r="F557" s="10" t="inlineStr">
        <is>
          <t>Jawa Tengah</t>
        </is>
      </c>
      <c r="G557" s="10" t="inlineStr">
        <is>
          <t>Elektronik</t>
        </is>
      </c>
      <c r="H557" s="10" t="inlineStr">
        <is>
          <t>Power Bank 20K</t>
        </is>
      </c>
      <c r="I557" s="10" t="n">
        <v>3</v>
      </c>
      <c r="J557" s="10" t="n">
        <v>185000</v>
      </c>
      <c r="K557" s="10" t="n">
        <v>555000</v>
      </c>
    </row>
    <row r="558">
      <c r="A558" s="10" t="inlineStr">
        <is>
          <t>INV-71450</t>
        </is>
      </c>
      <c r="B558" s="10" t="inlineStr">
        <is>
          <t>02/07/2025</t>
        </is>
      </c>
      <c r="C558" s="10" t="inlineStr">
        <is>
          <t>C1401</t>
        </is>
      </c>
      <c r="D558" s="10" t="inlineStr">
        <is>
          <t>occasional</t>
        </is>
      </c>
      <c r="E558" s="10" t="inlineStr">
        <is>
          <t xml:space="preserve"> tokopedia</t>
        </is>
      </c>
      <c r="F558" s="10" t="inlineStr">
        <is>
          <t>Sumatera</t>
        </is>
      </c>
      <c r="G558" s="10" t="inlineStr">
        <is>
          <t>Elektronik</t>
        </is>
      </c>
      <c r="H558" s="10" t="inlineStr">
        <is>
          <t>Earbuds TWS</t>
        </is>
      </c>
      <c r="I558" s="10" t="n">
        <v>1</v>
      </c>
      <c r="J558" s="10" t="n">
        <v>265000</v>
      </c>
      <c r="K558" s="10" t="n">
        <v>265000</v>
      </c>
    </row>
    <row r="559">
      <c r="A559" s="10" t="inlineStr">
        <is>
          <t>INV-71014</t>
        </is>
      </c>
      <c r="B559" s="10" t="inlineStr">
        <is>
          <t>19 Dec 2025</t>
        </is>
      </c>
      <c r="C559" s="10" t="inlineStr">
        <is>
          <t>C1288</t>
        </is>
      </c>
      <c r="D559" s="10" t="inlineStr">
        <is>
          <t>regular</t>
        </is>
      </c>
      <c r="E559" s="10" t="inlineStr">
        <is>
          <t>Offline Store</t>
        </is>
      </c>
      <c r="F559" s="10" t="inlineStr">
        <is>
          <t>Jabodetabek</t>
        </is>
      </c>
      <c r="G559" s="10" t="inlineStr">
        <is>
          <t>Rumah Tangga</t>
        </is>
      </c>
      <c r="H559" s="10" t="inlineStr">
        <is>
          <t>Set Wadah Kedap</t>
        </is>
      </c>
      <c r="I559" s="10" t="n">
        <v>2</v>
      </c>
      <c r="J559" s="10" t="n">
        <v>135000</v>
      </c>
      <c r="K559" s="10" t="n">
        <v>270000</v>
      </c>
    </row>
    <row r="560">
      <c r="A560" s="10" t="inlineStr">
        <is>
          <t>INV-70304</t>
        </is>
      </c>
      <c r="B560" s="10" t="inlineStr">
        <is>
          <t>2025-05-19</t>
        </is>
      </c>
      <c r="C560" s="10" t="inlineStr">
        <is>
          <t>C1085</t>
        </is>
      </c>
      <c r="D560" s="10" t="inlineStr">
        <is>
          <t>occasional</t>
        </is>
      </c>
      <c r="E560" s="10" t="inlineStr">
        <is>
          <t>Tokopedia</t>
        </is>
      </c>
      <c r="F560" s="10" t="inlineStr">
        <is>
          <t>Jawa Barat</t>
        </is>
      </c>
      <c r="G560" s="10" t="inlineStr">
        <is>
          <t>Rumah Tangga</t>
        </is>
      </c>
      <c r="H560" s="10" t="inlineStr">
        <is>
          <t>Organizer Laci</t>
        </is>
      </c>
      <c r="I560" s="10" t="n">
        <v>4</v>
      </c>
      <c r="J560" s="10" t="n">
        <v>78000</v>
      </c>
      <c r="K560" s="10" t="inlineStr">
        <is>
          <t>Rp 312.000</t>
        </is>
      </c>
    </row>
    <row r="561">
      <c r="A561" s="10" t="inlineStr">
        <is>
          <t>INV-70861</t>
        </is>
      </c>
      <c r="B561" s="10" t="inlineStr">
        <is>
          <t>2025-04-24</t>
        </is>
      </c>
      <c r="C561" s="10" t="inlineStr">
        <is>
          <t>C1242</t>
        </is>
      </c>
      <c r="D561" s="10" t="inlineStr">
        <is>
          <t>regular</t>
        </is>
      </c>
      <c r="E561" s="10" t="inlineStr">
        <is>
          <t>Tiktok Shop</t>
        </is>
      </c>
      <c r="F561" s="10" t="inlineStr">
        <is>
          <t>Jabodetabek</t>
        </is>
      </c>
      <c r="G561" s="10" t="inlineStr">
        <is>
          <t>Elektronik</t>
        </is>
      </c>
      <c r="H561" s="10" t="inlineStr">
        <is>
          <t>Webcam HD</t>
        </is>
      </c>
      <c r="I561" s="10" t="n">
        <v>2</v>
      </c>
      <c r="J561" s="10" t="n">
        <v>210000</v>
      </c>
      <c r="K561" s="10" t="n">
        <v>420000</v>
      </c>
    </row>
    <row r="562">
      <c r="A562" s="10" t="inlineStr">
        <is>
          <t>INV-70795</t>
        </is>
      </c>
      <c r="B562" s="10" t="inlineStr">
        <is>
          <t>2025-07-09</t>
        </is>
      </c>
      <c r="C562" s="10" t="inlineStr">
        <is>
          <t>C1223</t>
        </is>
      </c>
      <c r="D562" s="10" t="inlineStr">
        <is>
          <t>loyal</t>
        </is>
      </c>
      <c r="E562" s="10" t="inlineStr">
        <is>
          <t xml:space="preserve">Shopee </t>
        </is>
      </c>
      <c r="F562" s="10" t="inlineStr">
        <is>
          <t>Sumatera</t>
        </is>
      </c>
      <c r="G562" s="10" t="inlineStr">
        <is>
          <t>rumah tangga</t>
        </is>
      </c>
      <c r="H562" s="10" t="inlineStr">
        <is>
          <t>Set Wadah Kedap</t>
        </is>
      </c>
      <c r="I562" s="10" t="n">
        <v>4</v>
      </c>
      <c r="J562" s="10" t="n">
        <v>135000</v>
      </c>
      <c r="K562" s="10" t="inlineStr">
        <is>
          <t>Rp 540.000</t>
        </is>
      </c>
    </row>
    <row r="563">
      <c r="A563" s="10" t="inlineStr">
        <is>
          <t>INV-70111</t>
        </is>
      </c>
      <c r="B563" s="10" t="inlineStr">
        <is>
          <t>2025-05-19</t>
        </is>
      </c>
      <c r="C563" s="10" t="inlineStr">
        <is>
          <t>C1033</t>
        </is>
      </c>
      <c r="D563" s="10" t="inlineStr">
        <is>
          <t>regular</t>
        </is>
      </c>
      <c r="E563" s="10" t="inlineStr">
        <is>
          <t>TikTok Shop</t>
        </is>
      </c>
      <c r="F563" s="10" t="inlineStr">
        <is>
          <t>Jabodetabek</t>
        </is>
      </c>
      <c r="G563" s="10" t="inlineStr">
        <is>
          <t>Rumah Tangga</t>
        </is>
      </c>
      <c r="H563" s="10" t="inlineStr">
        <is>
          <t>Organizer Laci</t>
        </is>
      </c>
      <c r="I563" s="10" t="n">
        <v>1</v>
      </c>
      <c r="J563" s="10" t="n">
        <v>78000</v>
      </c>
      <c r="K563" s="10" t="inlineStr">
        <is>
          <t>Rp 78.000</t>
        </is>
      </c>
    </row>
    <row r="564">
      <c r="A564" s="10" t="inlineStr">
        <is>
          <t>INV-70268</t>
        </is>
      </c>
      <c r="B564" s="10" t="inlineStr">
        <is>
          <t>12/05/2026</t>
        </is>
      </c>
      <c r="C564" s="10" t="inlineStr">
        <is>
          <t>C1075</t>
        </is>
      </c>
      <c r="D564" s="10" t="inlineStr">
        <is>
          <t>occasional</t>
        </is>
      </c>
      <c r="E564" s="10" t="inlineStr">
        <is>
          <t>shopee</t>
        </is>
      </c>
      <c r="F564" s="10" t="inlineStr">
        <is>
          <t>Jabodetabek</t>
        </is>
      </c>
      <c r="G564" s="10" t="inlineStr">
        <is>
          <t>Elektronik</t>
        </is>
      </c>
      <c r="H564" s="10" t="inlineStr">
        <is>
          <t>Keyboard Mekanik</t>
        </is>
      </c>
      <c r="I564" s="10" t="n">
        <v>1</v>
      </c>
      <c r="J564" s="10" t="n">
        <v>380000</v>
      </c>
      <c r="K564" s="10" t="n">
        <v>380000</v>
      </c>
    </row>
    <row r="565">
      <c r="A565" s="10" t="inlineStr">
        <is>
          <t>INV-70595</t>
        </is>
      </c>
      <c r="B565" s="10" t="inlineStr">
        <is>
          <t>2025-12-03</t>
        </is>
      </c>
      <c r="C565" s="10" t="inlineStr">
        <is>
          <t>C1161</t>
        </is>
      </c>
      <c r="D565" s="10" t="inlineStr">
        <is>
          <t>champion</t>
        </is>
      </c>
      <c r="E565" s="10" t="inlineStr">
        <is>
          <t>Shopee</t>
        </is>
      </c>
      <c r="F565" s="10" t="inlineStr">
        <is>
          <t>Jabodetabek</t>
        </is>
      </c>
      <c r="G565" s="10" t="inlineStr">
        <is>
          <t>Rumah Tangga</t>
        </is>
      </c>
      <c r="H565" s="10" t="inlineStr">
        <is>
          <t>Karpet Bulu</t>
        </is>
      </c>
      <c r="I565" s="10" t="n">
        <v>2</v>
      </c>
      <c r="J565" s="10" t="n">
        <v>240000</v>
      </c>
      <c r="K565" s="10" t="n">
        <v>480000</v>
      </c>
    </row>
    <row r="566">
      <c r="A566" s="10" t="inlineStr">
        <is>
          <t>INV-70892</t>
        </is>
      </c>
      <c r="B566" s="10" t="inlineStr">
        <is>
          <t>23/02/2026</t>
        </is>
      </c>
      <c r="C566" s="10" t="inlineStr">
        <is>
          <t>C1250</t>
        </is>
      </c>
      <c r="D566" s="10" t="inlineStr">
        <is>
          <t>regular</t>
        </is>
      </c>
      <c r="E566" s="10" t="inlineStr">
        <is>
          <t>Tokopedia</t>
        </is>
      </c>
      <c r="F566" s="10" t="inlineStr">
        <is>
          <t>Jabodetabek</t>
        </is>
      </c>
      <c r="G566" s="10" t="inlineStr">
        <is>
          <t>Elektronik</t>
        </is>
      </c>
      <c r="H566" s="10" t="inlineStr">
        <is>
          <t>Webcam HD</t>
        </is>
      </c>
      <c r="I566" s="10" t="n">
        <v>2</v>
      </c>
      <c r="J566" s="10" t="n">
        <v>210000</v>
      </c>
      <c r="K566" s="10" t="inlineStr">
        <is>
          <t>Rp 420.000</t>
        </is>
      </c>
    </row>
    <row r="567">
      <c r="A567" s="10" t="inlineStr">
        <is>
          <t>INV-70184</t>
        </is>
      </c>
      <c r="B567" s="10" t="inlineStr">
        <is>
          <t>2025-10-16</t>
        </is>
      </c>
      <c r="C567" s="10" t="inlineStr">
        <is>
          <t>C1052</t>
        </is>
      </c>
      <c r="D567" s="10" t="inlineStr">
        <is>
          <t>regular</t>
        </is>
      </c>
      <c r="E567" s="10" t="inlineStr">
        <is>
          <t>tiktok shop</t>
        </is>
      </c>
      <c r="F567" s="10" t="inlineStr">
        <is>
          <t>Lainnya</t>
        </is>
      </c>
      <c r="G567" s="10" t="inlineStr">
        <is>
          <t>Kecantikan</t>
        </is>
      </c>
      <c r="H567" s="10" t="inlineStr">
        <is>
          <t>Masker Wajah (5s)</t>
        </is>
      </c>
      <c r="I567" s="10" t="n">
        <v>2</v>
      </c>
      <c r="J567" s="10" t="n">
        <v>55000</v>
      </c>
      <c r="K567" s="10" t="n">
        <v>110000</v>
      </c>
    </row>
    <row r="568">
      <c r="A568" s="10" t="inlineStr">
        <is>
          <t>INV-70149</t>
        </is>
      </c>
      <c r="B568" s="10" t="inlineStr">
        <is>
          <t>2025-11-13</t>
        </is>
      </c>
      <c r="C568" s="10" t="inlineStr">
        <is>
          <t>C1043</t>
        </is>
      </c>
      <c r="D568" s="10" t="inlineStr">
        <is>
          <t>occasional</t>
        </is>
      </c>
      <c r="E568" s="10" t="inlineStr">
        <is>
          <t xml:space="preserve">Tokopedia </t>
        </is>
      </c>
      <c r="F568" s="10" t="inlineStr">
        <is>
          <t>Sumatera</t>
        </is>
      </c>
      <c r="G568" s="10" t="inlineStr">
        <is>
          <t>Kecantikan</t>
        </is>
      </c>
      <c r="H568" s="10" t="inlineStr">
        <is>
          <t>Masker Wajah (5s)</t>
        </is>
      </c>
      <c r="I568" s="10" t="n">
        <v>1</v>
      </c>
      <c r="J568" s="10" t="n">
        <v>55000</v>
      </c>
      <c r="K568" s="10" t="n">
        <v>55000</v>
      </c>
    </row>
    <row r="569">
      <c r="A569" s="10" t="inlineStr">
        <is>
          <t>INV-70621</t>
        </is>
      </c>
      <c r="B569" s="10" t="inlineStr">
        <is>
          <t>2026-03-08</t>
        </is>
      </c>
      <c r="C569" s="10" t="inlineStr">
        <is>
          <t>C1170</t>
        </is>
      </c>
      <c r="D569" s="10" t="inlineStr">
        <is>
          <t>champion</t>
        </is>
      </c>
      <c r="E569" s="10" t="inlineStr">
        <is>
          <t>Tokopedia</t>
        </is>
      </c>
      <c r="F569" s="10" t="inlineStr">
        <is>
          <t>Lainnya</t>
        </is>
      </c>
      <c r="G569" s="10" t="inlineStr">
        <is>
          <t>Makanan</t>
        </is>
      </c>
      <c r="H569" s="10" t="inlineStr">
        <is>
          <t>Madu Hutan 250ml</t>
        </is>
      </c>
      <c r="I569" s="10" t="n">
        <v>1</v>
      </c>
      <c r="J569" s="10" t="n">
        <v>110000</v>
      </c>
      <c r="K569" s="10" t="n">
        <v>122000</v>
      </c>
    </row>
    <row r="570">
      <c r="A570" s="10" t="inlineStr">
        <is>
          <t>INV-70918</t>
        </is>
      </c>
      <c r="B570" s="10" t="inlineStr">
        <is>
          <t>10 Mar 2026</t>
        </is>
      </c>
      <c r="C570" s="10" t="inlineStr">
        <is>
          <t>C1259</t>
        </is>
      </c>
      <c r="D570" s="10" t="inlineStr">
        <is>
          <t>onetime</t>
        </is>
      </c>
      <c r="E570" s="10" t="inlineStr">
        <is>
          <t>TikTok Shop</t>
        </is>
      </c>
      <c r="F570" s="10" t="inlineStr">
        <is>
          <t>Jawa Tengah</t>
        </is>
      </c>
      <c r="G570" s="10" t="inlineStr">
        <is>
          <t>Elektronik</t>
        </is>
      </c>
      <c r="H570" s="10" t="inlineStr">
        <is>
          <t>Power Bank 20K</t>
        </is>
      </c>
      <c r="I570" s="10" t="n">
        <v>2</v>
      </c>
      <c r="J570" s="10" t="n">
        <v>185000</v>
      </c>
      <c r="K570" s="10" t="n">
        <v>370000</v>
      </c>
    </row>
    <row r="571">
      <c r="A571" s="10" t="inlineStr">
        <is>
          <t>INV-70362</t>
        </is>
      </c>
      <c r="B571" s="10" t="inlineStr">
        <is>
          <t>2025-04-10</t>
        </is>
      </c>
      <c r="C571" s="10" t="inlineStr">
        <is>
          <t>C1099</t>
        </is>
      </c>
      <c r="D571" s="10" t="inlineStr">
        <is>
          <t>occasional</t>
        </is>
      </c>
      <c r="E571" s="10" t="inlineStr">
        <is>
          <t>Shopee</t>
        </is>
      </c>
      <c r="F571" s="10" t="inlineStr">
        <is>
          <t>Jabodetabek</t>
        </is>
      </c>
      <c r="G571" s="10" t="inlineStr">
        <is>
          <t>Rumah Tangga</t>
        </is>
      </c>
      <c r="H571" s="10" t="inlineStr">
        <is>
          <t>Set Wadah Kedap</t>
        </is>
      </c>
      <c r="I571" s="10" t="n">
        <v>1</v>
      </c>
      <c r="J571" s="10" t="n">
        <v>135000</v>
      </c>
      <c r="K571" s="10" t="inlineStr">
        <is>
          <t>Rp 135.000</t>
        </is>
      </c>
    </row>
    <row r="572">
      <c r="A572" s="10" t="inlineStr">
        <is>
          <t>INV-70607</t>
        </is>
      </c>
      <c r="B572" s="10" t="inlineStr">
        <is>
          <t>2025-09-06</t>
        </is>
      </c>
      <c r="C572" s="10" t="inlineStr">
        <is>
          <t>C1164</t>
        </is>
      </c>
      <c r="D572" s="10" t="inlineStr">
        <is>
          <t>regular</t>
        </is>
      </c>
      <c r="E572" s="10" t="inlineStr">
        <is>
          <t>Shopee</t>
        </is>
      </c>
      <c r="F572" s="10" t="n"/>
      <c r="G572" s="10" t="inlineStr">
        <is>
          <t>Rumah Tangga</t>
        </is>
      </c>
      <c r="H572" s="10" t="inlineStr">
        <is>
          <t>Set Wadah Kedap</t>
        </is>
      </c>
      <c r="I572" s="10" t="n">
        <v>3</v>
      </c>
      <c r="J572" s="10" t="n">
        <v>135000</v>
      </c>
      <c r="K572" s="10" t="inlineStr">
        <is>
          <t>Rp 405.000</t>
        </is>
      </c>
    </row>
    <row r="573">
      <c r="A573" s="10" t="inlineStr">
        <is>
          <t>INV-70489</t>
        </is>
      </c>
      <c r="B573" s="10" t="inlineStr">
        <is>
          <t>2025-02-12</t>
        </is>
      </c>
      <c r="C573" s="10" t="inlineStr">
        <is>
          <t>C1139</t>
        </is>
      </c>
      <c r="D573" s="10" t="inlineStr">
        <is>
          <t>champion</t>
        </is>
      </c>
      <c r="E573" s="10" t="inlineStr">
        <is>
          <t>Shopee</t>
        </is>
      </c>
      <c r="F573" s="10" t="inlineStr">
        <is>
          <t>Jawa Barat</t>
        </is>
      </c>
      <c r="G573" s="10" t="inlineStr">
        <is>
          <t>Elektronik</t>
        </is>
      </c>
      <c r="H573" s="10" t="inlineStr">
        <is>
          <t>Webcam HD</t>
        </is>
      </c>
      <c r="I573" s="10" t="n">
        <v>4</v>
      </c>
      <c r="J573" s="10" t="n">
        <v>210000</v>
      </c>
      <c r="K573" s="10" t="n">
        <v>840000</v>
      </c>
    </row>
    <row r="574">
      <c r="A574" s="10" t="inlineStr">
        <is>
          <t>INV-70884</t>
        </is>
      </c>
      <c r="B574" s="10" t="inlineStr">
        <is>
          <t>2026-06-14</t>
        </is>
      </c>
      <c r="C574" s="10" t="inlineStr">
        <is>
          <t>C1247</t>
        </is>
      </c>
      <c r="D574" s="10" t="inlineStr">
        <is>
          <t>champion</t>
        </is>
      </c>
      <c r="E574" s="10" t="inlineStr">
        <is>
          <t>Offline Store</t>
        </is>
      </c>
      <c r="F574" s="10" t="inlineStr">
        <is>
          <t>Jabodetabek</t>
        </is>
      </c>
      <c r="G574" s="10" t="inlineStr">
        <is>
          <t>Rumah Tangga</t>
        </is>
      </c>
      <c r="H574" s="10" t="inlineStr">
        <is>
          <t>Set Wadah Kedap</t>
        </is>
      </c>
      <c r="I574" s="10" t="n">
        <v>2</v>
      </c>
      <c r="J574" s="10" t="n">
        <v>135000</v>
      </c>
      <c r="K574" s="10" t="n">
        <v>270000</v>
      </c>
    </row>
    <row r="575">
      <c r="A575" s="10" t="inlineStr">
        <is>
          <t>INV-71330</t>
        </is>
      </c>
      <c r="B575" s="10" t="inlineStr">
        <is>
          <t>2025-10-25</t>
        </is>
      </c>
      <c r="C575" s="10" t="inlineStr">
        <is>
          <t>C1366</t>
        </is>
      </c>
      <c r="D575" s="10" t="inlineStr">
        <is>
          <t>loyal</t>
        </is>
      </c>
      <c r="E575" s="10" t="inlineStr">
        <is>
          <t>Shopee</t>
        </is>
      </c>
      <c r="F575" s="10" t="inlineStr">
        <is>
          <t>Jawa Barat</t>
        </is>
      </c>
      <c r="G575" s="10" t="inlineStr">
        <is>
          <t>Rumah Tangga</t>
        </is>
      </c>
      <c r="H575" s="10" t="inlineStr">
        <is>
          <t>Karpet Bulu</t>
        </is>
      </c>
      <c r="I575" s="10" t="n">
        <v>3</v>
      </c>
      <c r="J575" s="10" t="n">
        <v>240000</v>
      </c>
      <c r="K575" s="10" t="n">
        <v>720000</v>
      </c>
    </row>
    <row r="576">
      <c r="A576" s="10" t="inlineStr">
        <is>
          <t>INV-70568</t>
        </is>
      </c>
      <c r="B576" s="10" t="inlineStr">
        <is>
          <t>05 Jun 2025</t>
        </is>
      </c>
      <c r="C576" s="10" t="inlineStr">
        <is>
          <t>C1156</t>
        </is>
      </c>
      <c r="D576" s="10" t="inlineStr">
        <is>
          <t>champion</t>
        </is>
      </c>
      <c r="E576" s="10" t="inlineStr">
        <is>
          <t>TikTok Shop</t>
        </is>
      </c>
      <c r="F576" s="10" t="inlineStr">
        <is>
          <t>Jawa Tengah</t>
        </is>
      </c>
      <c r="G576" s="10" t="inlineStr">
        <is>
          <t>Kecantikan</t>
        </is>
      </c>
      <c r="H576" s="10" t="inlineStr">
        <is>
          <t>Lip Tint</t>
        </is>
      </c>
      <c r="I576" s="10" t="n">
        <v>1</v>
      </c>
      <c r="J576" s="10" t="n">
        <v>65000</v>
      </c>
      <c r="K576" s="10" t="inlineStr">
        <is>
          <t>Rp 65.000</t>
        </is>
      </c>
    </row>
    <row r="577">
      <c r="A577" s="10" t="inlineStr">
        <is>
          <t>INV-71526</t>
        </is>
      </c>
      <c r="B577" s="10" t="inlineStr">
        <is>
          <t>05 Dec 2025</t>
        </is>
      </c>
      <c r="C577" s="10" t="inlineStr">
        <is>
          <t>C1419</t>
        </is>
      </c>
      <c r="D577" s="10" t="inlineStr">
        <is>
          <t>loyal</t>
        </is>
      </c>
      <c r="E577" s="10" t="inlineStr">
        <is>
          <t>Shopee</t>
        </is>
      </c>
      <c r="F577" s="10" t="inlineStr">
        <is>
          <t>Jawa Barat</t>
        </is>
      </c>
      <c r="G577" s="10" t="inlineStr">
        <is>
          <t>Elektronik</t>
        </is>
      </c>
      <c r="H577" s="10" t="inlineStr">
        <is>
          <t>Keyboard Mekanik</t>
        </is>
      </c>
      <c r="I577" s="10" t="n">
        <v>2</v>
      </c>
      <c r="J577" s="10" t="n">
        <v>380000</v>
      </c>
      <c r="K577" s="10" t="n">
        <v>760000</v>
      </c>
    </row>
    <row r="578">
      <c r="A578" s="10" t="inlineStr">
        <is>
          <t>INV-70878</t>
        </is>
      </c>
      <c r="B578" s="10" t="inlineStr">
        <is>
          <t>26/05/2025</t>
        </is>
      </c>
      <c r="C578" s="10" t="inlineStr">
        <is>
          <t>C1246</t>
        </is>
      </c>
      <c r="D578" s="10" t="inlineStr">
        <is>
          <t>champion</t>
        </is>
      </c>
      <c r="E578" s="10" t="inlineStr">
        <is>
          <t>offline store</t>
        </is>
      </c>
      <c r="F578" s="10" t="inlineStr">
        <is>
          <t>Lainnya</t>
        </is>
      </c>
      <c r="G578" s="10" t="inlineStr">
        <is>
          <t>Fashion</t>
        </is>
      </c>
      <c r="H578" s="10" t="inlineStr">
        <is>
          <t>Celana Chino</t>
        </is>
      </c>
      <c r="I578" s="10" t="n">
        <v>3</v>
      </c>
      <c r="J578" s="10" t="n">
        <v>195000</v>
      </c>
      <c r="K578" s="10" t="n">
        <v>585000</v>
      </c>
    </row>
    <row r="579">
      <c r="A579" s="10" t="inlineStr">
        <is>
          <t>INV-70407</t>
        </is>
      </c>
      <c r="B579" s="10" t="inlineStr">
        <is>
          <t>2025-06-26</t>
        </is>
      </c>
      <c r="C579" s="10" t="inlineStr">
        <is>
          <t>C1113</t>
        </is>
      </c>
      <c r="D579" s="10" t="inlineStr">
        <is>
          <t>loyal</t>
        </is>
      </c>
      <c r="E579" s="10" t="inlineStr">
        <is>
          <t xml:space="preserve">Shopee </t>
        </is>
      </c>
      <c r="F579" s="10" t="inlineStr">
        <is>
          <t>Jawa Tengah</t>
        </is>
      </c>
      <c r="G579" s="10" t="inlineStr">
        <is>
          <t>Elektronik</t>
        </is>
      </c>
      <c r="H579" s="10" t="inlineStr">
        <is>
          <t>Keyboard Mekanik</t>
        </is>
      </c>
      <c r="I579" s="10" t="n">
        <v>2</v>
      </c>
      <c r="J579" s="10" t="n">
        <v>380000</v>
      </c>
      <c r="K579" s="10" t="n">
        <v>760000</v>
      </c>
    </row>
    <row r="580">
      <c r="A580" s="10" t="inlineStr">
        <is>
          <t>INV-71555</t>
        </is>
      </c>
      <c r="B580" s="10" t="inlineStr">
        <is>
          <t>2026-02-17</t>
        </is>
      </c>
      <c r="C580" s="10" t="inlineStr">
        <is>
          <t>C1428</t>
        </is>
      </c>
      <c r="D580" s="10" t="inlineStr">
        <is>
          <t>loyal</t>
        </is>
      </c>
      <c r="E580" s="10" t="inlineStr">
        <is>
          <t>Offline Store</t>
        </is>
      </c>
      <c r="F580" s="10" t="inlineStr">
        <is>
          <t>Jabodetabek</t>
        </is>
      </c>
      <c r="G580" s="10" t="inlineStr">
        <is>
          <t>elektronik</t>
        </is>
      </c>
      <c r="H580" s="10" t="inlineStr">
        <is>
          <t>Webcam HD</t>
        </is>
      </c>
      <c r="I580" s="10" t="n">
        <v>1</v>
      </c>
      <c r="J580" s="10" t="n">
        <v>210000</v>
      </c>
      <c r="K580" s="10" t="n">
        <v>210000</v>
      </c>
    </row>
    <row r="581">
      <c r="A581" s="10" t="inlineStr">
        <is>
          <t>INV-70507</t>
        </is>
      </c>
      <c r="B581" s="10" t="inlineStr">
        <is>
          <t>2025-09-09</t>
        </is>
      </c>
      <c r="C581" s="10" t="inlineStr">
        <is>
          <t>C1142</t>
        </is>
      </c>
      <c r="D581" s="10" t="inlineStr">
        <is>
          <t>champion</t>
        </is>
      </c>
      <c r="E581" s="10" t="inlineStr">
        <is>
          <t>Shopee</t>
        </is>
      </c>
      <c r="F581" s="10" t="inlineStr">
        <is>
          <t>Jawa Barat</t>
        </is>
      </c>
      <c r="G581" s="10" t="inlineStr">
        <is>
          <t>Rumah Tangga</t>
        </is>
      </c>
      <c r="H581" s="10" t="inlineStr">
        <is>
          <t>Set Wadah Kedap</t>
        </is>
      </c>
      <c r="I581" s="10" t="n">
        <v>4</v>
      </c>
      <c r="J581" s="10" t="n">
        <v>135000</v>
      </c>
      <c r="K581" s="10" t="n">
        <v>540000</v>
      </c>
    </row>
    <row r="582">
      <c r="A582" s="10" t="inlineStr">
        <is>
          <t>INV-71092</t>
        </is>
      </c>
      <c r="B582" s="10" t="inlineStr">
        <is>
          <t>2026-05-20</t>
        </is>
      </c>
      <c r="C582" s="10" t="inlineStr">
        <is>
          <t>C1306</t>
        </is>
      </c>
      <c r="D582" s="10" t="inlineStr">
        <is>
          <t>loyal</t>
        </is>
      </c>
      <c r="E582" s="10" t="inlineStr">
        <is>
          <t>Shopee</t>
        </is>
      </c>
      <c r="F582" s="10" t="inlineStr">
        <is>
          <t>Sumatera</t>
        </is>
      </c>
      <c r="G582" s="10" t="inlineStr">
        <is>
          <t>Elektronik</t>
        </is>
      </c>
      <c r="H582" s="10" t="inlineStr">
        <is>
          <t>Smartwatch</t>
        </is>
      </c>
      <c r="I582" s="10" t="n">
        <v>4</v>
      </c>
      <c r="J582" s="10" t="n">
        <v>450000</v>
      </c>
      <c r="K582" s="10" t="n">
        <v>1800000</v>
      </c>
    </row>
    <row r="583">
      <c r="A583" s="10" t="inlineStr">
        <is>
          <t>INV-71214</t>
        </is>
      </c>
      <c r="B583" s="10" t="inlineStr">
        <is>
          <t>18/06/2025</t>
        </is>
      </c>
      <c r="C583" s="10" t="inlineStr">
        <is>
          <t>C1345</t>
        </is>
      </c>
      <c r="D583" s="10" t="inlineStr">
        <is>
          <t>onetime</t>
        </is>
      </c>
      <c r="E583" s="10" t="inlineStr">
        <is>
          <t>TIKTOK SHOP</t>
        </is>
      </c>
      <c r="F583" s="10" t="inlineStr">
        <is>
          <t>Jabodetabek</t>
        </is>
      </c>
      <c r="G583" s="10" t="inlineStr">
        <is>
          <t>Rumah Tangga</t>
        </is>
      </c>
      <c r="H583" s="10" t="inlineStr">
        <is>
          <t>Set Wadah Kedap</t>
        </is>
      </c>
      <c r="I583" s="10" t="n">
        <v>3</v>
      </c>
      <c r="J583" s="10" t="n">
        <v>135000</v>
      </c>
      <c r="K583" s="10" t="n">
        <v>405000</v>
      </c>
    </row>
    <row r="584">
      <c r="A584" s="10" t="inlineStr">
        <is>
          <t>INV-70200</t>
        </is>
      </c>
      <c r="B584" s="10" t="inlineStr">
        <is>
          <t>2025-06-09</t>
        </is>
      </c>
      <c r="C584" s="10" t="inlineStr">
        <is>
          <t>C1057</t>
        </is>
      </c>
      <c r="D584" s="10" t="inlineStr">
        <is>
          <t>regular</t>
        </is>
      </c>
      <c r="E584" s="10" t="inlineStr">
        <is>
          <t xml:space="preserve">Offline store </t>
        </is>
      </c>
      <c r="F584" s="10" t="inlineStr">
        <is>
          <t>Jawa Timur</t>
        </is>
      </c>
      <c r="G584" s="10" t="inlineStr">
        <is>
          <t>Elektronik</t>
        </is>
      </c>
      <c r="H584" s="10" t="inlineStr">
        <is>
          <t>Webcam HD</t>
        </is>
      </c>
      <c r="I584" s="10" t="n">
        <v>3</v>
      </c>
      <c r="J584" s="10" t="n">
        <v>210000</v>
      </c>
      <c r="K584" s="10" t="inlineStr">
        <is>
          <t>Rp 630.000</t>
        </is>
      </c>
    </row>
    <row r="585">
      <c r="A585" s="10" t="inlineStr">
        <is>
          <t>INV-70049</t>
        </is>
      </c>
      <c r="B585" s="10" t="inlineStr">
        <is>
          <t>13/07/2025</t>
        </is>
      </c>
      <c r="C585" s="10" t="inlineStr">
        <is>
          <t>C1012</t>
        </is>
      </c>
      <c r="D585" s="10" t="inlineStr">
        <is>
          <t>loyal</t>
        </is>
      </c>
      <c r="E585" s="10" t="inlineStr">
        <is>
          <t>Offline Store</t>
        </is>
      </c>
      <c r="F585" s="10" t="inlineStr">
        <is>
          <t>Jawa Barat</t>
        </is>
      </c>
      <c r="G585" s="10" t="inlineStr">
        <is>
          <t>elektronik</t>
        </is>
      </c>
      <c r="H585" s="10" t="inlineStr">
        <is>
          <t>Webcam HD</t>
        </is>
      </c>
      <c r="I585" s="10" t="n">
        <v>1</v>
      </c>
      <c r="J585" s="10" t="n">
        <v>210000</v>
      </c>
      <c r="K585" s="10" t="n">
        <v>210000</v>
      </c>
    </row>
    <row r="586">
      <c r="A586" s="10" t="inlineStr">
        <is>
          <t>INV-70714</t>
        </is>
      </c>
      <c r="B586" s="10" t="inlineStr">
        <is>
          <t>2025-10-27</t>
        </is>
      </c>
      <c r="C586" s="10" t="inlineStr">
        <is>
          <t>C1199</t>
        </is>
      </c>
      <c r="D586" s="10" t="inlineStr">
        <is>
          <t>loyal</t>
        </is>
      </c>
      <c r="E586" s="10" t="inlineStr">
        <is>
          <t>Shopee</t>
        </is>
      </c>
      <c r="F586" s="10" t="inlineStr">
        <is>
          <t>Jabodetabek</t>
        </is>
      </c>
      <c r="G586" s="10" t="inlineStr">
        <is>
          <t>rumah tangga</t>
        </is>
      </c>
      <c r="H586" s="10" t="inlineStr">
        <is>
          <t>Organizer Laci</t>
        </is>
      </c>
      <c r="I586" s="10" t="n">
        <v>1</v>
      </c>
      <c r="J586" s="10" t="n">
        <v>78000</v>
      </c>
      <c r="K586" s="10" t="inlineStr">
        <is>
          <t>Rp 78.000</t>
        </is>
      </c>
    </row>
    <row r="587">
      <c r="A587" s="10" t="inlineStr">
        <is>
          <t>INV-71390</t>
        </is>
      </c>
      <c r="B587" s="10" t="inlineStr">
        <is>
          <t>2025-10-10</t>
        </is>
      </c>
      <c r="C587" s="10" t="inlineStr">
        <is>
          <t>C1384</t>
        </is>
      </c>
      <c r="D587" s="10" t="inlineStr">
        <is>
          <t>regular</t>
        </is>
      </c>
      <c r="E587" s="10" t="inlineStr">
        <is>
          <t>offline store</t>
        </is>
      </c>
      <c r="F587" s="10" t="inlineStr">
        <is>
          <t>Jawa Timur</t>
        </is>
      </c>
      <c r="G587" s="10" t="inlineStr">
        <is>
          <t>Elektronik</t>
        </is>
      </c>
      <c r="H587" s="10" t="inlineStr">
        <is>
          <t>Power Bank 20K</t>
        </is>
      </c>
      <c r="I587" s="10" t="n">
        <v>1</v>
      </c>
      <c r="J587" s="10" t="n">
        <v>185000</v>
      </c>
      <c r="K587" s="10" t="n">
        <v>185000</v>
      </c>
    </row>
    <row r="588">
      <c r="A588" s="10" t="inlineStr">
        <is>
          <t>INV-71447</t>
        </is>
      </c>
      <c r="B588" s="10" t="inlineStr">
        <is>
          <t>2026-04-22</t>
        </is>
      </c>
      <c r="C588" s="10" t="inlineStr">
        <is>
          <t>C1400</t>
        </is>
      </c>
      <c r="D588" s="10" t="inlineStr">
        <is>
          <t>regular</t>
        </is>
      </c>
      <c r="E588" s="10" t="inlineStr">
        <is>
          <t>Shopee</t>
        </is>
      </c>
      <c r="F588" s="10" t="inlineStr">
        <is>
          <t>Jabodetabek</t>
        </is>
      </c>
      <c r="G588" s="10" t="inlineStr">
        <is>
          <t>Makanan</t>
        </is>
      </c>
      <c r="H588" s="10" t="inlineStr">
        <is>
          <t>Teh Herbal (15s)</t>
        </is>
      </c>
      <c r="I588" s="10" t="n">
        <v>1</v>
      </c>
      <c r="J588" s="10" t="n">
        <v>58000</v>
      </c>
      <c r="K588" s="10" t="n">
        <v>58000</v>
      </c>
    </row>
    <row r="589">
      <c r="A589" s="10" t="inlineStr">
        <is>
          <t>INV-71554</t>
        </is>
      </c>
      <c r="B589" s="10" t="inlineStr">
        <is>
          <t>2025-05-07</t>
        </is>
      </c>
      <c r="C589" s="10" t="inlineStr">
        <is>
          <t>C1428</t>
        </is>
      </c>
      <c r="D589" s="10" t="inlineStr">
        <is>
          <t>loyal</t>
        </is>
      </c>
      <c r="E589" s="10" t="inlineStr">
        <is>
          <t>Offline Store</t>
        </is>
      </c>
      <c r="F589" s="10" t="inlineStr">
        <is>
          <t>Jabodetabek</t>
        </is>
      </c>
      <c r="G589" s="10" t="inlineStr">
        <is>
          <t>rumah tangga</t>
        </is>
      </c>
      <c r="H589" s="10" t="inlineStr">
        <is>
          <t>Diffuser Aroma</t>
        </is>
      </c>
      <c r="I589" s="10" t="n">
        <v>2</v>
      </c>
      <c r="J589" s="10" t="n">
        <v>195000</v>
      </c>
      <c r="K589" s="10" t="n">
        <v>390000</v>
      </c>
    </row>
    <row r="590">
      <c r="A590" s="10" t="inlineStr">
        <is>
          <t>INV-71103</t>
        </is>
      </c>
      <c r="B590" s="10" t="inlineStr">
        <is>
          <t>2025-03-13</t>
        </is>
      </c>
      <c r="C590" s="10" t="inlineStr">
        <is>
          <t>C1310</t>
        </is>
      </c>
      <c r="D590" s="10" t="inlineStr">
        <is>
          <t>loyal</t>
        </is>
      </c>
      <c r="E590" s="10" t="inlineStr">
        <is>
          <t>Offline Store</t>
        </is>
      </c>
      <c r="F590" s="10" t="inlineStr">
        <is>
          <t>Jawa Barat</t>
        </is>
      </c>
      <c r="G590" s="10" t="inlineStr">
        <is>
          <t>Rumah Tangga</t>
        </is>
      </c>
      <c r="H590" s="10" t="inlineStr">
        <is>
          <t>Set Wadah Kedap</t>
        </is>
      </c>
      <c r="I590" s="10" t="n">
        <v>1</v>
      </c>
      <c r="J590" s="10" t="n">
        <v>135000</v>
      </c>
      <c r="K590" s="10" t="inlineStr">
        <is>
          <t>Rp 135.000</t>
        </is>
      </c>
    </row>
    <row r="591">
      <c r="A591" s="10" t="inlineStr">
        <is>
          <t>INV-71017</t>
        </is>
      </c>
      <c r="B591" s="10" t="inlineStr">
        <is>
          <t>15 Jun 2025</t>
        </is>
      </c>
      <c r="C591" s="10" t="inlineStr">
        <is>
          <t>C1290</t>
        </is>
      </c>
      <c r="D591" s="10" t="inlineStr">
        <is>
          <t>loyal</t>
        </is>
      </c>
      <c r="E591" s="10" t="inlineStr">
        <is>
          <t>Shopee</t>
        </is>
      </c>
      <c r="F591" s="10" t="inlineStr">
        <is>
          <t>Jawa Tengah</t>
        </is>
      </c>
      <c r="G591" s="10" t="inlineStr">
        <is>
          <t>Kecantikan</t>
        </is>
      </c>
      <c r="H591" s="10" t="inlineStr">
        <is>
          <t>Masker Wajah (5s)</t>
        </is>
      </c>
      <c r="I591" s="10" t="n">
        <v>1</v>
      </c>
      <c r="J591" s="10" t="n">
        <v>55000</v>
      </c>
      <c r="K591" s="10" t="n">
        <v>55000</v>
      </c>
    </row>
    <row r="592">
      <c r="A592" s="10" t="inlineStr">
        <is>
          <t>INV-71523</t>
        </is>
      </c>
      <c r="B592" s="10" t="inlineStr">
        <is>
          <t>27/03/2026</t>
        </is>
      </c>
      <c r="C592" s="10" t="inlineStr">
        <is>
          <t>C1419</t>
        </is>
      </c>
      <c r="D592" s="10" t="inlineStr">
        <is>
          <t>loyal</t>
        </is>
      </c>
      <c r="E592" s="10" t="inlineStr">
        <is>
          <t>Shopee</t>
        </is>
      </c>
      <c r="F592" s="10" t="inlineStr">
        <is>
          <t>Jawa Barat</t>
        </is>
      </c>
      <c r="G592" s="10" t="inlineStr">
        <is>
          <t>Rumah Tangga</t>
        </is>
      </c>
      <c r="H592" s="10" t="inlineStr">
        <is>
          <t>Set Wadah Kedap</t>
        </is>
      </c>
      <c r="I592" s="10" t="n">
        <v>1</v>
      </c>
      <c r="J592" s="10" t="n">
        <v>135000</v>
      </c>
      <c r="K592" s="10" t="n">
        <v>135000</v>
      </c>
    </row>
    <row r="593">
      <c r="A593" s="10" t="inlineStr">
        <is>
          <t>INV-70549</t>
        </is>
      </c>
      <c r="B593" s="10" t="inlineStr">
        <is>
          <t>2026-03-13</t>
        </is>
      </c>
      <c r="C593" s="10" t="inlineStr">
        <is>
          <t>C1150</t>
        </is>
      </c>
      <c r="D593" s="10" t="inlineStr">
        <is>
          <t>champion</t>
        </is>
      </c>
      <c r="E593" s="10" t="inlineStr">
        <is>
          <t>TikTok Shop</t>
        </is>
      </c>
      <c r="F593" s="10" t="inlineStr">
        <is>
          <t>Jabodetabek</t>
        </is>
      </c>
      <c r="G593" s="10" t="inlineStr">
        <is>
          <t>Rumah Tangga</t>
        </is>
      </c>
      <c r="H593" s="10" t="inlineStr">
        <is>
          <t>Set Wadah Kedap</t>
        </is>
      </c>
      <c r="I593" s="10" t="n">
        <v>1</v>
      </c>
      <c r="J593" s="10" t="n">
        <v>135000</v>
      </c>
      <c r="K593" s="10" t="inlineStr">
        <is>
          <t>Rp 135.000</t>
        </is>
      </c>
    </row>
    <row r="594">
      <c r="A594" s="10" t="inlineStr">
        <is>
          <t>INV-70585</t>
        </is>
      </c>
      <c r="B594" s="10" t="inlineStr">
        <is>
          <t>2025-12-19</t>
        </is>
      </c>
      <c r="C594" s="10" t="inlineStr">
        <is>
          <t>C1159</t>
        </is>
      </c>
      <c r="D594" s="10" t="inlineStr">
        <is>
          <t>regular</t>
        </is>
      </c>
      <c r="E594" s="10" t="inlineStr">
        <is>
          <t>Shopee</t>
        </is>
      </c>
      <c r="F594" s="10" t="inlineStr">
        <is>
          <t>Jabodetabek</t>
        </is>
      </c>
      <c r="G594" s="10" t="inlineStr">
        <is>
          <t>Elektronik</t>
        </is>
      </c>
      <c r="H594" s="10" t="inlineStr">
        <is>
          <t>Earbuds TWS</t>
        </is>
      </c>
      <c r="I594" s="10" t="n">
        <v>1</v>
      </c>
      <c r="J594" s="10" t="n">
        <v>265000</v>
      </c>
      <c r="K594" s="10" t="n">
        <v>265000</v>
      </c>
    </row>
    <row r="595">
      <c r="A595" s="10" t="inlineStr">
        <is>
          <t>INV-70508</t>
        </is>
      </c>
      <c r="B595" s="10" t="inlineStr">
        <is>
          <t>2025-02-09</t>
        </is>
      </c>
      <c r="C595" s="10" t="inlineStr">
        <is>
          <t>C1142</t>
        </is>
      </c>
      <c r="D595" s="10" t="inlineStr">
        <is>
          <t>champion</t>
        </is>
      </c>
      <c r="E595" s="10" t="inlineStr">
        <is>
          <t>Tokopedia</t>
        </is>
      </c>
      <c r="F595" s="10" t="inlineStr">
        <is>
          <t>Jabodetabek</t>
        </is>
      </c>
      <c r="G595" s="10" t="inlineStr">
        <is>
          <t>Kecantikan</t>
        </is>
      </c>
      <c r="H595" s="10" t="inlineStr">
        <is>
          <t>Masker Wajah (5s)</t>
        </is>
      </c>
      <c r="I595" s="10" t="n">
        <v>2</v>
      </c>
      <c r="J595" s="10" t="n">
        <v>55000</v>
      </c>
      <c r="K595" s="10" t="n">
        <v>110000</v>
      </c>
    </row>
    <row r="596">
      <c r="A596" s="10" t="inlineStr">
        <is>
          <t>INV-70095</t>
        </is>
      </c>
      <c r="B596" s="10" t="inlineStr">
        <is>
          <t>2025-02-23</t>
        </is>
      </c>
      <c r="C596" s="10" t="inlineStr">
        <is>
          <t>C1028</t>
        </is>
      </c>
      <c r="D596" s="10" t="inlineStr">
        <is>
          <t>occasional</t>
        </is>
      </c>
      <c r="E596" s="10" t="inlineStr">
        <is>
          <t>Offline Store</t>
        </is>
      </c>
      <c r="F596" s="10" t="inlineStr">
        <is>
          <t>Jawa Tengah</t>
        </is>
      </c>
      <c r="G596" s="10" t="inlineStr">
        <is>
          <t>Rumah Tangga</t>
        </is>
      </c>
      <c r="H596" s="10" t="inlineStr">
        <is>
          <t>Diffuser Aroma</t>
        </is>
      </c>
      <c r="I596" s="10" t="n">
        <v>2</v>
      </c>
      <c r="J596" s="10" t="n">
        <v>195000</v>
      </c>
      <c r="K596" s="10" t="n">
        <v>390000</v>
      </c>
    </row>
    <row r="597">
      <c r="A597" s="10" t="inlineStr">
        <is>
          <t>INV-70867</t>
        </is>
      </c>
      <c r="B597" s="10" t="inlineStr">
        <is>
          <t>2025-11-08</t>
        </is>
      </c>
      <c r="C597" s="10" t="inlineStr">
        <is>
          <t>C1245</t>
        </is>
      </c>
      <c r="D597" s="10" t="inlineStr">
        <is>
          <t>regular</t>
        </is>
      </c>
      <c r="E597" s="10" t="inlineStr">
        <is>
          <t>Tokopedia</t>
        </is>
      </c>
      <c r="F597" s="10" t="inlineStr">
        <is>
          <t>Jabodetabek</t>
        </is>
      </c>
      <c r="G597" s="10" t="inlineStr">
        <is>
          <t>Rumah Tangga</t>
        </is>
      </c>
      <c r="H597" s="10" t="inlineStr">
        <is>
          <t>Set Wadah Kedap</t>
        </is>
      </c>
      <c r="I597" s="10" t="n">
        <v>1</v>
      </c>
      <c r="J597" s="10" t="n">
        <v>135000</v>
      </c>
      <c r="K597" s="10" t="n">
        <v>135000</v>
      </c>
    </row>
    <row r="598">
      <c r="A598" s="10" t="inlineStr">
        <is>
          <t>INV-71334</t>
        </is>
      </c>
      <c r="B598" s="10" t="inlineStr">
        <is>
          <t>2025-05-14</t>
        </is>
      </c>
      <c r="C598" s="10" t="inlineStr">
        <is>
          <t>C1368</t>
        </is>
      </c>
      <c r="D598" s="10" t="inlineStr">
        <is>
          <t>regular</t>
        </is>
      </c>
      <c r="E598" s="10" t="inlineStr">
        <is>
          <t xml:space="preserve"> tokopedia</t>
        </is>
      </c>
      <c r="F598" s="10" t="inlineStr">
        <is>
          <t>Jawa Barat</t>
        </is>
      </c>
      <c r="G598" s="10" t="inlineStr">
        <is>
          <t>fashion</t>
        </is>
      </c>
      <c r="H598" s="10" t="inlineStr">
        <is>
          <t>Celana Chino</t>
        </is>
      </c>
      <c r="I598" s="10" t="n">
        <v>3</v>
      </c>
      <c r="J598" s="10" t="n">
        <v>195000</v>
      </c>
      <c r="K598" s="10" t="n">
        <v>585000</v>
      </c>
    </row>
    <row r="599">
      <c r="A599" s="10" t="inlineStr">
        <is>
          <t>INV-71159</t>
        </is>
      </c>
      <c r="B599" s="10" t="inlineStr">
        <is>
          <t>2025-03-02</t>
        </is>
      </c>
      <c r="C599" s="10" t="inlineStr">
        <is>
          <t>C1328</t>
        </is>
      </c>
      <c r="D599" s="10" t="inlineStr">
        <is>
          <t>onetime</t>
        </is>
      </c>
      <c r="E599" s="10" t="inlineStr">
        <is>
          <t xml:space="preserve">Tokopedia </t>
        </is>
      </c>
      <c r="F599" s="10" t="inlineStr">
        <is>
          <t>Jabodetabek</t>
        </is>
      </c>
      <c r="G599" s="10" t="inlineStr">
        <is>
          <t>Fashion</t>
        </is>
      </c>
      <c r="H599" s="10" t="inlineStr">
        <is>
          <t>Celana Chino</t>
        </is>
      </c>
      <c r="I599" s="10" t="n">
        <v>3</v>
      </c>
      <c r="J599" s="10" t="n">
        <v>195000</v>
      </c>
      <c r="K599" s="10" t="n">
        <v>585000</v>
      </c>
    </row>
    <row r="600">
      <c r="A600" s="10" t="inlineStr">
        <is>
          <t>INV-70611</t>
        </is>
      </c>
      <c r="B600" s="10" t="inlineStr">
        <is>
          <t>2025-09-15</t>
        </is>
      </c>
      <c r="C600" s="10" t="inlineStr">
        <is>
          <t>C1165</t>
        </is>
      </c>
      <c r="D600" s="10" t="inlineStr">
        <is>
          <t>regular</t>
        </is>
      </c>
      <c r="E600" s="10" t="inlineStr">
        <is>
          <t>Offline Store</t>
        </is>
      </c>
      <c r="F600" s="10" t="inlineStr">
        <is>
          <t>Jabodetabek</t>
        </is>
      </c>
      <c r="G600" s="10" t="inlineStr">
        <is>
          <t>Fashion</t>
        </is>
      </c>
      <c r="H600" s="10" t="inlineStr">
        <is>
          <t>Dress Casual</t>
        </is>
      </c>
      <c r="I600" s="10" t="n">
        <v>3</v>
      </c>
      <c r="J600" s="10" t="n">
        <v>225000</v>
      </c>
      <c r="K600" s="10" t="n">
        <v>675000</v>
      </c>
    </row>
    <row r="601">
      <c r="A601" s="10" t="inlineStr">
        <is>
          <t>INV-71258</t>
        </is>
      </c>
      <c r="B601" s="10" t="inlineStr">
        <is>
          <t>2025-11-03</t>
        </is>
      </c>
      <c r="C601" s="10" t="inlineStr">
        <is>
          <t>C1355</t>
        </is>
      </c>
      <c r="D601" s="10" t="inlineStr">
        <is>
          <t>onetime</t>
        </is>
      </c>
      <c r="E601" s="10" t="inlineStr">
        <is>
          <t>Tokopedia</t>
        </is>
      </c>
      <c r="F601" s="10" t="inlineStr">
        <is>
          <t>Jabodetabek</t>
        </is>
      </c>
      <c r="G601" s="10" t="inlineStr">
        <is>
          <t>Rumah Tangga</t>
        </is>
      </c>
      <c r="H601" s="10" t="inlineStr">
        <is>
          <t>Set Wadah Kedap</t>
        </is>
      </c>
      <c r="I601" s="10" t="n">
        <v>2</v>
      </c>
      <c r="J601" s="10" t="n">
        <v>135000</v>
      </c>
      <c r="K601" s="10" t="n">
        <v>270000</v>
      </c>
    </row>
    <row r="602">
      <c r="A602" s="10" t="inlineStr">
        <is>
          <t>INV-70312</t>
        </is>
      </c>
      <c r="B602" s="10" t="inlineStr">
        <is>
          <t>11/07/2025</t>
        </is>
      </c>
      <c r="C602" s="10" t="inlineStr">
        <is>
          <t>C1088</t>
        </is>
      </c>
      <c r="D602" s="10" t="inlineStr">
        <is>
          <t>champion</t>
        </is>
      </c>
      <c r="E602" s="10" t="inlineStr">
        <is>
          <t>shopee</t>
        </is>
      </c>
      <c r="F602" s="10" t="inlineStr">
        <is>
          <t>Jawa Timur</t>
        </is>
      </c>
      <c r="G602" s="10" t="inlineStr">
        <is>
          <t>Rumah Tangga</t>
        </is>
      </c>
      <c r="H602" s="10" t="inlineStr">
        <is>
          <t>Set Wadah Kedap</t>
        </is>
      </c>
      <c r="I602" s="10" t="n">
        <v>1</v>
      </c>
      <c r="J602" s="10" t="n">
        <v>135000</v>
      </c>
      <c r="K602" s="10" t="n">
        <v>135000</v>
      </c>
    </row>
    <row r="603">
      <c r="A603" s="10" t="inlineStr">
        <is>
          <t>INV-70373</t>
        </is>
      </c>
      <c r="B603" s="10" t="inlineStr">
        <is>
          <t>2026-03-16</t>
        </is>
      </c>
      <c r="C603" s="10" t="inlineStr">
        <is>
          <t>C1107</t>
        </is>
      </c>
      <c r="D603" s="10" t="inlineStr">
        <is>
          <t>occasional</t>
        </is>
      </c>
      <c r="E603" s="10" t="inlineStr">
        <is>
          <t>Offline Store</t>
        </is>
      </c>
      <c r="F603" s="10" t="inlineStr">
        <is>
          <t>Jawa Tengah</t>
        </is>
      </c>
      <c r="G603" s="10" t="inlineStr">
        <is>
          <t>Rumah Tangga</t>
        </is>
      </c>
      <c r="H603" s="10" t="inlineStr">
        <is>
          <t>Set Wadah Kedap</t>
        </is>
      </c>
      <c r="I603" s="10" t="n">
        <v>2</v>
      </c>
      <c r="J603" s="10" t="n">
        <v>135000</v>
      </c>
      <c r="K603" s="10" t="inlineStr">
        <is>
          <t>Rp 270.000</t>
        </is>
      </c>
    </row>
    <row r="604">
      <c r="A604" s="10" t="inlineStr">
        <is>
          <t>INV-71137</t>
        </is>
      </c>
      <c r="B604" s="10" t="inlineStr">
        <is>
          <t>2025-10-24</t>
        </is>
      </c>
      <c r="C604" s="10" t="inlineStr">
        <is>
          <t>C1322</t>
        </is>
      </c>
      <c r="D604" s="10" t="inlineStr">
        <is>
          <t>loyal</t>
        </is>
      </c>
      <c r="E604" s="10" t="inlineStr">
        <is>
          <t xml:space="preserve">Shopee </t>
        </is>
      </c>
      <c r="F604" s="10" t="inlineStr">
        <is>
          <t>Jabodetabek</t>
        </is>
      </c>
      <c r="G604" s="10" t="inlineStr">
        <is>
          <t>Rumah Tangga</t>
        </is>
      </c>
      <c r="H604" s="10" t="inlineStr">
        <is>
          <t>Set Wadah Kedap</t>
        </is>
      </c>
      <c r="I604" s="10" t="n">
        <v>1</v>
      </c>
      <c r="J604" s="10" t="n">
        <v>135000</v>
      </c>
      <c r="K604" s="10" t="n">
        <v>135000</v>
      </c>
    </row>
    <row r="605">
      <c r="A605" s="10" t="inlineStr">
        <is>
          <t>INV-70027</t>
        </is>
      </c>
      <c r="B605" s="10" t="inlineStr">
        <is>
          <t>2025-03-16</t>
        </is>
      </c>
      <c r="C605" s="10" t="inlineStr">
        <is>
          <t>C1006</t>
        </is>
      </c>
      <c r="D605" s="10" t="inlineStr">
        <is>
          <t>regular</t>
        </is>
      </c>
      <c r="E605" s="10" t="inlineStr">
        <is>
          <t>Shopee</t>
        </is>
      </c>
      <c r="F605" s="10" t="inlineStr">
        <is>
          <t>Jawa Tengah</t>
        </is>
      </c>
      <c r="G605" s="10" t="inlineStr">
        <is>
          <t>Rumah Tangga</t>
        </is>
      </c>
      <c r="H605" s="10" t="inlineStr">
        <is>
          <t>Set Wadah Kedap</t>
        </is>
      </c>
      <c r="I605" s="10" t="n">
        <v>1</v>
      </c>
      <c r="J605" s="10" t="n">
        <v>135000</v>
      </c>
      <c r="K605" s="10" t="inlineStr">
        <is>
          <t>Rp 135.000</t>
        </is>
      </c>
    </row>
    <row r="606">
      <c r="A606" s="10" t="inlineStr">
        <is>
          <t>INV-71319</t>
        </is>
      </c>
      <c r="B606" s="10" t="inlineStr">
        <is>
          <t>2025-11-04</t>
        </is>
      </c>
      <c r="C606" s="10" t="inlineStr">
        <is>
          <t>C1364</t>
        </is>
      </c>
      <c r="D606" s="10" t="inlineStr">
        <is>
          <t>champion</t>
        </is>
      </c>
      <c r="E606" s="10" t="inlineStr">
        <is>
          <t>offline store</t>
        </is>
      </c>
      <c r="F606" s="10" t="n"/>
      <c r="G606" s="10" t="inlineStr">
        <is>
          <t>Elektronik</t>
        </is>
      </c>
      <c r="H606" s="10" t="inlineStr">
        <is>
          <t>Earbuds TWS</t>
        </is>
      </c>
      <c r="I606" s="10" t="n">
        <v>1</v>
      </c>
      <c r="J606" s="10" t="n">
        <v>265000</v>
      </c>
      <c r="K606" s="10" t="n">
        <v>265000</v>
      </c>
    </row>
    <row r="607">
      <c r="A607" s="10" t="inlineStr">
        <is>
          <t>INV-70124</t>
        </is>
      </c>
      <c r="B607" s="10" t="inlineStr">
        <is>
          <t>2026-05-04</t>
        </is>
      </c>
      <c r="C607" s="10" t="inlineStr">
        <is>
          <t>C1038</t>
        </is>
      </c>
      <c r="D607" s="10" t="inlineStr">
        <is>
          <t>champion</t>
        </is>
      </c>
      <c r="E607" s="10" t="inlineStr">
        <is>
          <t>TikTok Shop</t>
        </is>
      </c>
      <c r="F607" s="10" t="inlineStr">
        <is>
          <t>Jawa Tengah</t>
        </is>
      </c>
      <c r="G607" s="10" t="inlineStr">
        <is>
          <t>fashion</t>
        </is>
      </c>
      <c r="H607" s="10" t="inlineStr">
        <is>
          <t>Celana Chino</t>
        </is>
      </c>
      <c r="I607" s="10" t="n">
        <v>2</v>
      </c>
      <c r="J607" s="10" t="n">
        <v>195000</v>
      </c>
      <c r="K607" s="10" t="n">
        <v>390000</v>
      </c>
    </row>
    <row r="608">
      <c r="A608" s="10" t="inlineStr">
        <is>
          <t>INV-71351</t>
        </is>
      </c>
      <c r="B608" s="10" t="inlineStr">
        <is>
          <t>2026-05-19</t>
        </is>
      </c>
      <c r="C608" s="10" t="inlineStr">
        <is>
          <t>C1372</t>
        </is>
      </c>
      <c r="D608" s="10" t="inlineStr">
        <is>
          <t>onetime</t>
        </is>
      </c>
      <c r="E608" s="10" t="inlineStr">
        <is>
          <t>Offline Store</t>
        </is>
      </c>
      <c r="F608" s="10" t="inlineStr">
        <is>
          <t>Sumatera</t>
        </is>
      </c>
      <c r="G608" s="10" t="inlineStr">
        <is>
          <t>Rumah Tangga</t>
        </is>
      </c>
      <c r="H608" s="10" t="inlineStr">
        <is>
          <t>Set Wadah Kedap</t>
        </is>
      </c>
      <c r="I608" s="10" t="n">
        <v>4</v>
      </c>
      <c r="J608" s="10" t="n">
        <v>135000</v>
      </c>
      <c r="K608" s="10" t="n">
        <v>540000</v>
      </c>
    </row>
    <row r="609">
      <c r="A609" s="10" t="inlineStr">
        <is>
          <t>INV-70567</t>
        </is>
      </c>
      <c r="B609" s="10" t="inlineStr">
        <is>
          <t>2025-12-04</t>
        </is>
      </c>
      <c r="C609" s="10" t="inlineStr">
        <is>
          <t>C1156</t>
        </is>
      </c>
      <c r="D609" s="10" t="inlineStr">
        <is>
          <t>champion</t>
        </is>
      </c>
      <c r="E609" s="10" t="inlineStr">
        <is>
          <t>SHOPEE</t>
        </is>
      </c>
      <c r="F609" s="10" t="inlineStr">
        <is>
          <t>Jabodetabek</t>
        </is>
      </c>
      <c r="G609" s="10" t="inlineStr">
        <is>
          <t>Rumah Tangga</t>
        </is>
      </c>
      <c r="H609" s="10" t="inlineStr">
        <is>
          <t>Organizer Laci</t>
        </is>
      </c>
      <c r="I609" s="10" t="n">
        <v>1</v>
      </c>
      <c r="J609" s="10" t="n">
        <v>78000</v>
      </c>
      <c r="K609" s="10" t="n">
        <v>78000</v>
      </c>
    </row>
    <row r="610">
      <c r="A610" s="10" t="inlineStr">
        <is>
          <t>INV-71391</t>
        </is>
      </c>
      <c r="B610" s="10" t="inlineStr">
        <is>
          <t>2025-04-20</t>
        </is>
      </c>
      <c r="C610" s="10" t="inlineStr">
        <is>
          <t>C1385</t>
        </is>
      </c>
      <c r="D610" s="10" t="inlineStr">
        <is>
          <t>regular</t>
        </is>
      </c>
      <c r="E610" s="10" t="inlineStr">
        <is>
          <t xml:space="preserve"> tokopedia</t>
        </is>
      </c>
      <c r="F610" s="10" t="inlineStr">
        <is>
          <t>Lainnya</t>
        </is>
      </c>
      <c r="G610" s="10" t="inlineStr">
        <is>
          <t>Rumah Tangga</t>
        </is>
      </c>
      <c r="H610" s="10" t="inlineStr">
        <is>
          <t>Organizer Laci</t>
        </is>
      </c>
      <c r="I610" s="10" t="n">
        <v>2</v>
      </c>
      <c r="J610" s="10" t="n">
        <v>78000</v>
      </c>
      <c r="K610" s="10" t="n">
        <v>156000</v>
      </c>
    </row>
    <row r="611">
      <c r="A611" s="10" t="inlineStr">
        <is>
          <t>INV-70987</t>
        </is>
      </c>
      <c r="B611" s="10" t="inlineStr">
        <is>
          <t>2026-03-17</t>
        </is>
      </c>
      <c r="C611" s="10" t="inlineStr">
        <is>
          <t>C1283</t>
        </is>
      </c>
      <c r="D611" s="10" t="inlineStr">
        <is>
          <t>loyal</t>
        </is>
      </c>
      <c r="E611" s="10" t="inlineStr">
        <is>
          <t>Tiktok Shop</t>
        </is>
      </c>
      <c r="F611" s="10" t="inlineStr">
        <is>
          <t>Jabodetabek</t>
        </is>
      </c>
      <c r="G611" s="10" t="inlineStr">
        <is>
          <t>Rumah Tangga</t>
        </is>
      </c>
      <c r="H611" s="10" t="inlineStr">
        <is>
          <t>Set Wadah Kedap</t>
        </is>
      </c>
      <c r="I611" s="10" t="n">
        <v>2</v>
      </c>
      <c r="J611" s="10" t="n">
        <v>135000</v>
      </c>
      <c r="K611" s="10" t="n">
        <v>270000</v>
      </c>
    </row>
    <row r="612">
      <c r="A612" s="10" t="inlineStr">
        <is>
          <t>INV-70442</t>
        </is>
      </c>
      <c r="B612" s="10" t="inlineStr">
        <is>
          <t>2025-12-24</t>
        </is>
      </c>
      <c r="C612" s="10" t="inlineStr">
        <is>
          <t>C1125</t>
        </is>
      </c>
      <c r="D612" s="10" t="inlineStr">
        <is>
          <t>regular</t>
        </is>
      </c>
      <c r="E612" s="10" t="inlineStr">
        <is>
          <t>TikTok Shop</t>
        </is>
      </c>
      <c r="F612" s="10" t="inlineStr">
        <is>
          <t>Jabodetabek</t>
        </is>
      </c>
      <c r="G612" s="10" t="inlineStr">
        <is>
          <t>Elektronik</t>
        </is>
      </c>
      <c r="H612" s="10" t="inlineStr">
        <is>
          <t>Power Bank 20K</t>
        </is>
      </c>
      <c r="I612" s="10" t="n">
        <v>1</v>
      </c>
      <c r="J612" s="10" t="n">
        <v>185000</v>
      </c>
      <c r="K612" s="10" t="inlineStr">
        <is>
          <t>Rp 185.000</t>
        </is>
      </c>
    </row>
    <row r="613">
      <c r="A613" s="10" t="inlineStr">
        <is>
          <t>INV-71481</t>
        </is>
      </c>
      <c r="B613" s="10" t="inlineStr">
        <is>
          <t>2026-02-21</t>
        </is>
      </c>
      <c r="C613" s="10" t="inlineStr">
        <is>
          <t>C1409</t>
        </is>
      </c>
      <c r="D613" s="10" t="inlineStr">
        <is>
          <t>loyal</t>
        </is>
      </c>
      <c r="E613" s="10" t="inlineStr">
        <is>
          <t xml:space="preserve">Tokopedia </t>
        </is>
      </c>
      <c r="F613" s="10" t="inlineStr">
        <is>
          <t>Jawa Timur</t>
        </is>
      </c>
      <c r="G613" s="10" t="inlineStr">
        <is>
          <t>Rumah Tangga</t>
        </is>
      </c>
      <c r="H613" s="10" t="inlineStr">
        <is>
          <t>Organizer Laci</t>
        </is>
      </c>
      <c r="I613" s="10" t="n">
        <v>1</v>
      </c>
      <c r="J613" s="10" t="n">
        <v>78000</v>
      </c>
      <c r="K613" s="10" t="n">
        <v>78000</v>
      </c>
    </row>
    <row r="614">
      <c r="A614" s="10" t="inlineStr">
        <is>
          <t>INV-70105</t>
        </is>
      </c>
      <c r="B614" s="10" t="inlineStr">
        <is>
          <t>2025-05-21</t>
        </is>
      </c>
      <c r="C614" s="10" t="inlineStr">
        <is>
          <t>C1029</t>
        </is>
      </c>
      <c r="D614" s="10" t="inlineStr">
        <is>
          <t>champion</t>
        </is>
      </c>
      <c r="E614" s="10" t="inlineStr">
        <is>
          <t>Offline Store</t>
        </is>
      </c>
      <c r="F614" s="10" t="inlineStr">
        <is>
          <t>Jawa Barat</t>
        </is>
      </c>
      <c r="G614" s="10" t="inlineStr">
        <is>
          <t>Rumah Tangga</t>
        </is>
      </c>
      <c r="H614" s="10" t="inlineStr">
        <is>
          <t>Set Wadah Kedap</t>
        </is>
      </c>
      <c r="I614" s="10" t="n">
        <v>4</v>
      </c>
      <c r="J614" s="10" t="n">
        <v>135000</v>
      </c>
      <c r="K614" s="10" t="n">
        <v>540000</v>
      </c>
    </row>
    <row r="615">
      <c r="A615" s="10" t="inlineStr">
        <is>
          <t>INV-70171</t>
        </is>
      </c>
      <c r="B615" s="10" t="inlineStr">
        <is>
          <t>07 Aug 2025</t>
        </is>
      </c>
      <c r="C615" s="10" t="inlineStr">
        <is>
          <t>C1049</t>
        </is>
      </c>
      <c r="D615" s="10" t="inlineStr">
        <is>
          <t>champion</t>
        </is>
      </c>
      <c r="E615" s="10" t="inlineStr">
        <is>
          <t>Tokopedia</t>
        </is>
      </c>
      <c r="F615" s="10" t="inlineStr">
        <is>
          <t>Jawa Tengah</t>
        </is>
      </c>
      <c r="G615" s="10" t="inlineStr">
        <is>
          <t>Elektronik</t>
        </is>
      </c>
      <c r="H615" s="10" t="inlineStr">
        <is>
          <t>Earbuds TWS</t>
        </is>
      </c>
      <c r="I615" s="10" t="n">
        <v>3</v>
      </c>
      <c r="J615" s="10" t="n">
        <v>265000</v>
      </c>
      <c r="K615" s="10" t="n">
        <v>795000</v>
      </c>
    </row>
    <row r="616">
      <c r="A616" s="10" t="inlineStr">
        <is>
          <t>INV-71452</t>
        </is>
      </c>
      <c r="B616" s="10" t="inlineStr">
        <is>
          <t>2025-10-10</t>
        </is>
      </c>
      <c r="C616" s="10" t="inlineStr">
        <is>
          <t>C1401</t>
        </is>
      </c>
      <c r="D616" s="10" t="inlineStr">
        <is>
          <t>occasional</t>
        </is>
      </c>
      <c r="E616" s="10" t="inlineStr">
        <is>
          <t>Shopee</t>
        </is>
      </c>
      <c r="F616" s="10" t="inlineStr">
        <is>
          <t>Jawa Timur</t>
        </is>
      </c>
      <c r="G616" s="10" t="inlineStr">
        <is>
          <t>Elektronik</t>
        </is>
      </c>
      <c r="H616" s="10" t="inlineStr">
        <is>
          <t>Webcam HD</t>
        </is>
      </c>
      <c r="I616" s="10" t="n">
        <v>2</v>
      </c>
      <c r="J616" s="10" t="n">
        <v>210000</v>
      </c>
      <c r="K616" s="10" t="n">
        <v>420000</v>
      </c>
    </row>
    <row r="617">
      <c r="A617" s="10" t="inlineStr">
        <is>
          <t>INV-71255</t>
        </is>
      </c>
      <c r="B617" s="10" t="inlineStr">
        <is>
          <t>2025-08-10</t>
        </is>
      </c>
      <c r="C617" s="10" t="inlineStr">
        <is>
          <t>C1353</t>
        </is>
      </c>
      <c r="D617" s="10" t="inlineStr">
        <is>
          <t>loyal</t>
        </is>
      </c>
      <c r="E617" s="10" t="inlineStr">
        <is>
          <t>Shopee</t>
        </is>
      </c>
      <c r="F617" s="10" t="inlineStr">
        <is>
          <t>Jawa Timur</t>
        </is>
      </c>
      <c r="G617" s="10" t="inlineStr">
        <is>
          <t>Rumah Tangga</t>
        </is>
      </c>
      <c r="H617" s="10" t="inlineStr">
        <is>
          <t>Set Wadah Kedap</t>
        </is>
      </c>
      <c r="I617" s="10" t="n">
        <v>4</v>
      </c>
      <c r="J617" s="10" t="n">
        <v>135000</v>
      </c>
      <c r="K617" s="10" t="n">
        <v>540000</v>
      </c>
    </row>
    <row r="618">
      <c r="A618" s="10" t="inlineStr">
        <is>
          <t>INV-70785</t>
        </is>
      </c>
      <c r="B618" s="10" t="inlineStr">
        <is>
          <t>08 Feb 2026</t>
        </is>
      </c>
      <c r="C618" s="10" t="inlineStr">
        <is>
          <t>C1221</t>
        </is>
      </c>
      <c r="D618" s="10" t="inlineStr">
        <is>
          <t>regular</t>
        </is>
      </c>
      <c r="E618" s="10" t="inlineStr">
        <is>
          <t>Tokopedia</t>
        </is>
      </c>
      <c r="F618" s="10" t="inlineStr">
        <is>
          <t>Jabodetabek</t>
        </is>
      </c>
      <c r="G618" s="10" t="inlineStr">
        <is>
          <t>Kecantikan</t>
        </is>
      </c>
      <c r="H618" s="10" t="inlineStr">
        <is>
          <t>Masker Wajah (5s)</t>
        </is>
      </c>
      <c r="I618" s="10" t="n">
        <v>1</v>
      </c>
      <c r="J618" s="10" t="n">
        <v>55000</v>
      </c>
      <c r="K618" s="10" t="n">
        <v>55000</v>
      </c>
    </row>
    <row r="619">
      <c r="A619" s="10" t="inlineStr">
        <is>
          <t>INV-70575</t>
        </is>
      </c>
      <c r="B619" s="10" t="inlineStr">
        <is>
          <t>22/03/2026</t>
        </is>
      </c>
      <c r="C619" s="10" t="inlineStr">
        <is>
          <t>C1157</t>
        </is>
      </c>
      <c r="D619" s="10" t="inlineStr">
        <is>
          <t>loyal</t>
        </is>
      </c>
      <c r="E619" s="10" t="inlineStr">
        <is>
          <t>TikTok Shop</t>
        </is>
      </c>
      <c r="F619" s="10" t="inlineStr">
        <is>
          <t>Jawa Timur</t>
        </is>
      </c>
      <c r="G619" s="10" t="inlineStr">
        <is>
          <t>Fashion</t>
        </is>
      </c>
      <c r="H619" s="10" t="inlineStr">
        <is>
          <t>Dress Casual</t>
        </is>
      </c>
      <c r="I619" s="10" t="n">
        <v>3</v>
      </c>
      <c r="J619" s="10" t="n">
        <v>225000</v>
      </c>
      <c r="K619" s="10" t="n">
        <v>675000</v>
      </c>
    </row>
    <row r="620">
      <c r="A620" s="10" t="inlineStr">
        <is>
          <t>INV-70467</t>
        </is>
      </c>
      <c r="B620" s="10" t="inlineStr">
        <is>
          <t>2025-11-09</t>
        </is>
      </c>
      <c r="C620" s="10" t="inlineStr">
        <is>
          <t>C1133</t>
        </is>
      </c>
      <c r="D620" s="10" t="inlineStr">
        <is>
          <t>regular</t>
        </is>
      </c>
      <c r="E620" s="10" t="inlineStr">
        <is>
          <t xml:space="preserve">Tokopedia </t>
        </is>
      </c>
      <c r="F620" s="10" t="inlineStr">
        <is>
          <t>Jawa Timur</t>
        </is>
      </c>
      <c r="G620" s="10" t="inlineStr">
        <is>
          <t>Kecantikan</t>
        </is>
      </c>
      <c r="H620" s="10" t="inlineStr">
        <is>
          <t>Masker Wajah (5s)</t>
        </is>
      </c>
      <c r="I620" s="10" t="n">
        <v>1</v>
      </c>
      <c r="J620" s="10" t="n">
        <v>55000</v>
      </c>
      <c r="K620" s="10" t="n">
        <v>55000</v>
      </c>
    </row>
    <row r="621">
      <c r="A621" s="10" t="inlineStr">
        <is>
          <t>INV-70569</t>
        </is>
      </c>
      <c r="B621" s="10" t="inlineStr">
        <is>
          <t>2025-08-17</t>
        </is>
      </c>
      <c r="C621" s="10" t="inlineStr">
        <is>
          <t>C1156</t>
        </is>
      </c>
      <c r="D621" s="10" t="inlineStr">
        <is>
          <t>champion</t>
        </is>
      </c>
      <c r="E621" s="10" t="inlineStr">
        <is>
          <t xml:space="preserve"> tokopedia</t>
        </is>
      </c>
      <c r="F621" s="10" t="inlineStr">
        <is>
          <t>Jawa Barat</t>
        </is>
      </c>
      <c r="G621" s="10" t="inlineStr">
        <is>
          <t>kecantikan</t>
        </is>
      </c>
      <c r="H621" s="10" t="inlineStr">
        <is>
          <t>Masker Wajah (5s)</t>
        </is>
      </c>
      <c r="I621" s="10" t="n">
        <v>1</v>
      </c>
      <c r="J621" s="10" t="n">
        <v>55000</v>
      </c>
      <c r="K621" s="10" t="n">
        <v>55000</v>
      </c>
    </row>
    <row r="622">
      <c r="A622" s="10" t="inlineStr">
        <is>
          <t>INV-70811</t>
        </is>
      </c>
      <c r="B622" s="10" t="inlineStr">
        <is>
          <t>2025-07-20</t>
        </is>
      </c>
      <c r="C622" s="10" t="inlineStr">
        <is>
          <t>C1228</t>
        </is>
      </c>
      <c r="D622" s="10" t="inlineStr">
        <is>
          <t>onetime</t>
        </is>
      </c>
      <c r="E622" s="10" t="inlineStr">
        <is>
          <t>Shopee</t>
        </is>
      </c>
      <c r="F622" s="10" t="inlineStr">
        <is>
          <t>Jabodetabek</t>
        </is>
      </c>
      <c r="G622" s="10" t="inlineStr">
        <is>
          <t>Elektronik</t>
        </is>
      </c>
      <c r="H622" s="10" t="inlineStr">
        <is>
          <t>Smartwatch</t>
        </is>
      </c>
      <c r="I622" s="10" t="n">
        <v>2</v>
      </c>
      <c r="J622" s="10" t="n">
        <v>450000</v>
      </c>
      <c r="K622" s="10" t="inlineStr">
        <is>
          <t>Rp 900.000</t>
        </is>
      </c>
    </row>
    <row r="623">
      <c r="A623" s="10" t="inlineStr">
        <is>
          <t>INV-70829</t>
        </is>
      </c>
      <c r="B623" s="10" t="inlineStr">
        <is>
          <t>2026-04-25</t>
        </is>
      </c>
      <c r="C623" s="10" t="inlineStr">
        <is>
          <t>C1234</t>
        </is>
      </c>
      <c r="D623" s="10" t="inlineStr">
        <is>
          <t>loyal</t>
        </is>
      </c>
      <c r="E623" s="10" t="inlineStr">
        <is>
          <t>TikTok Shop</t>
        </is>
      </c>
      <c r="F623" s="10" t="inlineStr">
        <is>
          <t>Jawa Barat</t>
        </is>
      </c>
      <c r="G623" s="10" t="inlineStr">
        <is>
          <t>Rumah Tangga</t>
        </is>
      </c>
      <c r="H623" s="10" t="inlineStr">
        <is>
          <t>Set Wadah Kedap</t>
        </is>
      </c>
      <c r="I623" s="10" t="n">
        <v>1</v>
      </c>
      <c r="J623" s="10" t="n">
        <v>135000</v>
      </c>
      <c r="K623" s="10" t="n">
        <v>135000</v>
      </c>
    </row>
    <row r="624">
      <c r="A624" s="10" t="inlineStr">
        <is>
          <t>INV-71188</t>
        </is>
      </c>
      <c r="B624" s="10" t="inlineStr">
        <is>
          <t>2025-05-25</t>
        </is>
      </c>
      <c r="C624" s="10" t="inlineStr">
        <is>
          <t>C1334</t>
        </is>
      </c>
      <c r="D624" s="10" t="inlineStr">
        <is>
          <t>champion</t>
        </is>
      </c>
      <c r="E624" s="10" t="inlineStr">
        <is>
          <t xml:space="preserve">Shopee </t>
        </is>
      </c>
      <c r="F624" s="10" t="inlineStr">
        <is>
          <t>Jabodetabek</t>
        </is>
      </c>
      <c r="G624" s="10" t="inlineStr">
        <is>
          <t>Kecantikan</t>
        </is>
      </c>
      <c r="H624" s="10" t="inlineStr">
        <is>
          <t>Masker Wajah (5s)</t>
        </is>
      </c>
      <c r="I624" s="10" t="n">
        <v>1</v>
      </c>
      <c r="J624" s="10" t="n">
        <v>55000</v>
      </c>
      <c r="K624" s="10" t="inlineStr">
        <is>
          <t>Rp 55.000</t>
        </is>
      </c>
    </row>
    <row r="625">
      <c r="A625" s="10" t="inlineStr">
        <is>
          <t>INV-71289</t>
        </is>
      </c>
      <c r="B625" s="10" t="inlineStr">
        <is>
          <t>2025-10-14</t>
        </is>
      </c>
      <c r="C625" s="10" t="inlineStr">
        <is>
          <t>C1359</t>
        </is>
      </c>
      <c r="D625" s="10" t="inlineStr">
        <is>
          <t>champion</t>
        </is>
      </c>
      <c r="E625" s="10" t="inlineStr">
        <is>
          <t xml:space="preserve">Shopee </t>
        </is>
      </c>
      <c r="F625" s="10" t="inlineStr">
        <is>
          <t>Jabodetabek</t>
        </is>
      </c>
      <c r="G625" s="10" t="inlineStr">
        <is>
          <t>elektronik</t>
        </is>
      </c>
      <c r="H625" s="10" t="inlineStr">
        <is>
          <t>Keyboard Mekanik</t>
        </is>
      </c>
      <c r="I625" s="10" t="n">
        <v>4</v>
      </c>
      <c r="J625" s="10" t="n">
        <v>380000</v>
      </c>
      <c r="K625" s="10" t="n">
        <v>1520000</v>
      </c>
    </row>
    <row r="626">
      <c r="A626" s="10" t="inlineStr">
        <is>
          <t>INV-70272</t>
        </is>
      </c>
      <c r="B626" s="10" t="inlineStr">
        <is>
          <t>2026-03-16</t>
        </is>
      </c>
      <c r="C626" s="10" t="inlineStr">
        <is>
          <t>C1077</t>
        </is>
      </c>
      <c r="D626" s="10" t="inlineStr">
        <is>
          <t>regular</t>
        </is>
      </c>
      <c r="E626" s="10" t="inlineStr">
        <is>
          <t xml:space="preserve">Shopee </t>
        </is>
      </c>
      <c r="F626" s="10" t="inlineStr">
        <is>
          <t>Sumatera</t>
        </is>
      </c>
      <c r="G626" s="10" t="inlineStr">
        <is>
          <t>Rumah Tangga</t>
        </is>
      </c>
      <c r="H626" s="10" t="inlineStr">
        <is>
          <t>Set Wadah Kedap</t>
        </is>
      </c>
      <c r="I626" s="10" t="n">
        <v>2</v>
      </c>
      <c r="J626" s="10" t="n">
        <v>135000</v>
      </c>
      <c r="K626" s="10" t="n">
        <v>270000</v>
      </c>
    </row>
    <row r="627">
      <c r="A627" s="10" t="inlineStr">
        <is>
          <t>INV-70166</t>
        </is>
      </c>
      <c r="B627" s="10" t="inlineStr">
        <is>
          <t>2026-05-01</t>
        </is>
      </c>
      <c r="C627" s="10" t="inlineStr">
        <is>
          <t>C1049</t>
        </is>
      </c>
      <c r="D627" s="10" t="inlineStr">
        <is>
          <t>champion</t>
        </is>
      </c>
      <c r="E627" s="10" t="inlineStr">
        <is>
          <t>Offline Store</t>
        </is>
      </c>
      <c r="F627" s="10" t="inlineStr">
        <is>
          <t>Jabodetabek</t>
        </is>
      </c>
      <c r="G627" s="10" t="inlineStr">
        <is>
          <t>Rumah Tangga</t>
        </is>
      </c>
      <c r="H627" s="10" t="inlineStr">
        <is>
          <t>Set Wadah Kedap</t>
        </is>
      </c>
      <c r="I627" s="10" t="n">
        <v>3</v>
      </c>
      <c r="J627" s="10" t="n">
        <v>135000</v>
      </c>
      <c r="K627" s="10" t="n">
        <v>405000</v>
      </c>
    </row>
    <row r="628">
      <c r="A628" s="10" t="inlineStr">
        <is>
          <t>INV-71011</t>
        </is>
      </c>
      <c r="B628" s="10" t="inlineStr">
        <is>
          <t>2025-06-19</t>
        </is>
      </c>
      <c r="C628" s="10" t="inlineStr">
        <is>
          <t>C1287</t>
        </is>
      </c>
      <c r="D628" s="10" t="inlineStr">
        <is>
          <t>champion</t>
        </is>
      </c>
      <c r="E628" s="10" t="inlineStr">
        <is>
          <t>SHOPEE</t>
        </is>
      </c>
      <c r="F628" s="10" t="inlineStr">
        <is>
          <t>Jawa Barat</t>
        </is>
      </c>
      <c r="G628" s="10" t="inlineStr">
        <is>
          <t>Elektronik</t>
        </is>
      </c>
      <c r="H628" s="10" t="inlineStr">
        <is>
          <t>Webcam HD</t>
        </is>
      </c>
      <c r="I628" s="10" t="n">
        <v>1</v>
      </c>
      <c r="J628" s="10" t="n">
        <v>210000</v>
      </c>
      <c r="K628" s="10" t="n">
        <v>210000</v>
      </c>
    </row>
    <row r="629">
      <c r="A629" s="10" t="inlineStr">
        <is>
          <t>INV-71063</t>
        </is>
      </c>
      <c r="B629" s="10" t="inlineStr">
        <is>
          <t>2025-07-06</t>
        </is>
      </c>
      <c r="C629" s="10" t="inlineStr">
        <is>
          <t>C1301</t>
        </is>
      </c>
      <c r="D629" s="10" t="inlineStr">
        <is>
          <t>regular</t>
        </is>
      </c>
      <c r="E629" s="10" t="inlineStr">
        <is>
          <t>Shopee</t>
        </is>
      </c>
      <c r="F629" s="10" t="inlineStr">
        <is>
          <t>Jabodetabek</t>
        </is>
      </c>
      <c r="G629" s="10" t="inlineStr">
        <is>
          <t>Makanan</t>
        </is>
      </c>
      <c r="H629" s="10" t="inlineStr">
        <is>
          <t>Granola 500g</t>
        </is>
      </c>
      <c r="I629" s="10" t="n">
        <v>2</v>
      </c>
      <c r="J629" s="10" t="n">
        <v>92000</v>
      </c>
      <c r="K629" s="10" t="n">
        <v>184000</v>
      </c>
    </row>
    <row r="630">
      <c r="A630" s="10" t="inlineStr">
        <is>
          <t>INV-71501</t>
        </is>
      </c>
      <c r="B630" s="10" t="inlineStr">
        <is>
          <t>2025-10-18</t>
        </is>
      </c>
      <c r="C630" s="10" t="inlineStr">
        <is>
          <t>C1412</t>
        </is>
      </c>
      <c r="D630" s="10" t="inlineStr">
        <is>
          <t>champion</t>
        </is>
      </c>
      <c r="E630" s="10" t="inlineStr">
        <is>
          <t>TikTok Shop</t>
        </is>
      </c>
      <c r="F630" s="10" t="inlineStr">
        <is>
          <t>Sumatera</t>
        </is>
      </c>
      <c r="G630" s="10" t="inlineStr">
        <is>
          <t>Elektronik</t>
        </is>
      </c>
      <c r="H630" s="10" t="inlineStr">
        <is>
          <t>Webcam HD</t>
        </is>
      </c>
      <c r="I630" s="10" t="n">
        <v>2</v>
      </c>
      <c r="J630" s="10" t="n">
        <v>210000</v>
      </c>
      <c r="K630" s="10" t="n">
        <v>420000</v>
      </c>
    </row>
    <row r="631">
      <c r="A631" s="10" t="inlineStr">
        <is>
          <t>INV-70663</t>
        </is>
      </c>
      <c r="B631" s="10" t="inlineStr">
        <is>
          <t>05 Apr 2025</t>
        </is>
      </c>
      <c r="C631" s="10" t="inlineStr">
        <is>
          <t>C1181</t>
        </is>
      </c>
      <c r="D631" s="10" t="inlineStr">
        <is>
          <t>onetime</t>
        </is>
      </c>
      <c r="E631" s="10" t="inlineStr">
        <is>
          <t>TikTok Shop</t>
        </is>
      </c>
      <c r="F631" s="10" t="inlineStr">
        <is>
          <t>Jabodetabek</t>
        </is>
      </c>
      <c r="G631" s="10" t="inlineStr">
        <is>
          <t>Rumah Tangga</t>
        </is>
      </c>
      <c r="H631" s="10" t="inlineStr">
        <is>
          <t>Set Wadah Kedap</t>
        </is>
      </c>
      <c r="I631" s="10" t="n">
        <v>2</v>
      </c>
      <c r="J631" s="10" t="n">
        <v>135000</v>
      </c>
      <c r="K631" s="10" t="n">
        <v>270000</v>
      </c>
    </row>
    <row r="632">
      <c r="A632" s="10" t="inlineStr">
        <is>
          <t>INV-70603</t>
        </is>
      </c>
      <c r="B632" s="10" t="inlineStr">
        <is>
          <t>2025-08-26</t>
        </is>
      </c>
      <c r="C632" s="10" t="inlineStr">
        <is>
          <t>C1161</t>
        </is>
      </c>
      <c r="D632" s="10" t="inlineStr">
        <is>
          <t>champion</t>
        </is>
      </c>
      <c r="E632" s="10" t="inlineStr">
        <is>
          <t>tiktok shop</t>
        </is>
      </c>
      <c r="F632" s="10" t="inlineStr">
        <is>
          <t>Lainnya</t>
        </is>
      </c>
      <c r="G632" s="10" t="inlineStr">
        <is>
          <t>Makanan</t>
        </is>
      </c>
      <c r="H632" s="10" t="inlineStr">
        <is>
          <t>Teh Herbal (15s)</t>
        </is>
      </c>
      <c r="I632" s="10" t="n">
        <v>2</v>
      </c>
      <c r="J632" s="10" t="n">
        <v>58000</v>
      </c>
      <c r="K632" s="10" t="n">
        <v>116000</v>
      </c>
    </row>
    <row r="633">
      <c r="A633" s="10" t="inlineStr">
        <is>
          <t>INV-71107</t>
        </is>
      </c>
      <c r="B633" s="10" t="inlineStr">
        <is>
          <t>2025-02-21</t>
        </is>
      </c>
      <c r="C633" s="10" t="inlineStr">
        <is>
          <t>C1310</t>
        </is>
      </c>
      <c r="D633" s="10" t="inlineStr">
        <is>
          <t>loyal</t>
        </is>
      </c>
      <c r="E633" s="10" t="inlineStr">
        <is>
          <t>Shopee</t>
        </is>
      </c>
      <c r="F633" s="10" t="inlineStr">
        <is>
          <t>Sumatera</t>
        </is>
      </c>
      <c r="G633" s="10" t="inlineStr">
        <is>
          <t>Elektronik</t>
        </is>
      </c>
      <c r="H633" s="10" t="inlineStr">
        <is>
          <t>Webcam HD</t>
        </is>
      </c>
      <c r="I633" s="10" t="n">
        <v>2</v>
      </c>
      <c r="J633" s="10" t="n">
        <v>210000</v>
      </c>
      <c r="K633" s="10" t="n">
        <v>420000</v>
      </c>
    </row>
    <row r="634">
      <c r="A634" s="10" t="inlineStr">
        <is>
          <t>INV-71420</t>
        </is>
      </c>
      <c r="B634" s="10" t="inlineStr">
        <is>
          <t>2026-03-08</t>
        </is>
      </c>
      <c r="C634" s="10" t="inlineStr">
        <is>
          <t>C1393</t>
        </is>
      </c>
      <c r="D634" s="10" t="inlineStr">
        <is>
          <t>regular</t>
        </is>
      </c>
      <c r="E634" s="10" t="inlineStr">
        <is>
          <t>TikTok Shop</t>
        </is>
      </c>
      <c r="F634" s="10" t="inlineStr">
        <is>
          <t>Jawa Barat</t>
        </is>
      </c>
      <c r="G634" s="10" t="inlineStr">
        <is>
          <t>Rumah Tangga</t>
        </is>
      </c>
      <c r="H634" s="10" t="inlineStr">
        <is>
          <t>Set Wadah Kedap</t>
        </is>
      </c>
      <c r="I634" s="10" t="n">
        <v>4</v>
      </c>
      <c r="J634" s="10" t="n">
        <v>135000</v>
      </c>
      <c r="K634" s="10" t="n">
        <v>540000</v>
      </c>
    </row>
    <row r="635">
      <c r="A635" s="10" t="inlineStr">
        <is>
          <t>INV-70424</t>
        </is>
      </c>
      <c r="B635" s="10" t="inlineStr">
        <is>
          <t>2025-08-11</t>
        </is>
      </c>
      <c r="C635" s="10" t="inlineStr">
        <is>
          <t>C1119</t>
        </is>
      </c>
      <c r="D635" s="10" t="inlineStr">
        <is>
          <t>regular</t>
        </is>
      </c>
      <c r="E635" s="10" t="inlineStr">
        <is>
          <t>Shopee</t>
        </is>
      </c>
      <c r="F635" s="10" t="inlineStr">
        <is>
          <t>Sumatera</t>
        </is>
      </c>
      <c r="G635" s="10" t="inlineStr">
        <is>
          <t>Fashion</t>
        </is>
      </c>
      <c r="H635" s="10" t="inlineStr">
        <is>
          <t>Kaos Premium</t>
        </is>
      </c>
      <c r="I635" s="10" t="n">
        <v>1</v>
      </c>
      <c r="J635" s="10" t="n">
        <v>95000</v>
      </c>
      <c r="K635" s="10" t="inlineStr">
        <is>
          <t>Rp 95.000</t>
        </is>
      </c>
    </row>
    <row r="636">
      <c r="A636" s="10" t="inlineStr">
        <is>
          <t>INV-70548</t>
        </is>
      </c>
      <c r="B636" s="10" t="inlineStr">
        <is>
          <t>2026-06-07</t>
        </is>
      </c>
      <c r="C636" s="10" t="inlineStr">
        <is>
          <t>C1150</t>
        </is>
      </c>
      <c r="D636" s="10" t="inlineStr">
        <is>
          <t>champion</t>
        </is>
      </c>
      <c r="E636" s="10" t="inlineStr">
        <is>
          <t xml:space="preserve">Tokopedia </t>
        </is>
      </c>
      <c r="F636" s="10" t="inlineStr">
        <is>
          <t>Jabodetabek</t>
        </is>
      </c>
      <c r="G636" s="10" t="inlineStr">
        <is>
          <t>Elektronik</t>
        </is>
      </c>
      <c r="H636" s="10" t="inlineStr">
        <is>
          <t>Earbuds TWS</t>
        </is>
      </c>
      <c r="I636" s="10" t="n">
        <v>3</v>
      </c>
      <c r="J636" s="10" t="n">
        <v>265000</v>
      </c>
      <c r="K636" s="10" t="n">
        <v>795000</v>
      </c>
    </row>
    <row r="637">
      <c r="A637" s="10" t="inlineStr">
        <is>
          <t>INV-70932</t>
        </is>
      </c>
      <c r="B637" s="10" t="inlineStr">
        <is>
          <t>2025-05-22</t>
        </is>
      </c>
      <c r="C637" s="10" t="inlineStr">
        <is>
          <t>C1261</t>
        </is>
      </c>
      <c r="D637" s="10" t="inlineStr">
        <is>
          <t>champion</t>
        </is>
      </c>
      <c r="E637" s="10" t="inlineStr">
        <is>
          <t>Shopee</t>
        </is>
      </c>
      <c r="F637" s="10" t="inlineStr">
        <is>
          <t>Lainnya</t>
        </is>
      </c>
      <c r="G637" s="10" t="inlineStr">
        <is>
          <t>Makanan</t>
        </is>
      </c>
      <c r="H637" s="10" t="inlineStr">
        <is>
          <t>Granola 500g</t>
        </is>
      </c>
      <c r="I637" s="10" t="n">
        <v>2</v>
      </c>
      <c r="J637" s="10" t="n">
        <v>92000</v>
      </c>
      <c r="K637" s="10" t="n">
        <v>184000</v>
      </c>
    </row>
    <row r="638">
      <c r="A638" s="10" t="inlineStr">
        <is>
          <t>INV-71052</t>
        </is>
      </c>
      <c r="B638" s="10" t="inlineStr">
        <is>
          <t>2025-11-17</t>
        </is>
      </c>
      <c r="C638" s="10" t="inlineStr">
        <is>
          <t>C1298</t>
        </is>
      </c>
      <c r="D638" s="10" t="inlineStr">
        <is>
          <t>onetime</t>
        </is>
      </c>
      <c r="E638" s="10" t="inlineStr">
        <is>
          <t xml:space="preserve"> tokopedia</t>
        </is>
      </c>
      <c r="F638" s="10" t="inlineStr">
        <is>
          <t>Jabodetabek</t>
        </is>
      </c>
      <c r="G638" s="10" t="inlineStr">
        <is>
          <t>Rumah Tangga</t>
        </is>
      </c>
      <c r="H638" s="10" t="inlineStr">
        <is>
          <t>Organizer Laci</t>
        </is>
      </c>
      <c r="I638" s="10" t="n">
        <v>4</v>
      </c>
      <c r="J638" s="10" t="n">
        <v>78000</v>
      </c>
      <c r="K638" s="10" t="n">
        <v>312000</v>
      </c>
    </row>
    <row r="639">
      <c r="A639" s="10" t="inlineStr">
        <is>
          <t>INV-70983</t>
        </is>
      </c>
      <c r="B639" s="10" t="inlineStr">
        <is>
          <t>2026-05-08</t>
        </is>
      </c>
      <c r="C639" s="10" t="inlineStr">
        <is>
          <t>C1283</t>
        </is>
      </c>
      <c r="D639" s="10" t="inlineStr">
        <is>
          <t>loyal</t>
        </is>
      </c>
      <c r="E639" s="10" t="inlineStr">
        <is>
          <t xml:space="preserve"> tokopedia</t>
        </is>
      </c>
      <c r="F639" s="10" t="inlineStr">
        <is>
          <t>Jabodetabek</t>
        </is>
      </c>
      <c r="G639" s="10" t="inlineStr">
        <is>
          <t>Elektronik</t>
        </is>
      </c>
      <c r="H639" s="10" t="inlineStr">
        <is>
          <t>Power Bank 20K</t>
        </is>
      </c>
      <c r="I639" s="10" t="n">
        <v>1</v>
      </c>
      <c r="J639" s="10" t="n">
        <v>185000</v>
      </c>
      <c r="K639" s="10" t="n">
        <v>185000</v>
      </c>
    </row>
    <row r="640">
      <c r="A640" s="10" t="inlineStr">
        <is>
          <t>INV-70246</t>
        </is>
      </c>
      <c r="B640" s="10" t="inlineStr">
        <is>
          <t>18/01/2026</t>
        </is>
      </c>
      <c r="C640" s="10" t="inlineStr">
        <is>
          <t>C1070</t>
        </is>
      </c>
      <c r="D640" s="10" t="inlineStr">
        <is>
          <t>regular</t>
        </is>
      </c>
      <c r="E640" s="10" t="inlineStr">
        <is>
          <t>Shopee</t>
        </is>
      </c>
      <c r="F640" s="10" t="inlineStr">
        <is>
          <t>Jabodetabek</t>
        </is>
      </c>
      <c r="G640" s="10" t="inlineStr">
        <is>
          <t>Fashion</t>
        </is>
      </c>
      <c r="H640" s="10" t="inlineStr">
        <is>
          <t>Dress Casual</t>
        </is>
      </c>
      <c r="I640" s="10" t="n">
        <v>1</v>
      </c>
      <c r="J640" s="10" t="n">
        <v>225000</v>
      </c>
      <c r="K640" s="10" t="inlineStr">
        <is>
          <t>Rp 225.000</t>
        </is>
      </c>
    </row>
    <row r="641">
      <c r="A641" s="10" t="inlineStr">
        <is>
          <t>INV-70094</t>
        </is>
      </c>
      <c r="B641" s="10" t="inlineStr">
        <is>
          <t>2026-05-05</t>
        </is>
      </c>
      <c r="C641" s="10" t="inlineStr">
        <is>
          <t>C1028</t>
        </is>
      </c>
      <c r="D641" s="10" t="inlineStr">
        <is>
          <t>occasional</t>
        </is>
      </c>
      <c r="E641" s="10" t="inlineStr">
        <is>
          <t>Shopee</t>
        </is>
      </c>
      <c r="F641" s="10" t="inlineStr">
        <is>
          <t>Jabodetabek</t>
        </is>
      </c>
      <c r="G641" s="10" t="inlineStr">
        <is>
          <t>Rumah Tangga</t>
        </is>
      </c>
      <c r="H641" s="10" t="inlineStr">
        <is>
          <t>Organizer Laci</t>
        </is>
      </c>
      <c r="I641" s="10" t="n">
        <v>3</v>
      </c>
      <c r="J641" s="10" t="n">
        <v>78000</v>
      </c>
      <c r="K641" s="10" t="inlineStr">
        <is>
          <t>Rp 234.000</t>
        </is>
      </c>
    </row>
    <row r="642">
      <c r="A642" s="10" t="inlineStr">
        <is>
          <t>INV-70202</t>
        </is>
      </c>
      <c r="B642" s="10" t="inlineStr">
        <is>
          <t>06 Nov 2025</t>
        </is>
      </c>
      <c r="C642" s="10" t="inlineStr">
        <is>
          <t>C1057</t>
        </is>
      </c>
      <c r="D642" s="10" t="inlineStr">
        <is>
          <t>regular</t>
        </is>
      </c>
      <c r="E642" s="10" t="inlineStr">
        <is>
          <t>Tokopedia</t>
        </is>
      </c>
      <c r="F642" s="10" t="inlineStr">
        <is>
          <t>Jawa Tengah</t>
        </is>
      </c>
      <c r="G642" s="10" t="inlineStr">
        <is>
          <t>Elektronik</t>
        </is>
      </c>
      <c r="H642" s="10" t="inlineStr">
        <is>
          <t>Webcam HD</t>
        </is>
      </c>
      <c r="I642" s="10" t="n">
        <v>2</v>
      </c>
      <c r="J642" s="10" t="n">
        <v>210000</v>
      </c>
      <c r="K642" s="10" t="n">
        <v>420000</v>
      </c>
    </row>
    <row r="643">
      <c r="A643" s="10" t="inlineStr">
        <is>
          <t>INV-71019</t>
        </is>
      </c>
      <c r="B643" s="10" t="inlineStr">
        <is>
          <t>17/05/2026</t>
        </is>
      </c>
      <c r="C643" s="10" t="inlineStr">
        <is>
          <t>C1290</t>
        </is>
      </c>
      <c r="D643" s="10" t="inlineStr">
        <is>
          <t>loyal</t>
        </is>
      </c>
      <c r="E643" s="10" t="inlineStr">
        <is>
          <t>Shopee</t>
        </is>
      </c>
      <c r="F643" s="10" t="inlineStr">
        <is>
          <t>Jabodetabek</t>
        </is>
      </c>
      <c r="G643" s="10" t="inlineStr">
        <is>
          <t>Kecantikan</t>
        </is>
      </c>
      <c r="H643" s="10" t="inlineStr">
        <is>
          <t>Masker Wajah (5s)</t>
        </is>
      </c>
      <c r="I643" s="10" t="n">
        <v>2</v>
      </c>
      <c r="J643" s="10" t="n">
        <v>55000</v>
      </c>
      <c r="K643" s="10" t="inlineStr">
        <is>
          <t>Rp 110.000</t>
        </is>
      </c>
    </row>
    <row r="644">
      <c r="A644" s="10" t="inlineStr">
        <is>
          <t>INV-70816</t>
        </is>
      </c>
      <c r="B644" s="10" t="inlineStr">
        <is>
          <t>2026-01-26</t>
        </is>
      </c>
      <c r="C644" s="10" t="inlineStr">
        <is>
          <t>C1231</t>
        </is>
      </c>
      <c r="D644" s="10" t="inlineStr">
        <is>
          <t>loyal</t>
        </is>
      </c>
      <c r="E644" s="10" t="inlineStr">
        <is>
          <t>Tiktok Shop</t>
        </is>
      </c>
      <c r="F644" s="10" t="inlineStr">
        <is>
          <t>Jabodetabek</t>
        </is>
      </c>
      <c r="G644" s="10" t="inlineStr">
        <is>
          <t>Makanan</t>
        </is>
      </c>
      <c r="H644" s="10" t="inlineStr">
        <is>
          <t>Teh Herbal (15s)</t>
        </is>
      </c>
      <c r="I644" s="10" t="n">
        <v>1</v>
      </c>
      <c r="J644" s="10" t="n">
        <v>58000</v>
      </c>
      <c r="K644" s="10" t="n">
        <v>58000</v>
      </c>
    </row>
    <row r="645">
      <c r="A645" s="10" t="inlineStr">
        <is>
          <t>INV-70021</t>
        </is>
      </c>
      <c r="B645" s="10" t="inlineStr">
        <is>
          <t>27 Jul 2025</t>
        </is>
      </c>
      <c r="C645" s="10" t="inlineStr">
        <is>
          <t>C1003</t>
        </is>
      </c>
      <c r="D645" s="10" t="inlineStr">
        <is>
          <t>regular</t>
        </is>
      </c>
      <c r="E645" s="10" t="inlineStr">
        <is>
          <t>TikTok Shop</t>
        </is>
      </c>
      <c r="F645" s="10" t="inlineStr">
        <is>
          <t>Jawa Barat</t>
        </is>
      </c>
      <c r="G645" s="10" t="inlineStr">
        <is>
          <t>Kecantikan</t>
        </is>
      </c>
      <c r="H645" s="10" t="inlineStr">
        <is>
          <t>Masker Wajah (5s)</t>
        </is>
      </c>
      <c r="I645" s="10" t="n">
        <v>2</v>
      </c>
      <c r="J645" s="10" t="n">
        <v>55000</v>
      </c>
      <c r="K645" s="10" t="n">
        <v>110000</v>
      </c>
    </row>
    <row r="646">
      <c r="A646" s="10" t="inlineStr">
        <is>
          <t>INV-70648</t>
        </is>
      </c>
      <c r="B646" s="10" t="inlineStr">
        <is>
          <t>2026-03-12</t>
        </is>
      </c>
      <c r="C646" s="10" t="inlineStr">
        <is>
          <t>C1177</t>
        </is>
      </c>
      <c r="D646" s="10" t="inlineStr">
        <is>
          <t>occasional</t>
        </is>
      </c>
      <c r="E646" s="10" t="inlineStr">
        <is>
          <t>Shopee</t>
        </is>
      </c>
      <c r="F646" s="10" t="inlineStr">
        <is>
          <t>Sumatera</t>
        </is>
      </c>
      <c r="G646" s="10" t="inlineStr">
        <is>
          <t>makanan</t>
        </is>
      </c>
      <c r="H646" s="10" t="inlineStr">
        <is>
          <t>Granola 500g</t>
        </is>
      </c>
      <c r="I646" s="10" t="n">
        <v>2</v>
      </c>
      <c r="J646" s="10" t="n">
        <v>92000</v>
      </c>
      <c r="K646" s="10" t="n">
        <v>184000</v>
      </c>
    </row>
    <row r="647">
      <c r="A647" s="10" t="inlineStr">
        <is>
          <t>INV-71325</t>
        </is>
      </c>
      <c r="B647" s="10" t="inlineStr">
        <is>
          <t>2026-01-24</t>
        </is>
      </c>
      <c r="C647" s="10" t="inlineStr">
        <is>
          <t>C1365</t>
        </is>
      </c>
      <c r="D647" s="10" t="inlineStr">
        <is>
          <t>regular</t>
        </is>
      </c>
      <c r="E647" s="10" t="inlineStr">
        <is>
          <t>TikTok Shop</t>
        </is>
      </c>
      <c r="F647" s="10" t="n"/>
      <c r="G647" s="10" t="inlineStr">
        <is>
          <t>Rumah Tangga</t>
        </is>
      </c>
      <c r="H647" s="10" t="inlineStr">
        <is>
          <t>Organizer Laci</t>
        </is>
      </c>
      <c r="I647" s="10" t="n">
        <v>1</v>
      </c>
      <c r="J647" s="10" t="n">
        <v>78000</v>
      </c>
      <c r="K647" s="10" t="n">
        <v>78000</v>
      </c>
    </row>
    <row r="648">
      <c r="A648" s="10" t="inlineStr">
        <is>
          <t>INV-71416</t>
        </is>
      </c>
      <c r="B648" s="10" t="inlineStr">
        <is>
          <t>2026-01-16</t>
        </is>
      </c>
      <c r="C648" s="10" t="inlineStr">
        <is>
          <t>C1392</t>
        </is>
      </c>
      <c r="D648" s="10" t="inlineStr">
        <is>
          <t>loyal</t>
        </is>
      </c>
      <c r="E648" s="10" t="inlineStr">
        <is>
          <t>Shopee</t>
        </is>
      </c>
      <c r="F648" s="10" t="inlineStr">
        <is>
          <t>Jawa Tengah</t>
        </is>
      </c>
      <c r="G648" s="10" t="inlineStr">
        <is>
          <t>Elektronik</t>
        </is>
      </c>
      <c r="H648" s="10" t="inlineStr">
        <is>
          <t>Earbuds TWS</t>
        </is>
      </c>
      <c r="I648" s="10" t="n">
        <v>1</v>
      </c>
      <c r="J648" s="10" t="n">
        <v>265000</v>
      </c>
      <c r="K648" s="10" t="inlineStr">
        <is>
          <t>Rp 265.000</t>
        </is>
      </c>
    </row>
    <row r="649">
      <c r="A649" s="10" t="inlineStr">
        <is>
          <t>INV-70839</t>
        </is>
      </c>
      <c r="B649" s="10" t="inlineStr">
        <is>
          <t>2026-04-03</t>
        </is>
      </c>
      <c r="C649" s="10" t="inlineStr">
        <is>
          <t>C1237</t>
        </is>
      </c>
      <c r="D649" s="10" t="inlineStr">
        <is>
          <t>champion</t>
        </is>
      </c>
      <c r="E649" s="10" t="inlineStr">
        <is>
          <t>TikTok Shop</t>
        </is>
      </c>
      <c r="F649" s="10" t="inlineStr">
        <is>
          <t>Jawa Barat</t>
        </is>
      </c>
      <c r="G649" s="10" t="inlineStr">
        <is>
          <t>Rumah Tangga</t>
        </is>
      </c>
      <c r="H649" s="10" t="inlineStr">
        <is>
          <t>Set Wadah Kedap</t>
        </is>
      </c>
      <c r="I649" s="10" t="n">
        <v>4</v>
      </c>
      <c r="J649" s="10" t="n">
        <v>135000</v>
      </c>
      <c r="K649" s="10" t="n">
        <v>540000</v>
      </c>
    </row>
    <row r="650">
      <c r="A650" s="10" t="inlineStr">
        <is>
          <t>INV-71332</t>
        </is>
      </c>
      <c r="B650" s="10" t="inlineStr">
        <is>
          <t>2025-02-18</t>
        </is>
      </c>
      <c r="C650" s="10" t="inlineStr">
        <is>
          <t>C1367</t>
        </is>
      </c>
      <c r="D650" s="10" t="inlineStr">
        <is>
          <t>regular</t>
        </is>
      </c>
      <c r="E650" s="10" t="inlineStr">
        <is>
          <t>TikTok Shop</t>
        </is>
      </c>
      <c r="F650" s="10" t="inlineStr">
        <is>
          <t>Jawa Barat</t>
        </is>
      </c>
      <c r="G650" s="10" t="inlineStr">
        <is>
          <t>elektronik</t>
        </is>
      </c>
      <c r="H650" s="10" t="inlineStr">
        <is>
          <t>Power Bank 20K</t>
        </is>
      </c>
      <c r="I650" s="10" t="n">
        <v>2</v>
      </c>
      <c r="J650" s="10" t="n">
        <v>185000</v>
      </c>
      <c r="K650" s="10" t="n">
        <v>370000</v>
      </c>
    </row>
    <row r="651">
      <c r="A651" s="10" t="inlineStr">
        <is>
          <t>INV-70988</t>
        </is>
      </c>
      <c r="B651" s="10" t="inlineStr">
        <is>
          <t>2025-01-03</t>
        </is>
      </c>
      <c r="C651" s="10" t="inlineStr">
        <is>
          <t>C1284</t>
        </is>
      </c>
      <c r="D651" s="10" t="inlineStr">
        <is>
          <t>occasional</t>
        </is>
      </c>
      <c r="E651" s="10" t="inlineStr">
        <is>
          <t>Offline Store</t>
        </is>
      </c>
      <c r="F651" s="10" t="inlineStr">
        <is>
          <t>Jawa Tengah</t>
        </is>
      </c>
      <c r="G651" s="10" t="inlineStr">
        <is>
          <t>Fashion</t>
        </is>
      </c>
      <c r="H651" s="10" t="inlineStr">
        <is>
          <t>Celana Chino</t>
        </is>
      </c>
      <c r="I651" s="10" t="n">
        <v>4</v>
      </c>
      <c r="J651" s="10" t="n">
        <v>195000</v>
      </c>
      <c r="K651" s="10" t="inlineStr">
        <is>
          <t>Rp 780.000</t>
        </is>
      </c>
    </row>
    <row r="652">
      <c r="A652" s="10" t="inlineStr">
        <is>
          <t>INV-71546</t>
        </is>
      </c>
      <c r="B652" s="10" t="inlineStr">
        <is>
          <t>2025-04-15</t>
        </is>
      </c>
      <c r="C652" s="10" t="inlineStr">
        <is>
          <t>C1425</t>
        </is>
      </c>
      <c r="D652" s="10" t="inlineStr">
        <is>
          <t>loyal</t>
        </is>
      </c>
      <c r="E652" s="10" t="inlineStr">
        <is>
          <t>Tokopedia</t>
        </is>
      </c>
      <c r="F652" s="10" t="inlineStr">
        <is>
          <t>Jabodetabek</t>
        </is>
      </c>
      <c r="G652" s="10" t="inlineStr">
        <is>
          <t>Rumah Tangga</t>
        </is>
      </c>
      <c r="H652" s="10" t="inlineStr">
        <is>
          <t>Set Wadah Kedap</t>
        </is>
      </c>
      <c r="I652" s="10" t="n">
        <v>2</v>
      </c>
      <c r="J652" s="10" t="n">
        <v>135000</v>
      </c>
      <c r="K652" s="10" t="n">
        <v>270000</v>
      </c>
    </row>
    <row r="653">
      <c r="A653" s="10" t="inlineStr">
        <is>
          <t>INV-70599</t>
        </is>
      </c>
      <c r="B653" s="10" t="inlineStr">
        <is>
          <t>2025-11-25</t>
        </is>
      </c>
      <c r="C653" s="10" t="inlineStr">
        <is>
          <t>C1161</t>
        </is>
      </c>
      <c r="D653" s="10" t="inlineStr">
        <is>
          <t>champion</t>
        </is>
      </c>
      <c r="E653" s="10" t="inlineStr">
        <is>
          <t>TikTok Shop</t>
        </is>
      </c>
      <c r="F653" s="10" t="inlineStr">
        <is>
          <t>Jawa Barat</t>
        </is>
      </c>
      <c r="G653" s="10" t="inlineStr">
        <is>
          <t>Rumah Tangga</t>
        </is>
      </c>
      <c r="H653" s="10" t="inlineStr">
        <is>
          <t>Set Wadah Kedap</t>
        </is>
      </c>
      <c r="I653" s="10" t="n">
        <v>1</v>
      </c>
      <c r="J653" s="10" t="n">
        <v>135000</v>
      </c>
      <c r="K653" s="10" t="n">
        <v>135000</v>
      </c>
    </row>
    <row r="654">
      <c r="A654" s="10" t="inlineStr">
        <is>
          <t>INV-70504</t>
        </is>
      </c>
      <c r="B654" s="10" t="inlineStr">
        <is>
          <t>06/04/2026</t>
        </is>
      </c>
      <c r="C654" s="10" t="inlineStr">
        <is>
          <t>C1141</t>
        </is>
      </c>
      <c r="D654" s="10" t="inlineStr">
        <is>
          <t>loyal</t>
        </is>
      </c>
      <c r="E654" s="10" t="inlineStr">
        <is>
          <t>Shopee</t>
        </is>
      </c>
      <c r="F654" s="10" t="inlineStr">
        <is>
          <t>Jawa Timur</t>
        </is>
      </c>
      <c r="G654" s="10" t="inlineStr">
        <is>
          <t>Elektronik</t>
        </is>
      </c>
      <c r="H654" s="10" t="inlineStr">
        <is>
          <t>Power Bank 20K</t>
        </is>
      </c>
      <c r="I654" s="10" t="n">
        <v>2</v>
      </c>
      <c r="J654" s="10" t="n">
        <v>185000</v>
      </c>
      <c r="K654" s="10" t="n">
        <v>370000</v>
      </c>
    </row>
    <row r="655">
      <c r="A655" s="10" t="inlineStr">
        <is>
          <t>INV-70473</t>
        </is>
      </c>
      <c r="B655" s="10" t="inlineStr">
        <is>
          <t>2025-06-23</t>
        </is>
      </c>
      <c r="C655" s="10" t="inlineStr">
        <is>
          <t>C1136</t>
        </is>
      </c>
      <c r="D655" s="10" t="inlineStr">
        <is>
          <t>occasional</t>
        </is>
      </c>
      <c r="E655" s="10" t="inlineStr">
        <is>
          <t>TikTok Shop</t>
        </is>
      </c>
      <c r="F655" s="10" t="inlineStr">
        <is>
          <t>Jawa Barat</t>
        </is>
      </c>
      <c r="G655" s="10" t="inlineStr">
        <is>
          <t>Elektronik</t>
        </is>
      </c>
      <c r="H655" s="10" t="inlineStr">
        <is>
          <t>Webcam HD</t>
        </is>
      </c>
      <c r="I655" s="10" t="n">
        <v>4</v>
      </c>
      <c r="J655" s="10" t="n">
        <v>210000</v>
      </c>
      <c r="K655" s="10" t="n">
        <v>840000</v>
      </c>
    </row>
    <row r="656">
      <c r="A656" s="10" t="inlineStr">
        <is>
          <t>INV-71209</t>
        </is>
      </c>
      <c r="B656" s="10" t="inlineStr">
        <is>
          <t>2026-01-26</t>
        </is>
      </c>
      <c r="C656" s="10" t="inlineStr">
        <is>
          <t>C1344</t>
        </is>
      </c>
      <c r="D656" s="10" t="inlineStr">
        <is>
          <t>loyal</t>
        </is>
      </c>
      <c r="E656" s="10" t="inlineStr">
        <is>
          <t>Shopee</t>
        </is>
      </c>
      <c r="F656" s="10" t="inlineStr">
        <is>
          <t>Jawa Timur</t>
        </is>
      </c>
      <c r="G656" s="10" t="inlineStr">
        <is>
          <t>Rumah Tangga</t>
        </is>
      </c>
      <c r="H656" s="10" t="inlineStr">
        <is>
          <t>Set Wadah Kedap</t>
        </is>
      </c>
      <c r="I656" s="10" t="n">
        <v>2</v>
      </c>
      <c r="J656" s="10" t="n">
        <v>135000</v>
      </c>
      <c r="K656" s="10" t="inlineStr">
        <is>
          <t>Rp 270.000</t>
        </is>
      </c>
    </row>
    <row r="657">
      <c r="A657" s="10" t="inlineStr">
        <is>
          <t>INV-70509</t>
        </is>
      </c>
      <c r="B657" s="10" t="inlineStr">
        <is>
          <t>2025-09-19</t>
        </is>
      </c>
      <c r="C657" s="10" t="inlineStr">
        <is>
          <t>C1142</t>
        </is>
      </c>
      <c r="D657" s="10" t="inlineStr">
        <is>
          <t>champion</t>
        </is>
      </c>
      <c r="E657" s="10" t="inlineStr">
        <is>
          <t>Tokopedia</t>
        </is>
      </c>
      <c r="F657" s="10" t="inlineStr">
        <is>
          <t>Jawa Timur</t>
        </is>
      </c>
      <c r="G657" s="10" t="inlineStr">
        <is>
          <t>Elektronik</t>
        </is>
      </c>
      <c r="H657" s="10" t="inlineStr">
        <is>
          <t>Power Bank 20K</t>
        </is>
      </c>
      <c r="I657" s="10" t="n">
        <v>4</v>
      </c>
      <c r="J657" s="10" t="n">
        <v>185000</v>
      </c>
      <c r="K657" s="10" t="inlineStr">
        <is>
          <t>Rp 740.000</t>
        </is>
      </c>
    </row>
    <row r="658">
      <c r="A658" s="10" t="inlineStr">
        <is>
          <t>INV-71368</t>
        </is>
      </c>
      <c r="B658" s="10" t="inlineStr">
        <is>
          <t>2025-03-14</t>
        </is>
      </c>
      <c r="C658" s="10" t="inlineStr">
        <is>
          <t>C1377</t>
        </is>
      </c>
      <c r="D658" s="10" t="inlineStr">
        <is>
          <t>champion</t>
        </is>
      </c>
      <c r="E658" s="10" t="inlineStr">
        <is>
          <t>shopee</t>
        </is>
      </c>
      <c r="F658" s="10" t="inlineStr">
        <is>
          <t>Jawa Timur</t>
        </is>
      </c>
      <c r="G658" s="10" t="inlineStr">
        <is>
          <t>Elektronik</t>
        </is>
      </c>
      <c r="H658" s="10" t="inlineStr">
        <is>
          <t>Earbuds TWS</t>
        </is>
      </c>
      <c r="I658" s="10" t="n">
        <v>1</v>
      </c>
      <c r="J658" s="10" t="n">
        <v>265000</v>
      </c>
      <c r="K658" s="10" t="n">
        <v>265000</v>
      </c>
    </row>
    <row r="659">
      <c r="A659" s="10" t="inlineStr">
        <is>
          <t>INV-70483</t>
        </is>
      </c>
      <c r="B659" s="10" t="inlineStr">
        <is>
          <t>05/06/2026</t>
        </is>
      </c>
      <c r="C659" s="10" t="inlineStr">
        <is>
          <t>C1139</t>
        </is>
      </c>
      <c r="D659" s="10" t="inlineStr">
        <is>
          <t>champion</t>
        </is>
      </c>
      <c r="E659" s="10" t="inlineStr">
        <is>
          <t>Shopee</t>
        </is>
      </c>
      <c r="F659" s="10" t="inlineStr">
        <is>
          <t>Jabodetabek</t>
        </is>
      </c>
      <c r="G659" s="10" t="inlineStr">
        <is>
          <t>Rumah Tangga</t>
        </is>
      </c>
      <c r="H659" s="10" t="inlineStr">
        <is>
          <t>Set Wadah Kedap</t>
        </is>
      </c>
      <c r="I659" s="10" t="n">
        <v>1</v>
      </c>
      <c r="J659" s="10" t="n">
        <v>135000</v>
      </c>
      <c r="K659" s="10" t="n">
        <v>135000</v>
      </c>
    </row>
    <row r="660">
      <c r="A660" s="10" t="inlineStr">
        <is>
          <t>INV-70361</t>
        </is>
      </c>
      <c r="B660" s="10" t="inlineStr">
        <is>
          <t>2025-11-20</t>
        </is>
      </c>
      <c r="C660" s="10" t="inlineStr">
        <is>
          <t>C1099</t>
        </is>
      </c>
      <c r="D660" s="10" t="inlineStr">
        <is>
          <t>occasional</t>
        </is>
      </c>
      <c r="E660" s="10" t="inlineStr">
        <is>
          <t>Shopee</t>
        </is>
      </c>
      <c r="F660" s="10" t="inlineStr">
        <is>
          <t>Jabodetabek</t>
        </is>
      </c>
      <c r="G660" s="10" t="inlineStr">
        <is>
          <t>Rumah Tangga</t>
        </is>
      </c>
      <c r="H660" s="10" t="inlineStr">
        <is>
          <t>Set Wadah Kedap</t>
        </is>
      </c>
      <c r="I660" s="10" t="n">
        <v>1</v>
      </c>
      <c r="J660" s="10" t="n">
        <v>135000</v>
      </c>
      <c r="K660" s="10" t="n">
        <v>135000</v>
      </c>
    </row>
    <row r="661">
      <c r="A661" s="10" t="inlineStr">
        <is>
          <t>INV-70772</t>
        </is>
      </c>
      <c r="B661" s="10" t="inlineStr">
        <is>
          <t>12/03/2026</t>
        </is>
      </c>
      <c r="C661" s="10" t="inlineStr">
        <is>
          <t>C1216</t>
        </is>
      </c>
      <c r="D661" s="10" t="inlineStr">
        <is>
          <t>occasional</t>
        </is>
      </c>
      <c r="E661" s="10" t="inlineStr">
        <is>
          <t xml:space="preserve">Tokopedia </t>
        </is>
      </c>
      <c r="F661" s="10" t="inlineStr">
        <is>
          <t>Sumatera</t>
        </is>
      </c>
      <c r="G661" s="10" t="inlineStr">
        <is>
          <t>Rumah Tangga</t>
        </is>
      </c>
      <c r="H661" s="10" t="inlineStr">
        <is>
          <t>Set Wadah Kedap</t>
        </is>
      </c>
      <c r="I661" s="10" t="n">
        <v>1</v>
      </c>
      <c r="J661" s="10" t="n">
        <v>135000</v>
      </c>
      <c r="K661" s="10" t="n">
        <v>135000</v>
      </c>
    </row>
    <row r="662">
      <c r="A662" s="10" t="inlineStr">
        <is>
          <t>INV-70075</t>
        </is>
      </c>
      <c r="B662" s="10" t="inlineStr">
        <is>
          <t>2025-03-13</t>
        </is>
      </c>
      <c r="C662" s="10" t="inlineStr">
        <is>
          <t>C1024</t>
        </is>
      </c>
      <c r="D662" s="10" t="inlineStr">
        <is>
          <t>regular</t>
        </is>
      </c>
      <c r="E662" s="10" t="inlineStr">
        <is>
          <t>TikTok Shop</t>
        </is>
      </c>
      <c r="F662" s="10" t="inlineStr">
        <is>
          <t>Jawa Barat</t>
        </is>
      </c>
      <c r="G662" s="10" t="inlineStr">
        <is>
          <t>Rumah Tangga</t>
        </is>
      </c>
      <c r="H662" s="10" t="inlineStr">
        <is>
          <t>Organizer Laci</t>
        </is>
      </c>
      <c r="I662" s="10" t="n">
        <v>2</v>
      </c>
      <c r="J662" s="10" t="n">
        <v>78000</v>
      </c>
      <c r="K662" s="10" t="n">
        <v>156000</v>
      </c>
    </row>
    <row r="663">
      <c r="A663" s="10" t="inlineStr">
        <is>
          <t>INV-71211</t>
        </is>
      </c>
      <c r="B663" s="10" t="inlineStr">
        <is>
          <t>2025-01-19</t>
        </is>
      </c>
      <c r="C663" s="10" t="inlineStr">
        <is>
          <t>C1344</t>
        </is>
      </c>
      <c r="D663" s="10" t="inlineStr">
        <is>
          <t>loyal</t>
        </is>
      </c>
      <c r="E663" s="10" t="inlineStr">
        <is>
          <t>TikTok Shop</t>
        </is>
      </c>
      <c r="F663" s="10" t="inlineStr">
        <is>
          <t>Jabodetabek</t>
        </is>
      </c>
      <c r="G663" s="10" t="inlineStr">
        <is>
          <t>Rumah Tangga</t>
        </is>
      </c>
      <c r="H663" s="10" t="inlineStr">
        <is>
          <t>Set Wadah Kedap</t>
        </is>
      </c>
      <c r="I663" s="10" t="n">
        <v>4</v>
      </c>
      <c r="J663" s="10" t="n">
        <v>135000</v>
      </c>
      <c r="K663" s="10" t="n">
        <v>540000</v>
      </c>
    </row>
    <row r="664">
      <c r="A664" s="10" t="inlineStr">
        <is>
          <t>INV-70316</t>
        </is>
      </c>
      <c r="B664" s="10" t="inlineStr">
        <is>
          <t>2026-05-12</t>
        </is>
      </c>
      <c r="C664" s="10" t="inlineStr">
        <is>
          <t>C1088</t>
        </is>
      </c>
      <c r="D664" s="10" t="inlineStr">
        <is>
          <t>champion</t>
        </is>
      </c>
      <c r="E664" s="10" t="inlineStr">
        <is>
          <t>tiktok shop</t>
        </is>
      </c>
      <c r="F664" s="10" t="inlineStr">
        <is>
          <t>Jawa Barat</t>
        </is>
      </c>
      <c r="G664" s="10" t="inlineStr">
        <is>
          <t>rumah tangga</t>
        </is>
      </c>
      <c r="H664" s="10" t="inlineStr">
        <is>
          <t>Set Wadah Kedap</t>
        </is>
      </c>
      <c r="I664" s="10" t="n">
        <v>3</v>
      </c>
      <c r="J664" s="10" t="n">
        <v>135000</v>
      </c>
      <c r="K664" s="10" t="inlineStr">
        <is>
          <t>Rp 405.000</t>
        </is>
      </c>
    </row>
    <row r="665">
      <c r="A665" s="10" t="inlineStr">
        <is>
          <t>INV-70069</t>
        </is>
      </c>
      <c r="B665" s="10" t="inlineStr">
        <is>
          <t>11/06/2025</t>
        </is>
      </c>
      <c r="C665" s="10" t="inlineStr">
        <is>
          <t>C1021</t>
        </is>
      </c>
      <c r="D665" s="10" t="inlineStr">
        <is>
          <t>loyal</t>
        </is>
      </c>
      <c r="E665" s="10" t="inlineStr">
        <is>
          <t>Shopee</t>
        </is>
      </c>
      <c r="F665" s="10" t="inlineStr">
        <is>
          <t>Jabodetabek</t>
        </is>
      </c>
      <c r="G665" s="10" t="inlineStr">
        <is>
          <t>Kecantikan</t>
        </is>
      </c>
      <c r="H665" s="10" t="inlineStr">
        <is>
          <t>Serum Vit C</t>
        </is>
      </c>
      <c r="I665" s="10" t="n">
        <v>1</v>
      </c>
      <c r="J665" s="10" t="n">
        <v>145000</v>
      </c>
      <c r="K665" s="10" t="n">
        <v>145000</v>
      </c>
    </row>
    <row r="666">
      <c r="A666" s="10" t="inlineStr">
        <is>
          <t>INV-70019</t>
        </is>
      </c>
      <c r="B666" s="10" t="inlineStr">
        <is>
          <t>2025-06-27</t>
        </is>
      </c>
      <c r="C666" s="10" t="inlineStr">
        <is>
          <t>C1003</t>
        </is>
      </c>
      <c r="D666" s="10" t="inlineStr">
        <is>
          <t>regular</t>
        </is>
      </c>
      <c r="E666" s="10" t="inlineStr">
        <is>
          <t>TikTok Shop</t>
        </is>
      </c>
      <c r="F666" s="10" t="inlineStr">
        <is>
          <t>Jawa Tengah</t>
        </is>
      </c>
      <c r="G666" s="10" t="inlineStr">
        <is>
          <t>rumah tangga</t>
        </is>
      </c>
      <c r="H666" s="10" t="inlineStr">
        <is>
          <t>Set Wadah Kedap</t>
        </is>
      </c>
      <c r="I666" s="10" t="n">
        <v>1</v>
      </c>
      <c r="J666" s="10" t="n">
        <v>135000</v>
      </c>
      <c r="K666" s="10" t="n">
        <v>135000</v>
      </c>
    </row>
    <row r="667">
      <c r="A667" s="10" t="inlineStr">
        <is>
          <t>INV-71088</t>
        </is>
      </c>
      <c r="B667" s="10" t="inlineStr">
        <is>
          <t>2026-06-07</t>
        </is>
      </c>
      <c r="C667" s="10" t="inlineStr">
        <is>
          <t>C1305</t>
        </is>
      </c>
      <c r="D667" s="10" t="inlineStr">
        <is>
          <t>champion</t>
        </is>
      </c>
      <c r="E667" s="10" t="inlineStr">
        <is>
          <t>Tokopedia</t>
        </is>
      </c>
      <c r="F667" s="10" t="inlineStr">
        <is>
          <t>Jawa Timur</t>
        </is>
      </c>
      <c r="G667" s="10" t="inlineStr">
        <is>
          <t>Elektronik</t>
        </is>
      </c>
      <c r="H667" s="10" t="inlineStr">
        <is>
          <t>Earbuds TWS</t>
        </is>
      </c>
      <c r="I667" s="10" t="n">
        <v>4</v>
      </c>
      <c r="J667" s="10" t="n">
        <v>265000</v>
      </c>
      <c r="K667" s="10" t="n">
        <v>1060000</v>
      </c>
    </row>
    <row r="668">
      <c r="A668" s="10" t="inlineStr">
        <is>
          <t>INV-71173</t>
        </is>
      </c>
      <c r="B668" s="10" t="inlineStr">
        <is>
          <t>10 Mar 2025</t>
        </is>
      </c>
      <c r="C668" s="10" t="inlineStr">
        <is>
          <t>C1333</t>
        </is>
      </c>
      <c r="D668" s="10" t="inlineStr">
        <is>
          <t>regular</t>
        </is>
      </c>
      <c r="E668" s="10" t="inlineStr">
        <is>
          <t>SHOPEE</t>
        </is>
      </c>
      <c r="F668" s="10" t="inlineStr">
        <is>
          <t>Jabodetabek</t>
        </is>
      </c>
      <c r="G668" s="10" t="inlineStr">
        <is>
          <t>Makanan</t>
        </is>
      </c>
      <c r="H668" s="10" t="inlineStr">
        <is>
          <t>Granola 500g</t>
        </is>
      </c>
      <c r="I668" s="10" t="n">
        <v>1</v>
      </c>
      <c r="J668" s="10" t="n">
        <v>92000</v>
      </c>
      <c r="K668" s="10" t="n">
        <v>92000</v>
      </c>
    </row>
    <row r="669">
      <c r="A669" s="10" t="inlineStr">
        <is>
          <t>INV-70385</t>
        </is>
      </c>
      <c r="B669" s="10" t="inlineStr">
        <is>
          <t>2025-02-09</t>
        </is>
      </c>
      <c r="C669" s="10" t="inlineStr">
        <is>
          <t>C1111</t>
        </is>
      </c>
      <c r="D669" s="10" t="inlineStr">
        <is>
          <t>champion</t>
        </is>
      </c>
      <c r="E669" s="10" t="inlineStr">
        <is>
          <t>Shopee</t>
        </is>
      </c>
      <c r="F669" s="10" t="inlineStr">
        <is>
          <t>Jabodetabek</t>
        </is>
      </c>
      <c r="G669" s="10" t="inlineStr">
        <is>
          <t>Rumah Tangga</t>
        </is>
      </c>
      <c r="H669" s="10" t="inlineStr">
        <is>
          <t>Organizer Laci</t>
        </is>
      </c>
      <c r="I669" s="10" t="n">
        <v>1</v>
      </c>
      <c r="J669" s="10" t="n">
        <v>78000</v>
      </c>
      <c r="K669" s="10" t="n">
        <v>78000</v>
      </c>
    </row>
    <row r="670">
      <c r="A670" s="10" t="inlineStr">
        <is>
          <t>INV-70399</t>
        </is>
      </c>
      <c r="B670" s="10" t="inlineStr">
        <is>
          <t>2025-06-26</t>
        </is>
      </c>
      <c r="C670" s="10" t="inlineStr">
        <is>
          <t>C1112</t>
        </is>
      </c>
      <c r="D670" s="10" t="inlineStr">
        <is>
          <t>loyal</t>
        </is>
      </c>
      <c r="E670" s="10" t="inlineStr">
        <is>
          <t xml:space="preserve">Tokopedia </t>
        </is>
      </c>
      <c r="F670" s="10" t="inlineStr">
        <is>
          <t>Jabodetabek</t>
        </is>
      </c>
      <c r="G670" s="10" t="inlineStr">
        <is>
          <t>Elektronik</t>
        </is>
      </c>
      <c r="H670" s="10" t="inlineStr">
        <is>
          <t>Power Bank 20K</t>
        </is>
      </c>
      <c r="I670" s="10" t="n">
        <v>2</v>
      </c>
      <c r="J670" s="10" t="n">
        <v>185000</v>
      </c>
      <c r="K670" s="10" t="n">
        <v>370000</v>
      </c>
    </row>
    <row r="671">
      <c r="A671" s="10" t="inlineStr">
        <is>
          <t>INV-70463</t>
        </is>
      </c>
      <c r="B671" s="10" t="inlineStr">
        <is>
          <t>2025-06-22</t>
        </is>
      </c>
      <c r="C671" s="10" t="inlineStr">
        <is>
          <t>C1132</t>
        </is>
      </c>
      <c r="D671" s="10" t="inlineStr">
        <is>
          <t>regular</t>
        </is>
      </c>
      <c r="E671" s="10" t="inlineStr">
        <is>
          <t>TikTok Shop</t>
        </is>
      </c>
      <c r="F671" s="10" t="inlineStr">
        <is>
          <t>Lainnya</t>
        </is>
      </c>
      <c r="G671" s="10" t="inlineStr">
        <is>
          <t>Kecantikan</t>
        </is>
      </c>
      <c r="H671" s="10" t="inlineStr">
        <is>
          <t>Masker Wajah (5s)</t>
        </is>
      </c>
      <c r="I671" s="10" t="n">
        <v>1</v>
      </c>
      <c r="J671" s="10" t="n">
        <v>55000</v>
      </c>
      <c r="K671" s="10" t="inlineStr">
        <is>
          <t>Rp 55.000</t>
        </is>
      </c>
    </row>
    <row r="672">
      <c r="A672" s="10" t="inlineStr">
        <is>
          <t>INV-70882</t>
        </is>
      </c>
      <c r="B672" s="10" t="inlineStr">
        <is>
          <t>2025-08-20</t>
        </is>
      </c>
      <c r="C672" s="10" t="inlineStr">
        <is>
          <t>C1247</t>
        </is>
      </c>
      <c r="D672" s="10" t="inlineStr">
        <is>
          <t>champion</t>
        </is>
      </c>
      <c r="E672" s="10" t="inlineStr">
        <is>
          <t>Shopee</t>
        </is>
      </c>
      <c r="F672" s="10" t="inlineStr">
        <is>
          <t>Jabodetabek</t>
        </is>
      </c>
      <c r="G672" s="10" t="inlineStr">
        <is>
          <t>Rumah Tangga</t>
        </is>
      </c>
      <c r="H672" s="10" t="inlineStr">
        <is>
          <t>Organizer Laci</t>
        </is>
      </c>
      <c r="I672" s="10" t="n">
        <v>4</v>
      </c>
      <c r="J672" s="10" t="n">
        <v>78000</v>
      </c>
      <c r="K672" s="10" t="n">
        <v>312000</v>
      </c>
    </row>
    <row r="673">
      <c r="A673" s="10" t="inlineStr">
        <is>
          <t>INV-71110</t>
        </is>
      </c>
      <c r="B673" s="10" t="inlineStr">
        <is>
          <t>01/07/2025</t>
        </is>
      </c>
      <c r="C673" s="10" t="inlineStr">
        <is>
          <t>C1310</t>
        </is>
      </c>
      <c r="D673" s="10" t="inlineStr">
        <is>
          <t>loyal</t>
        </is>
      </c>
      <c r="E673" s="10" t="inlineStr">
        <is>
          <t>Offline Store</t>
        </is>
      </c>
      <c r="F673" s="10" t="inlineStr">
        <is>
          <t>Jawa Barat</t>
        </is>
      </c>
      <c r="G673" s="10" t="inlineStr">
        <is>
          <t>elektronik</t>
        </is>
      </c>
      <c r="H673" s="10" t="inlineStr">
        <is>
          <t>Power Bank 20K</t>
        </is>
      </c>
      <c r="I673" s="10" t="n">
        <v>2</v>
      </c>
      <c r="J673" s="10" t="n">
        <v>185000</v>
      </c>
      <c r="K673" s="10" t="n">
        <v>370000</v>
      </c>
    </row>
    <row r="674">
      <c r="A674" s="10" t="inlineStr">
        <is>
          <t>INV-71073</t>
        </is>
      </c>
      <c r="B674" s="10" t="inlineStr">
        <is>
          <t>2025-01-09</t>
        </is>
      </c>
      <c r="C674" s="10" t="inlineStr">
        <is>
          <t>C1302</t>
        </is>
      </c>
      <c r="D674" s="10" t="inlineStr">
        <is>
          <t>champion</t>
        </is>
      </c>
      <c r="E674" s="10" t="inlineStr">
        <is>
          <t>Tokopedia</t>
        </is>
      </c>
      <c r="F674" s="10" t="inlineStr">
        <is>
          <t>Lainnya</t>
        </is>
      </c>
      <c r="G674" s="10" t="inlineStr">
        <is>
          <t>Rumah Tangga</t>
        </is>
      </c>
      <c r="H674" s="10" t="inlineStr">
        <is>
          <t>Organizer Laci</t>
        </is>
      </c>
      <c r="I674" s="10" t="n">
        <v>1</v>
      </c>
      <c r="J674" s="10" t="n">
        <v>78000</v>
      </c>
      <c r="K674" s="10" t="inlineStr">
        <is>
          <t>Rp 78.000</t>
        </is>
      </c>
    </row>
    <row r="675">
      <c r="A675" s="10" t="inlineStr">
        <is>
          <t>INV-71282</t>
        </is>
      </c>
      <c r="B675" s="10" t="inlineStr">
        <is>
          <t>2025-05-04</t>
        </is>
      </c>
      <c r="C675" s="10" t="inlineStr">
        <is>
          <t>C1358</t>
        </is>
      </c>
      <c r="D675" s="10" t="inlineStr">
        <is>
          <t>champion</t>
        </is>
      </c>
      <c r="E675" s="10" t="inlineStr">
        <is>
          <t>Offline Store</t>
        </is>
      </c>
      <c r="F675" s="10" t="inlineStr">
        <is>
          <t>Jabodetabek</t>
        </is>
      </c>
      <c r="G675" s="10" t="inlineStr">
        <is>
          <t>Rumah Tangga</t>
        </is>
      </c>
      <c r="H675" s="10" t="inlineStr">
        <is>
          <t>Organizer Laci</t>
        </is>
      </c>
      <c r="I675" s="10" t="n">
        <v>2</v>
      </c>
      <c r="J675" s="10" t="n">
        <v>78000</v>
      </c>
      <c r="K675" s="10" t="n">
        <v>156000</v>
      </c>
    </row>
    <row r="676">
      <c r="A676" s="10" t="inlineStr">
        <is>
          <t>INV-70237</t>
        </is>
      </c>
      <c r="B676" s="10" t="inlineStr">
        <is>
          <t>07 Jan 2026</t>
        </is>
      </c>
      <c r="C676" s="10" t="inlineStr">
        <is>
          <t>C1067</t>
        </is>
      </c>
      <c r="D676" s="10" t="inlineStr">
        <is>
          <t>occasional</t>
        </is>
      </c>
      <c r="E676" s="10" t="inlineStr">
        <is>
          <t>Offline Store</t>
        </is>
      </c>
      <c r="F676" s="10" t="inlineStr">
        <is>
          <t>Jawa Timur</t>
        </is>
      </c>
      <c r="G676" s="10" t="inlineStr">
        <is>
          <t>Rumah Tangga</t>
        </is>
      </c>
      <c r="H676" s="10" t="inlineStr">
        <is>
          <t>Set Wadah Kedap</t>
        </is>
      </c>
      <c r="I676" s="10" t="n">
        <v>1</v>
      </c>
      <c r="J676" s="10" t="n">
        <v>135000</v>
      </c>
      <c r="K676" s="10" t="n">
        <v>135000</v>
      </c>
    </row>
    <row r="677">
      <c r="A677" s="10" t="inlineStr">
        <is>
          <t>INV-70036</t>
        </is>
      </c>
      <c r="B677" s="10" t="inlineStr">
        <is>
          <t>2025-07-19</t>
        </is>
      </c>
      <c r="C677" s="10" t="inlineStr">
        <is>
          <t>C1008</t>
        </is>
      </c>
      <c r="D677" s="10" t="inlineStr">
        <is>
          <t>regular</t>
        </is>
      </c>
      <c r="E677" s="10" t="inlineStr">
        <is>
          <t>Tokopedia</t>
        </is>
      </c>
      <c r="F677" s="10" t="inlineStr">
        <is>
          <t>Jawa Tengah</t>
        </is>
      </c>
      <c r="G677" s="10" t="inlineStr">
        <is>
          <t>makanan</t>
        </is>
      </c>
      <c r="H677" s="10" t="inlineStr">
        <is>
          <t>Granola 500g</t>
        </is>
      </c>
      <c r="I677" s="10" t="n">
        <v>4</v>
      </c>
      <c r="J677" s="10" t="n">
        <v>92000</v>
      </c>
      <c r="K677" s="10" t="n">
        <v>368000</v>
      </c>
    </row>
    <row r="678">
      <c r="A678" s="10" t="inlineStr">
        <is>
          <t>INV-70414</t>
        </is>
      </c>
      <c r="B678" s="10" t="inlineStr">
        <is>
          <t>2026-05-07</t>
        </is>
      </c>
      <c r="C678" s="10" t="inlineStr">
        <is>
          <t>C1114</t>
        </is>
      </c>
      <c r="D678" s="10" t="inlineStr">
        <is>
          <t>occasional</t>
        </is>
      </c>
      <c r="E678" s="10" t="inlineStr">
        <is>
          <t>TIKTOK SHOP</t>
        </is>
      </c>
      <c r="F678" s="10" t="inlineStr">
        <is>
          <t>Jabodetabek</t>
        </is>
      </c>
      <c r="G678" s="10" t="inlineStr">
        <is>
          <t>Elektronik</t>
        </is>
      </c>
      <c r="H678" s="10" t="inlineStr">
        <is>
          <t>Webcam HD</t>
        </is>
      </c>
      <c r="I678" s="10" t="n">
        <v>2</v>
      </c>
      <c r="J678" s="10" t="n">
        <v>210000</v>
      </c>
      <c r="K678" s="10" t="n">
        <v>420000</v>
      </c>
    </row>
    <row r="679">
      <c r="A679" s="10" t="inlineStr">
        <is>
          <t>INV-70584</t>
        </is>
      </c>
      <c r="B679" s="10" t="inlineStr">
        <is>
          <t>2025-03-14</t>
        </is>
      </c>
      <c r="C679" s="10" t="inlineStr">
        <is>
          <t>C1158</t>
        </is>
      </c>
      <c r="D679" s="10" t="inlineStr">
        <is>
          <t>regular</t>
        </is>
      </c>
      <c r="E679" s="10" t="inlineStr">
        <is>
          <t>Tokopedia</t>
        </is>
      </c>
      <c r="F679" s="10" t="inlineStr">
        <is>
          <t>Sumatera</t>
        </is>
      </c>
      <c r="G679" s="10" t="inlineStr">
        <is>
          <t>Rumah Tangga</t>
        </is>
      </c>
      <c r="H679" s="10" t="inlineStr">
        <is>
          <t>Organizer Laci</t>
        </is>
      </c>
      <c r="I679" s="10" t="n">
        <v>1</v>
      </c>
      <c r="J679" s="10" t="n">
        <v>78000</v>
      </c>
      <c r="K679" s="10" t="n">
        <v>78000</v>
      </c>
    </row>
    <row r="680">
      <c r="A680" s="10" t="inlineStr">
        <is>
          <t>INV-70443</t>
        </is>
      </c>
      <c r="B680" s="10" t="inlineStr">
        <is>
          <t>2025-02-05</t>
        </is>
      </c>
      <c r="C680" s="10" t="inlineStr">
        <is>
          <t>C1125</t>
        </is>
      </c>
      <c r="D680" s="10" t="inlineStr">
        <is>
          <t>regular</t>
        </is>
      </c>
      <c r="E680" s="10" t="inlineStr">
        <is>
          <t>TikTok Shop</t>
        </is>
      </c>
      <c r="F680" s="10" t="inlineStr">
        <is>
          <t>Jabodetabek</t>
        </is>
      </c>
      <c r="G680" s="10" t="inlineStr">
        <is>
          <t>Elektronik</t>
        </is>
      </c>
      <c r="H680" s="10" t="inlineStr">
        <is>
          <t>Earbuds TWS</t>
        </is>
      </c>
      <c r="I680" s="10" t="n">
        <v>4</v>
      </c>
      <c r="J680" s="10" t="n">
        <v>265000</v>
      </c>
      <c r="K680" s="10" t="n">
        <v>1060000</v>
      </c>
    </row>
    <row r="681">
      <c r="A681" s="10" t="inlineStr">
        <is>
          <t>INV-70038</t>
        </is>
      </c>
      <c r="B681" s="10" t="inlineStr">
        <is>
          <t>2025-03-20</t>
        </is>
      </c>
      <c r="C681" s="10" t="inlineStr">
        <is>
          <t>C1009</t>
        </is>
      </c>
      <c r="D681" s="10" t="inlineStr">
        <is>
          <t>occasional</t>
        </is>
      </c>
      <c r="E681" s="10" t="inlineStr">
        <is>
          <t>TIKTOK SHOP</t>
        </is>
      </c>
      <c r="F681" s="10" t="inlineStr">
        <is>
          <t>Jabodetabek</t>
        </is>
      </c>
      <c r="G681" s="10" t="inlineStr">
        <is>
          <t>rumah tangga</t>
        </is>
      </c>
      <c r="H681" s="10" t="inlineStr">
        <is>
          <t>Organizer Laci</t>
        </is>
      </c>
      <c r="I681" s="10" t="n">
        <v>1</v>
      </c>
      <c r="J681" s="10" t="n">
        <v>78000</v>
      </c>
      <c r="K681" s="10" t="n">
        <v>78000</v>
      </c>
    </row>
    <row r="682">
      <c r="A682" s="10" t="inlineStr">
        <is>
          <t>INV-70752</t>
        </is>
      </c>
      <c r="B682" s="10" t="inlineStr">
        <is>
          <t>2026-03-17</t>
        </is>
      </c>
      <c r="C682" s="10" t="inlineStr">
        <is>
          <t>C1210</t>
        </is>
      </c>
      <c r="D682" s="10" t="inlineStr">
        <is>
          <t>loyal</t>
        </is>
      </c>
      <c r="E682" s="10" t="inlineStr">
        <is>
          <t>TikTok Shop</t>
        </is>
      </c>
      <c r="F682" s="10" t="inlineStr">
        <is>
          <t>Jawa Tengah</t>
        </is>
      </c>
      <c r="G682" s="10" t="inlineStr">
        <is>
          <t>kecantikan</t>
        </is>
      </c>
      <c r="H682" s="10" t="inlineStr">
        <is>
          <t>Masker Wajah (5s)</t>
        </is>
      </c>
      <c r="I682" s="10" t="n">
        <v>2</v>
      </c>
      <c r="J682" s="10" t="n">
        <v>55000</v>
      </c>
      <c r="K682" s="10" t="inlineStr">
        <is>
          <t>Rp 110.000</t>
        </is>
      </c>
    </row>
    <row r="683">
      <c r="A683" s="10" t="inlineStr">
        <is>
          <t>INV-71009</t>
        </is>
      </c>
      <c r="B683" s="10" t="inlineStr">
        <is>
          <t>2026-01-24</t>
        </is>
      </c>
      <c r="C683" s="10" t="inlineStr">
        <is>
          <t>C1287</t>
        </is>
      </c>
      <c r="D683" s="10" t="inlineStr">
        <is>
          <t>champion</t>
        </is>
      </c>
      <c r="E683" s="10" t="inlineStr">
        <is>
          <t>offline store</t>
        </is>
      </c>
      <c r="F683" s="10" t="inlineStr">
        <is>
          <t>Jawa Timur</t>
        </is>
      </c>
      <c r="G683" s="10" t="inlineStr">
        <is>
          <t>Rumah Tangga</t>
        </is>
      </c>
      <c r="H683" s="10" t="inlineStr">
        <is>
          <t>Organizer Laci</t>
        </is>
      </c>
      <c r="I683" s="10" t="n">
        <v>1</v>
      </c>
      <c r="J683" s="10" t="n">
        <v>78000</v>
      </c>
      <c r="K683" s="10" t="n">
        <v>78000</v>
      </c>
    </row>
    <row r="684">
      <c r="A684" s="10" t="inlineStr">
        <is>
          <t>INV-70534</t>
        </is>
      </c>
      <c r="B684" s="10" t="inlineStr">
        <is>
          <t>2025-11-24</t>
        </is>
      </c>
      <c r="C684" s="10" t="inlineStr">
        <is>
          <t>C1147</t>
        </is>
      </c>
      <c r="D684" s="10" t="inlineStr">
        <is>
          <t>regular</t>
        </is>
      </c>
      <c r="E684" s="10" t="inlineStr">
        <is>
          <t>TikTok Shop</t>
        </is>
      </c>
      <c r="F684" s="10" t="inlineStr">
        <is>
          <t>Jawa Timur</t>
        </is>
      </c>
      <c r="G684" s="10" t="inlineStr">
        <is>
          <t>Fashion</t>
        </is>
      </c>
      <c r="H684" s="10" t="inlineStr">
        <is>
          <t>Celana Chino</t>
        </is>
      </c>
      <c r="I684" s="10" t="n">
        <v>3</v>
      </c>
      <c r="J684" s="10" t="n">
        <v>195000</v>
      </c>
      <c r="K684" s="10" t="inlineStr">
        <is>
          <t>Rp 585.000</t>
        </is>
      </c>
    </row>
    <row r="685">
      <c r="A685" s="10" t="inlineStr">
        <is>
          <t>INV-70801</t>
        </is>
      </c>
      <c r="B685" s="10" t="inlineStr">
        <is>
          <t>25 Feb 2026</t>
        </is>
      </c>
      <c r="C685" s="10" t="inlineStr">
        <is>
          <t>C1224</t>
        </is>
      </c>
      <c r="D685" s="10" t="inlineStr">
        <is>
          <t>regular</t>
        </is>
      </c>
      <c r="E685" s="10" t="inlineStr">
        <is>
          <t>Tokopedia</t>
        </is>
      </c>
      <c r="F685" s="10" t="inlineStr">
        <is>
          <t>Sumatera</t>
        </is>
      </c>
      <c r="G685" s="10" t="inlineStr">
        <is>
          <t>Rumah Tangga</t>
        </is>
      </c>
      <c r="H685" s="10" t="inlineStr">
        <is>
          <t>Organizer Laci</t>
        </is>
      </c>
      <c r="I685" s="10" t="n">
        <v>4</v>
      </c>
      <c r="J685" s="10" t="n">
        <v>78000</v>
      </c>
      <c r="K685" s="10" t="inlineStr">
        <is>
          <t>Rp 312.000</t>
        </is>
      </c>
    </row>
    <row r="686">
      <c r="A686" s="10" t="inlineStr">
        <is>
          <t>INV-71122</t>
        </is>
      </c>
      <c r="B686" s="10" t="inlineStr">
        <is>
          <t>2025-05-24</t>
        </is>
      </c>
      <c r="C686" s="10" t="inlineStr">
        <is>
          <t>C1315</t>
        </is>
      </c>
      <c r="D686" s="10" t="inlineStr">
        <is>
          <t>regular</t>
        </is>
      </c>
      <c r="E686" s="10" t="inlineStr">
        <is>
          <t>TIKTOK SHOP</t>
        </is>
      </c>
      <c r="F686" s="10" t="inlineStr">
        <is>
          <t>Jawa Barat</t>
        </is>
      </c>
      <c r="G686" s="10" t="inlineStr">
        <is>
          <t>elektronik</t>
        </is>
      </c>
      <c r="H686" s="10" t="inlineStr">
        <is>
          <t>Power Bank 20K</t>
        </is>
      </c>
      <c r="I686" s="10" t="n">
        <v>1</v>
      </c>
      <c r="J686" s="10" t="n">
        <v>185000</v>
      </c>
      <c r="K686" s="10" t="n">
        <v>185000</v>
      </c>
    </row>
    <row r="687">
      <c r="A687" s="10" t="inlineStr">
        <is>
          <t>INV-70400</t>
        </is>
      </c>
      <c r="B687" s="10" t="inlineStr">
        <is>
          <t>2026-05-12</t>
        </is>
      </c>
      <c r="C687" s="10" t="inlineStr">
        <is>
          <t>C1112</t>
        </is>
      </c>
      <c r="D687" s="10" t="inlineStr">
        <is>
          <t>loyal</t>
        </is>
      </c>
      <c r="E687" s="10" t="inlineStr">
        <is>
          <t>Tokopedia</t>
        </is>
      </c>
      <c r="F687" s="10" t="inlineStr">
        <is>
          <t>Jawa Barat</t>
        </is>
      </c>
      <c r="G687" s="10" t="inlineStr">
        <is>
          <t>rumah tangga</t>
        </is>
      </c>
      <c r="H687" s="10" t="inlineStr">
        <is>
          <t>Set Wadah Kedap</t>
        </is>
      </c>
      <c r="I687" s="10" t="n">
        <v>1</v>
      </c>
      <c r="J687" s="10" t="n">
        <v>135000</v>
      </c>
      <c r="K687" s="10" t="n">
        <v>135000</v>
      </c>
    </row>
    <row r="688">
      <c r="A688" s="10" t="inlineStr">
        <is>
          <t>INV-70726</t>
        </is>
      </c>
      <c r="B688" s="10" t="inlineStr">
        <is>
          <t>18 Jul 2025</t>
        </is>
      </c>
      <c r="C688" s="10" t="inlineStr">
        <is>
          <t>C1203</t>
        </is>
      </c>
      <c r="D688" s="10" t="inlineStr">
        <is>
          <t>regular</t>
        </is>
      </c>
      <c r="E688" s="10" t="inlineStr">
        <is>
          <t xml:space="preserve">Shopee </t>
        </is>
      </c>
      <c r="F688" s="10" t="inlineStr">
        <is>
          <t>Jawa Barat</t>
        </is>
      </c>
      <c r="G688" s="10" t="inlineStr">
        <is>
          <t>Makanan</t>
        </is>
      </c>
      <c r="H688" s="10" t="inlineStr">
        <is>
          <t>Granola 500g</t>
        </is>
      </c>
      <c r="I688" s="10" t="n">
        <v>3</v>
      </c>
      <c r="J688" s="10" t="n">
        <v>92000</v>
      </c>
      <c r="K688" s="10" t="inlineStr">
        <is>
          <t>Rp 276.000</t>
        </is>
      </c>
    </row>
    <row r="689">
      <c r="A689" s="10" t="inlineStr">
        <is>
          <t>INV-71432</t>
        </is>
      </c>
      <c r="B689" s="10" t="inlineStr">
        <is>
          <t>2026-05-06</t>
        </is>
      </c>
      <c r="C689" s="10" t="inlineStr">
        <is>
          <t>C1394</t>
        </is>
      </c>
      <c r="D689" s="10" t="inlineStr">
        <is>
          <t>loyal</t>
        </is>
      </c>
      <c r="E689" s="10" t="inlineStr">
        <is>
          <t>Tokopedia</t>
        </is>
      </c>
      <c r="F689" s="10" t="inlineStr">
        <is>
          <t>Jabodetabek</t>
        </is>
      </c>
      <c r="G689" s="10" t="inlineStr">
        <is>
          <t>kecantikan</t>
        </is>
      </c>
      <c r="H689" s="10" t="inlineStr">
        <is>
          <t>Masker Wajah (5s)</t>
        </is>
      </c>
      <c r="I689" s="10" t="n">
        <v>1</v>
      </c>
      <c r="J689" s="10" t="n">
        <v>55000</v>
      </c>
      <c r="K689" s="10" t="n">
        <v>55000</v>
      </c>
    </row>
    <row r="690">
      <c r="A690" s="10" t="inlineStr">
        <is>
          <t>INV-71154</t>
        </is>
      </c>
      <c r="B690" s="10" t="inlineStr">
        <is>
          <t>21/03/2026</t>
        </is>
      </c>
      <c r="C690" s="10" t="inlineStr">
        <is>
          <t>C1326</t>
        </is>
      </c>
      <c r="D690" s="10" t="inlineStr">
        <is>
          <t>loyal</t>
        </is>
      </c>
      <c r="E690" s="10" t="inlineStr">
        <is>
          <t>TIKTOK SHOP</t>
        </is>
      </c>
      <c r="F690" s="10" t="inlineStr">
        <is>
          <t>Sumatera</t>
        </is>
      </c>
      <c r="G690" s="10" t="inlineStr">
        <is>
          <t>Elektronik</t>
        </is>
      </c>
      <c r="H690" s="10" t="inlineStr">
        <is>
          <t>Power Bank 20K</t>
        </is>
      </c>
      <c r="I690" s="10" t="n">
        <v>3</v>
      </c>
      <c r="J690" s="10" t="n">
        <v>185000</v>
      </c>
      <c r="K690" s="10" t="n">
        <v>555000</v>
      </c>
    </row>
    <row r="691">
      <c r="A691" s="10" t="inlineStr">
        <is>
          <t>INV-70106</t>
        </is>
      </c>
      <c r="B691" s="10" t="inlineStr">
        <is>
          <t>16 Oct 2025</t>
        </is>
      </c>
      <c r="C691" s="10" t="inlineStr">
        <is>
          <t>C1030</t>
        </is>
      </c>
      <c r="D691" s="10" t="inlineStr">
        <is>
          <t>onetime</t>
        </is>
      </c>
      <c r="E691" s="10" t="inlineStr">
        <is>
          <t>Tokopedia</t>
        </is>
      </c>
      <c r="F691" s="10" t="inlineStr">
        <is>
          <t>Jabodetabek</t>
        </is>
      </c>
      <c r="G691" s="10" t="inlineStr">
        <is>
          <t>Rumah Tangga</t>
        </is>
      </c>
      <c r="H691" s="10" t="inlineStr">
        <is>
          <t>Set Wadah Kedap</t>
        </is>
      </c>
      <c r="I691" s="10" t="n">
        <v>4</v>
      </c>
      <c r="J691" s="10" t="n">
        <v>135000</v>
      </c>
      <c r="K691" s="10" t="n">
        <v>540000</v>
      </c>
    </row>
    <row r="692">
      <c r="A692" s="10" t="inlineStr">
        <is>
          <t>INV-71300</t>
        </is>
      </c>
      <c r="B692" s="10" t="inlineStr">
        <is>
          <t>2025-02-05</t>
        </is>
      </c>
      <c r="C692" s="10" t="inlineStr">
        <is>
          <t>C1361</t>
        </is>
      </c>
      <c r="D692" s="10" t="inlineStr">
        <is>
          <t>champion</t>
        </is>
      </c>
      <c r="E692" s="10" t="inlineStr">
        <is>
          <t>tiktok shop</t>
        </is>
      </c>
      <c r="F692" s="10" t="inlineStr">
        <is>
          <t>Jawa Timur</t>
        </is>
      </c>
      <c r="G692" s="10" t="inlineStr">
        <is>
          <t>Fashion</t>
        </is>
      </c>
      <c r="H692" s="10" t="inlineStr">
        <is>
          <t>Kaos Premium</t>
        </is>
      </c>
      <c r="I692" s="10" t="n">
        <v>1</v>
      </c>
      <c r="J692" s="10" t="n">
        <v>95000</v>
      </c>
      <c r="K692" s="10" t="n">
        <v>95000</v>
      </c>
    </row>
    <row r="693">
      <c r="A693" s="10" t="inlineStr">
        <is>
          <t>INV-71099</t>
        </is>
      </c>
      <c r="B693" s="10" t="inlineStr">
        <is>
          <t>2025-07-10</t>
        </is>
      </c>
      <c r="C693" s="10" t="inlineStr">
        <is>
          <t>C1308</t>
        </is>
      </c>
      <c r="D693" s="10" t="inlineStr">
        <is>
          <t>onetime</t>
        </is>
      </c>
      <c r="E693" s="10" t="inlineStr">
        <is>
          <t>Offline Store</t>
        </is>
      </c>
      <c r="F693" s="10" t="inlineStr">
        <is>
          <t>Jawa Tengah</t>
        </is>
      </c>
      <c r="G693" s="10" t="inlineStr">
        <is>
          <t>elektronik</t>
        </is>
      </c>
      <c r="H693" s="10" t="inlineStr">
        <is>
          <t>Power Bank 20K</t>
        </is>
      </c>
      <c r="I693" s="10" t="n">
        <v>3</v>
      </c>
      <c r="J693" s="10" t="n">
        <v>185000</v>
      </c>
      <c r="K693" s="10" t="n">
        <v>555000</v>
      </c>
    </row>
    <row r="694">
      <c r="A694" s="10" t="inlineStr">
        <is>
          <t>INV-70915</t>
        </is>
      </c>
      <c r="B694" s="10" t="inlineStr">
        <is>
          <t>2025-12-27</t>
        </is>
      </c>
      <c r="C694" s="10" t="inlineStr">
        <is>
          <t>C1258</t>
        </is>
      </c>
      <c r="D694" s="10" t="inlineStr">
        <is>
          <t>regular</t>
        </is>
      </c>
      <c r="E694" s="10" t="inlineStr">
        <is>
          <t>TikTok Shop</t>
        </is>
      </c>
      <c r="F694" s="10" t="inlineStr">
        <is>
          <t>Sumatera</t>
        </is>
      </c>
      <c r="G694" s="10" t="inlineStr">
        <is>
          <t>Elektronik</t>
        </is>
      </c>
      <c r="H694" s="10" t="inlineStr">
        <is>
          <t>Smartwatch</t>
        </is>
      </c>
      <c r="I694" s="10" t="n">
        <v>1</v>
      </c>
      <c r="J694" s="10" t="n">
        <v>450000</v>
      </c>
      <c r="K694" s="10" t="n">
        <v>450000</v>
      </c>
    </row>
    <row r="695">
      <c r="A695" s="10" t="inlineStr">
        <is>
          <t>INV-71036</t>
        </is>
      </c>
      <c r="B695" s="10" t="inlineStr">
        <is>
          <t>2025-04-05</t>
        </is>
      </c>
      <c r="C695" s="10" t="inlineStr">
        <is>
          <t>C1294</t>
        </is>
      </c>
      <c r="D695" s="10" t="inlineStr">
        <is>
          <t>loyal</t>
        </is>
      </c>
      <c r="E695" s="10" t="inlineStr">
        <is>
          <t>Tokopedia</t>
        </is>
      </c>
      <c r="F695" s="10" t="inlineStr">
        <is>
          <t>Sumatera</t>
        </is>
      </c>
      <c r="G695" s="10" t="inlineStr">
        <is>
          <t>Elektronik</t>
        </is>
      </c>
      <c r="H695" s="10" t="inlineStr">
        <is>
          <t>Earbuds TWS</t>
        </is>
      </c>
      <c r="I695" s="10" t="n">
        <v>4</v>
      </c>
      <c r="J695" s="10" t="n">
        <v>265000</v>
      </c>
      <c r="K695" s="10" t="n">
        <v>1060000</v>
      </c>
    </row>
    <row r="696">
      <c r="A696" s="10" t="inlineStr">
        <is>
          <t>INV-70643</t>
        </is>
      </c>
      <c r="B696" s="10" t="inlineStr">
        <is>
          <t>2026-01-19</t>
        </is>
      </c>
      <c r="C696" s="10" t="inlineStr">
        <is>
          <t>C1174</t>
        </is>
      </c>
      <c r="D696" s="10" t="inlineStr">
        <is>
          <t>loyal</t>
        </is>
      </c>
      <c r="E696" s="10" t="inlineStr">
        <is>
          <t>Shopee</t>
        </is>
      </c>
      <c r="F696" s="10" t="inlineStr">
        <is>
          <t>Jawa Barat</t>
        </is>
      </c>
      <c r="G696" s="10" t="inlineStr">
        <is>
          <t>Rumah Tangga</t>
        </is>
      </c>
      <c r="H696" s="10" t="inlineStr">
        <is>
          <t>Set Wadah Kedap</t>
        </is>
      </c>
      <c r="I696" s="10" t="n">
        <v>1</v>
      </c>
      <c r="J696" s="10" t="n">
        <v>135000</v>
      </c>
      <c r="K696" s="10" t="n">
        <v>135000</v>
      </c>
    </row>
    <row r="697">
      <c r="A697" s="10" t="inlineStr">
        <is>
          <t>INV-70728</t>
        </is>
      </c>
      <c r="B697" s="10" t="inlineStr">
        <is>
          <t>08 Apr 2026</t>
        </is>
      </c>
      <c r="C697" s="10" t="inlineStr">
        <is>
          <t>C1205</t>
        </is>
      </c>
      <c r="D697" s="10" t="inlineStr">
        <is>
          <t>occasional</t>
        </is>
      </c>
      <c r="E697" s="10" t="inlineStr">
        <is>
          <t xml:space="preserve">Offline store </t>
        </is>
      </c>
      <c r="F697" s="10" t="inlineStr">
        <is>
          <t>Jawa Tengah</t>
        </is>
      </c>
      <c r="G697" s="10" t="inlineStr">
        <is>
          <t>Fashion</t>
        </is>
      </c>
      <c r="H697" s="10" t="inlineStr">
        <is>
          <t>Celana Chino</t>
        </is>
      </c>
      <c r="I697" s="10" t="n">
        <v>4</v>
      </c>
      <c r="J697" s="10" t="n">
        <v>195000</v>
      </c>
      <c r="K697" s="10" t="n">
        <v>780000</v>
      </c>
    </row>
    <row r="698">
      <c r="A698" s="10" t="inlineStr">
        <is>
          <t>INV-71381</t>
        </is>
      </c>
      <c r="B698" s="10" t="inlineStr">
        <is>
          <t>2026-01-23</t>
        </is>
      </c>
      <c r="C698" s="10" t="inlineStr">
        <is>
          <t>C1382</t>
        </is>
      </c>
      <c r="D698" s="10" t="inlineStr">
        <is>
          <t>regular</t>
        </is>
      </c>
      <c r="E698" s="10" t="inlineStr">
        <is>
          <t>Tokopedia</t>
        </is>
      </c>
      <c r="F698" s="10" t="inlineStr">
        <is>
          <t>Jawa Tengah</t>
        </is>
      </c>
      <c r="G698" s="10" t="inlineStr">
        <is>
          <t>Kecantikan</t>
        </is>
      </c>
      <c r="H698" s="10" t="inlineStr">
        <is>
          <t>Masker Wajah (5s)</t>
        </is>
      </c>
      <c r="I698" s="10" t="n">
        <v>3</v>
      </c>
      <c r="J698" s="10" t="n">
        <v>55000</v>
      </c>
      <c r="K698" s="10" t="inlineStr">
        <is>
          <t>Rp 165.000</t>
        </is>
      </c>
    </row>
    <row r="699">
      <c r="A699" s="10" t="inlineStr">
        <is>
          <t>INV-71098</t>
        </is>
      </c>
      <c r="B699" s="10" t="inlineStr">
        <is>
          <t>2025-01-26</t>
        </is>
      </c>
      <c r="C699" s="10" t="inlineStr">
        <is>
          <t>C1307</t>
        </is>
      </c>
      <c r="D699" s="10" t="inlineStr">
        <is>
          <t>onetime</t>
        </is>
      </c>
      <c r="E699" s="10" t="inlineStr">
        <is>
          <t>SHOPEE</t>
        </is>
      </c>
      <c r="F699" s="10" t="inlineStr">
        <is>
          <t>Jabodetabek</t>
        </is>
      </c>
      <c r="G699" s="10" t="inlineStr">
        <is>
          <t>Rumah Tangga</t>
        </is>
      </c>
      <c r="H699" s="10" t="inlineStr">
        <is>
          <t>Set Wadah Kedap</t>
        </is>
      </c>
      <c r="I699" s="10" t="n">
        <v>3</v>
      </c>
      <c r="J699" s="10" t="n">
        <v>135000</v>
      </c>
      <c r="K699" s="10" t="inlineStr">
        <is>
          <t>Rp 405.000</t>
        </is>
      </c>
    </row>
    <row r="700">
      <c r="A700" s="10" t="inlineStr">
        <is>
          <t>INV-70667</t>
        </is>
      </c>
      <c r="B700" s="10" t="inlineStr">
        <is>
          <t>2026-03-23</t>
        </is>
      </c>
      <c r="C700" s="10" t="inlineStr">
        <is>
          <t>C1183</t>
        </is>
      </c>
      <c r="D700" s="10" t="inlineStr">
        <is>
          <t>regular</t>
        </is>
      </c>
      <c r="E700" s="10" t="inlineStr">
        <is>
          <t>Shopee</t>
        </is>
      </c>
      <c r="F700" s="10" t="inlineStr">
        <is>
          <t>Jabodetabek</t>
        </is>
      </c>
      <c r="G700" s="10" t="inlineStr">
        <is>
          <t>Rumah Tangga</t>
        </is>
      </c>
      <c r="H700" s="10" t="inlineStr">
        <is>
          <t>Set Wadah Kedap</t>
        </is>
      </c>
      <c r="I700" s="10" t="n">
        <v>2</v>
      </c>
      <c r="J700" s="10" t="n">
        <v>135000</v>
      </c>
      <c r="K700" s="10" t="n">
        <v>270000</v>
      </c>
    </row>
    <row r="701">
      <c r="A701" s="10" t="inlineStr">
        <is>
          <t>INV-70511</t>
        </is>
      </c>
      <c r="B701" s="10" t="inlineStr">
        <is>
          <t>12/08/2025</t>
        </is>
      </c>
      <c r="C701" s="10" t="inlineStr">
        <is>
          <t>C1142</t>
        </is>
      </c>
      <c r="D701" s="10" t="inlineStr">
        <is>
          <t>champion</t>
        </is>
      </c>
      <c r="E701" s="10" t="inlineStr">
        <is>
          <t>SHOPEE</t>
        </is>
      </c>
      <c r="F701" s="10" t="inlineStr">
        <is>
          <t>Jabodetabek</t>
        </is>
      </c>
      <c r="G701" s="10" t="inlineStr">
        <is>
          <t>Makanan</t>
        </is>
      </c>
      <c r="H701" s="10" t="inlineStr">
        <is>
          <t>Teh Herbal (15s)</t>
        </is>
      </c>
      <c r="I701" s="10" t="n">
        <v>3</v>
      </c>
      <c r="J701" s="10" t="n">
        <v>58000</v>
      </c>
      <c r="K701" s="10" t="inlineStr">
        <is>
          <t>Rp 174.000</t>
        </is>
      </c>
    </row>
    <row r="702">
      <c r="A702" s="10" t="inlineStr">
        <is>
          <t>INV-70755</t>
        </is>
      </c>
      <c r="B702" s="10" t="inlineStr">
        <is>
          <t>05/03/2026</t>
        </is>
      </c>
      <c r="C702" s="10" t="inlineStr">
        <is>
          <t>C1211</t>
        </is>
      </c>
      <c r="D702" s="10" t="inlineStr">
        <is>
          <t>regular</t>
        </is>
      </c>
      <c r="E702" s="10" t="inlineStr">
        <is>
          <t>TikTok Shop</t>
        </is>
      </c>
      <c r="F702" s="10" t="inlineStr">
        <is>
          <t>Jawa Barat</t>
        </is>
      </c>
      <c r="G702" s="10" t="inlineStr">
        <is>
          <t>Elektronik</t>
        </is>
      </c>
      <c r="H702" s="10" t="inlineStr">
        <is>
          <t>Webcam HD</t>
        </is>
      </c>
      <c r="I702" s="10" t="n">
        <v>1</v>
      </c>
      <c r="J702" s="10" t="n">
        <v>210000</v>
      </c>
      <c r="K702" s="10" t="n">
        <v>210000</v>
      </c>
    </row>
    <row r="703">
      <c r="A703" s="10" t="inlineStr">
        <is>
          <t>INV-71218</t>
        </is>
      </c>
      <c r="B703" s="10" t="inlineStr">
        <is>
          <t>2025-10-09</t>
        </is>
      </c>
      <c r="C703" s="10" t="inlineStr">
        <is>
          <t>C1346</t>
        </is>
      </c>
      <c r="D703" s="10" t="inlineStr">
        <is>
          <t>regular</t>
        </is>
      </c>
      <c r="E703" s="10" t="inlineStr">
        <is>
          <t>Tokopedia</t>
        </is>
      </c>
      <c r="F703" s="10" t="inlineStr">
        <is>
          <t>Jabodetabek</t>
        </is>
      </c>
      <c r="G703" s="10" t="inlineStr">
        <is>
          <t>Elektronik</t>
        </is>
      </c>
      <c r="H703" s="10" t="inlineStr">
        <is>
          <t>Webcam HD</t>
        </is>
      </c>
      <c r="I703" s="10" t="n">
        <v>3</v>
      </c>
      <c r="J703" s="10" t="n">
        <v>210000</v>
      </c>
      <c r="K703" s="10" t="n">
        <v>630000</v>
      </c>
    </row>
    <row r="704">
      <c r="A704" s="10" t="inlineStr">
        <is>
          <t>INV-70944</t>
        </is>
      </c>
      <c r="B704" s="10" t="inlineStr">
        <is>
          <t>16/03/2026</t>
        </is>
      </c>
      <c r="C704" s="10" t="inlineStr">
        <is>
          <t>C1267</t>
        </is>
      </c>
      <c r="D704" s="10" t="inlineStr">
        <is>
          <t>occasional</t>
        </is>
      </c>
      <c r="E704" s="10" t="inlineStr">
        <is>
          <t>Shopee</t>
        </is>
      </c>
      <c r="F704" s="10" t="inlineStr">
        <is>
          <t>Jabodetabek</t>
        </is>
      </c>
      <c r="G704" s="10" t="inlineStr">
        <is>
          <t>Rumah Tangga</t>
        </is>
      </c>
      <c r="H704" s="10" t="inlineStr">
        <is>
          <t>Organizer Laci</t>
        </is>
      </c>
      <c r="I704" s="10" t="n">
        <v>4</v>
      </c>
      <c r="J704" s="10" t="n">
        <v>78000</v>
      </c>
      <c r="K704" s="10" t="inlineStr">
        <is>
          <t>Rp 312.000</t>
        </is>
      </c>
    </row>
    <row r="705">
      <c r="A705" s="10" t="inlineStr">
        <is>
          <t>INV-71310</t>
        </is>
      </c>
      <c r="B705" s="10" t="inlineStr">
        <is>
          <t>2025-07-06</t>
        </is>
      </c>
      <c r="C705" s="10" t="inlineStr">
        <is>
          <t>C1364</t>
        </is>
      </c>
      <c r="D705" s="10" t="inlineStr">
        <is>
          <t>champion</t>
        </is>
      </c>
      <c r="E705" s="10" t="inlineStr">
        <is>
          <t>TIKTOK SHOP</t>
        </is>
      </c>
      <c r="F705" s="10" t="inlineStr">
        <is>
          <t>Jabodetabek</t>
        </is>
      </c>
      <c r="G705" s="10" t="inlineStr">
        <is>
          <t>Rumah Tangga</t>
        </is>
      </c>
      <c r="H705" s="10" t="inlineStr">
        <is>
          <t>Set Wadah Kedap</t>
        </is>
      </c>
      <c r="I705" s="10" t="n">
        <v>4</v>
      </c>
      <c r="J705" s="10" t="n">
        <v>135000</v>
      </c>
      <c r="K705" s="10" t="n">
        <v>540000</v>
      </c>
    </row>
    <row r="706">
      <c r="A706" s="10" t="inlineStr">
        <is>
          <t>INV-71235</t>
        </is>
      </c>
      <c r="B706" s="10" t="inlineStr">
        <is>
          <t>2025-12-15</t>
        </is>
      </c>
      <c r="C706" s="10" t="inlineStr">
        <is>
          <t>C1349</t>
        </is>
      </c>
      <c r="D706" s="10" t="inlineStr">
        <is>
          <t>champion</t>
        </is>
      </c>
      <c r="E706" s="10" t="inlineStr">
        <is>
          <t>Offline Store</t>
        </is>
      </c>
      <c r="F706" s="10" t="inlineStr">
        <is>
          <t>Jawa Timur</t>
        </is>
      </c>
      <c r="G706" s="10" t="inlineStr">
        <is>
          <t>Fashion</t>
        </is>
      </c>
      <c r="H706" s="10" t="inlineStr">
        <is>
          <t>Kaos Premium</t>
        </is>
      </c>
      <c r="I706" s="10" t="n">
        <v>3</v>
      </c>
      <c r="J706" s="10" t="n">
        <v>95000</v>
      </c>
      <c r="K706" s="10" t="n">
        <v>285000</v>
      </c>
    </row>
    <row r="707">
      <c r="A707" s="10" t="inlineStr">
        <is>
          <t>INV-71215</t>
        </is>
      </c>
      <c r="B707" s="10" t="inlineStr">
        <is>
          <t>03 Feb 2026</t>
        </is>
      </c>
      <c r="C707" s="10" t="inlineStr">
        <is>
          <t>C1346</t>
        </is>
      </c>
      <c r="D707" s="10" t="inlineStr">
        <is>
          <t>regular</t>
        </is>
      </c>
      <c r="E707" s="10" t="inlineStr">
        <is>
          <t>Shopee</t>
        </is>
      </c>
      <c r="F707" s="10" t="inlineStr">
        <is>
          <t>Jabodetabek</t>
        </is>
      </c>
      <c r="G707" s="10" t="inlineStr">
        <is>
          <t>Elektronik</t>
        </is>
      </c>
      <c r="H707" s="10" t="inlineStr">
        <is>
          <t>Earbuds TWS</t>
        </is>
      </c>
      <c r="I707" s="10" t="n">
        <v>2</v>
      </c>
      <c r="J707" s="10" t="n">
        <v>265000</v>
      </c>
      <c r="K707" s="10" t="n">
        <v>530000</v>
      </c>
    </row>
    <row r="708">
      <c r="A708" s="10" t="inlineStr">
        <is>
          <t>INV-70475</t>
        </is>
      </c>
      <c r="B708" s="10" t="inlineStr">
        <is>
          <t>2026-03-26</t>
        </is>
      </c>
      <c r="C708" s="10" t="inlineStr">
        <is>
          <t>C1136</t>
        </is>
      </c>
      <c r="D708" s="10" t="inlineStr">
        <is>
          <t>occasional</t>
        </is>
      </c>
      <c r="E708" s="10" t="inlineStr">
        <is>
          <t>Tokopedia</t>
        </is>
      </c>
      <c r="F708" s="10" t="inlineStr">
        <is>
          <t>Jawa Barat</t>
        </is>
      </c>
      <c r="G708" s="10" t="inlineStr">
        <is>
          <t>Kecantikan</t>
        </is>
      </c>
      <c r="H708" s="10" t="inlineStr">
        <is>
          <t>Masker Wajah (5s)</t>
        </is>
      </c>
      <c r="I708" s="10" t="n">
        <v>4</v>
      </c>
      <c r="J708" s="10" t="n">
        <v>55000</v>
      </c>
      <c r="K708" s="10" t="n">
        <v>220000</v>
      </c>
    </row>
    <row r="709">
      <c r="A709" s="10" t="inlineStr">
        <is>
          <t>INV-70693</t>
        </is>
      </c>
      <c r="B709" s="10" t="inlineStr">
        <is>
          <t>2026-01-21</t>
        </is>
      </c>
      <c r="C709" s="10" t="inlineStr">
        <is>
          <t>C1192</t>
        </is>
      </c>
      <c r="D709" s="10" t="inlineStr">
        <is>
          <t>regular</t>
        </is>
      </c>
      <c r="E709" s="10" t="inlineStr">
        <is>
          <t>Shopee</t>
        </is>
      </c>
      <c r="F709" s="10" t="inlineStr">
        <is>
          <t>Jawa Timur</t>
        </is>
      </c>
      <c r="G709" s="10" t="inlineStr">
        <is>
          <t>Kecantikan</t>
        </is>
      </c>
      <c r="H709" s="10" t="inlineStr">
        <is>
          <t>Masker Wajah (5s)</t>
        </is>
      </c>
      <c r="I709" s="10" t="n">
        <v>1</v>
      </c>
      <c r="J709" s="10" t="n">
        <v>55000</v>
      </c>
      <c r="K709" s="10" t="n">
        <v>55000</v>
      </c>
    </row>
    <row r="710">
      <c r="A710" s="10" t="inlineStr">
        <is>
          <t>INV-70151</t>
        </is>
      </c>
      <c r="B710" s="10" t="inlineStr">
        <is>
          <t>2025-03-27</t>
        </is>
      </c>
      <c r="C710" s="10" t="inlineStr">
        <is>
          <t>C1044</t>
        </is>
      </c>
      <c r="D710" s="10" t="inlineStr">
        <is>
          <t>regular</t>
        </is>
      </c>
      <c r="E710" s="10" t="inlineStr">
        <is>
          <t>shopee</t>
        </is>
      </c>
      <c r="F710" s="10" t="inlineStr">
        <is>
          <t>Jabodetabek</t>
        </is>
      </c>
      <c r="G710" s="10" t="inlineStr">
        <is>
          <t>Fashion</t>
        </is>
      </c>
      <c r="H710" s="10" t="inlineStr">
        <is>
          <t>Celana Chino</t>
        </is>
      </c>
      <c r="I710" s="10" t="n">
        <v>1</v>
      </c>
      <c r="J710" s="10" t="n">
        <v>195000</v>
      </c>
      <c r="K710" s="10" t="inlineStr">
        <is>
          <t>Rp 195.000</t>
        </is>
      </c>
    </row>
    <row r="711">
      <c r="A711" s="10" t="inlineStr">
        <is>
          <t>INV-70928</t>
        </is>
      </c>
      <c r="B711" s="10" t="inlineStr">
        <is>
          <t>02/11/2025</t>
        </is>
      </c>
      <c r="C711" s="10" t="inlineStr">
        <is>
          <t>C1261</t>
        </is>
      </c>
      <c r="D711" s="10" t="inlineStr">
        <is>
          <t>champion</t>
        </is>
      </c>
      <c r="E711" s="10" t="inlineStr">
        <is>
          <t>Shopee</t>
        </is>
      </c>
      <c r="F711" s="10" t="inlineStr">
        <is>
          <t>Jawa Tengah</t>
        </is>
      </c>
      <c r="G711" s="10" t="inlineStr">
        <is>
          <t>Fashion</t>
        </is>
      </c>
      <c r="H711" s="10" t="inlineStr">
        <is>
          <t>Kemeja Linen</t>
        </is>
      </c>
      <c r="I711" s="10" t="n">
        <v>4</v>
      </c>
      <c r="J711" s="10" t="n">
        <v>185000</v>
      </c>
      <c r="K711" s="10" t="n">
        <v>740000</v>
      </c>
    </row>
    <row r="712">
      <c r="A712" s="10" t="inlineStr">
        <is>
          <t>INV-70413</t>
        </is>
      </c>
      <c r="B712" s="10" t="inlineStr">
        <is>
          <t>2026-01-16</t>
        </is>
      </c>
      <c r="C712" s="10" t="inlineStr">
        <is>
          <t>C1114</t>
        </is>
      </c>
      <c r="D712" s="10" t="inlineStr">
        <is>
          <t>occasional</t>
        </is>
      </c>
      <c r="E712" s="10" t="inlineStr">
        <is>
          <t>Tokopedia</t>
        </is>
      </c>
      <c r="F712" s="10" t="n"/>
      <c r="G712" s="10" t="inlineStr">
        <is>
          <t>rumah tangga</t>
        </is>
      </c>
      <c r="H712" s="10" t="inlineStr">
        <is>
          <t>Set Wadah Kedap</t>
        </is>
      </c>
      <c r="I712" s="10" t="n">
        <v>2</v>
      </c>
      <c r="J712" s="10" t="n">
        <v>135000</v>
      </c>
      <c r="K712" s="10" t="n">
        <v>270000</v>
      </c>
    </row>
    <row r="713">
      <c r="A713" s="10" t="inlineStr">
        <is>
          <t>INV-70225</t>
        </is>
      </c>
      <c r="B713" s="10" t="inlineStr">
        <is>
          <t>2025-06-05</t>
        </is>
      </c>
      <c r="C713" s="10" t="inlineStr">
        <is>
          <t>C1064</t>
        </is>
      </c>
      <c r="D713" s="10" t="inlineStr">
        <is>
          <t>loyal</t>
        </is>
      </c>
      <c r="E713" s="10" t="inlineStr">
        <is>
          <t>Shopee</t>
        </is>
      </c>
      <c r="F713" s="10" t="inlineStr">
        <is>
          <t>Jabodetabek</t>
        </is>
      </c>
      <c r="G713" s="10" t="inlineStr">
        <is>
          <t>Rumah Tangga</t>
        </is>
      </c>
      <c r="H713" s="10" t="inlineStr">
        <is>
          <t>Organizer Laci</t>
        </is>
      </c>
      <c r="I713" s="10" t="n">
        <v>1</v>
      </c>
      <c r="J713" s="10" t="n">
        <v>78000</v>
      </c>
      <c r="K713" s="10" t="inlineStr">
        <is>
          <t>Rp 78.000</t>
        </is>
      </c>
    </row>
    <row r="714">
      <c r="A714" s="10" t="inlineStr">
        <is>
          <t>INV-70311</t>
        </is>
      </c>
      <c r="B714" s="10" t="inlineStr">
        <is>
          <t>2026-06-27</t>
        </is>
      </c>
      <c r="C714" s="10" t="inlineStr">
        <is>
          <t>C1088</t>
        </is>
      </c>
      <c r="D714" s="10" t="inlineStr">
        <is>
          <t>champion</t>
        </is>
      </c>
      <c r="E714" s="10" t="inlineStr">
        <is>
          <t>Offline Store</t>
        </is>
      </c>
      <c r="F714" s="10" t="inlineStr">
        <is>
          <t>Jawa Tengah</t>
        </is>
      </c>
      <c r="G714" s="10" t="inlineStr">
        <is>
          <t>Rumah Tangga</t>
        </is>
      </c>
      <c r="H714" s="10" t="inlineStr">
        <is>
          <t>Organizer Laci</t>
        </is>
      </c>
      <c r="I714" s="10" t="n">
        <v>2</v>
      </c>
      <c r="J714" s="10" t="n">
        <v>78000</v>
      </c>
      <c r="K714" s="10" t="n">
        <v>156000</v>
      </c>
    </row>
    <row r="715">
      <c r="A715" s="10" t="inlineStr">
        <is>
          <t>INV-70225</t>
        </is>
      </c>
      <c r="B715" s="10" t="inlineStr">
        <is>
          <t>2025-06-05</t>
        </is>
      </c>
      <c r="C715" s="10" t="inlineStr">
        <is>
          <t>C1064</t>
        </is>
      </c>
      <c r="D715" s="10" t="inlineStr">
        <is>
          <t>loyal</t>
        </is>
      </c>
      <c r="E715" s="10" t="inlineStr">
        <is>
          <t>Shopee</t>
        </is>
      </c>
      <c r="F715" s="10" t="inlineStr">
        <is>
          <t>Jabodetabek</t>
        </is>
      </c>
      <c r="G715" s="10" t="inlineStr">
        <is>
          <t>Rumah Tangga</t>
        </is>
      </c>
      <c r="H715" s="10" t="inlineStr">
        <is>
          <t>Organizer Laci</t>
        </is>
      </c>
      <c r="I715" s="10" t="n">
        <v>1</v>
      </c>
      <c r="J715" s="10" t="n">
        <v>78000</v>
      </c>
      <c r="K715" s="10" t="inlineStr">
        <is>
          <t>Rp 78.000</t>
        </is>
      </c>
    </row>
    <row r="716">
      <c r="A716" s="10" t="inlineStr">
        <is>
          <t>INV-71171</t>
        </is>
      </c>
      <c r="B716" s="10" t="inlineStr">
        <is>
          <t>03 Mar 2026</t>
        </is>
      </c>
      <c r="C716" s="10" t="inlineStr">
        <is>
          <t>C1332</t>
        </is>
      </c>
      <c r="D716" s="10" t="inlineStr">
        <is>
          <t>occasional</t>
        </is>
      </c>
      <c r="E716" s="10" t="inlineStr">
        <is>
          <t>TikTok Shop</t>
        </is>
      </c>
      <c r="F716" s="10" t="inlineStr">
        <is>
          <t>Lainnya</t>
        </is>
      </c>
      <c r="G716" s="10" t="inlineStr">
        <is>
          <t>Rumah Tangga</t>
        </is>
      </c>
      <c r="H716" s="10" t="inlineStr">
        <is>
          <t>Set Wadah Kedap</t>
        </is>
      </c>
      <c r="I716" s="10" t="n">
        <v>2</v>
      </c>
      <c r="J716" s="10" t="n">
        <v>135000</v>
      </c>
      <c r="K716" s="10" t="n">
        <v>270000</v>
      </c>
    </row>
    <row r="717">
      <c r="A717" s="10" t="inlineStr">
        <is>
          <t>INV-70532</t>
        </is>
      </c>
      <c r="B717" s="10" t="inlineStr">
        <is>
          <t>2025-02-18</t>
        </is>
      </c>
      <c r="C717" s="10" t="inlineStr">
        <is>
          <t>C1147</t>
        </is>
      </c>
      <c r="D717" s="10" t="inlineStr">
        <is>
          <t>regular</t>
        </is>
      </c>
      <c r="E717" s="10" t="inlineStr">
        <is>
          <t xml:space="preserve"> tokopedia</t>
        </is>
      </c>
      <c r="F717" s="10" t="inlineStr">
        <is>
          <t>Jawa Timur</t>
        </is>
      </c>
      <c r="G717" s="10" t="inlineStr">
        <is>
          <t>kecantikan</t>
        </is>
      </c>
      <c r="H717" s="10" t="inlineStr">
        <is>
          <t>Masker Wajah (5s)</t>
        </is>
      </c>
      <c r="I717" s="10" t="n">
        <v>3</v>
      </c>
      <c r="J717" s="10" t="n">
        <v>55000</v>
      </c>
      <c r="K717" s="10" t="inlineStr">
        <is>
          <t>Rp 165.000</t>
        </is>
      </c>
    </row>
    <row r="718">
      <c r="A718" s="10" t="inlineStr">
        <is>
          <t>INV-70582</t>
        </is>
      </c>
      <c r="B718" s="10" t="inlineStr">
        <is>
          <t>2026-04-09</t>
        </is>
      </c>
      <c r="C718" s="10" t="inlineStr">
        <is>
          <t>C1157</t>
        </is>
      </c>
      <c r="D718" s="10" t="inlineStr">
        <is>
          <t>loyal</t>
        </is>
      </c>
      <c r="E718" s="10" t="inlineStr">
        <is>
          <t>Shopee</t>
        </is>
      </c>
      <c r="F718" s="10" t="inlineStr">
        <is>
          <t>Jabodetabek</t>
        </is>
      </c>
      <c r="G718" s="10" t="inlineStr">
        <is>
          <t>rumah tangga</t>
        </is>
      </c>
      <c r="H718" s="10" t="inlineStr">
        <is>
          <t>Set Wadah Kedap</t>
        </is>
      </c>
      <c r="I718" s="10" t="n">
        <v>1</v>
      </c>
      <c r="J718" s="10" t="n">
        <v>135000</v>
      </c>
      <c r="K718" s="10" t="n">
        <v>135000</v>
      </c>
    </row>
    <row r="719">
      <c r="A719" s="10" t="inlineStr">
        <is>
          <t>INV-71120</t>
        </is>
      </c>
      <c r="B719" s="10" t="inlineStr">
        <is>
          <t>09 Jan 2025</t>
        </is>
      </c>
      <c r="C719" s="10" t="inlineStr">
        <is>
          <t>C1313</t>
        </is>
      </c>
      <c r="D719" s="10" t="inlineStr">
        <is>
          <t>regular</t>
        </is>
      </c>
      <c r="E719" s="10" t="inlineStr">
        <is>
          <t>Tokopedia</t>
        </is>
      </c>
      <c r="F719" s="10" t="inlineStr">
        <is>
          <t>Jabodetabek</t>
        </is>
      </c>
      <c r="G719" s="10" t="inlineStr">
        <is>
          <t>Rumah Tangga</t>
        </is>
      </c>
      <c r="H719" s="10" t="inlineStr">
        <is>
          <t>Set Wadah Kedap</t>
        </is>
      </c>
      <c r="I719" s="10" t="n">
        <v>1</v>
      </c>
      <c r="J719" s="10" t="n">
        <v>135000</v>
      </c>
      <c r="K719" s="10" t="n">
        <v>135000</v>
      </c>
    </row>
    <row r="720">
      <c r="A720" s="10" t="inlineStr">
        <is>
          <t>INV-70899</t>
        </is>
      </c>
      <c r="B720" s="10" t="inlineStr">
        <is>
          <t>16/07/2025</t>
        </is>
      </c>
      <c r="C720" s="10" t="inlineStr">
        <is>
          <t>C1252</t>
        </is>
      </c>
      <c r="D720" s="10" t="inlineStr">
        <is>
          <t>regular</t>
        </is>
      </c>
      <c r="E720" s="10" t="inlineStr">
        <is>
          <t>TikTok Shop</t>
        </is>
      </c>
      <c r="F720" s="10" t="inlineStr">
        <is>
          <t>Jawa Timur</t>
        </is>
      </c>
      <c r="G720" s="10" t="inlineStr">
        <is>
          <t>rumah tangga</t>
        </is>
      </c>
      <c r="H720" s="10" t="inlineStr">
        <is>
          <t>Set Wadah Kedap</t>
        </is>
      </c>
      <c r="I720" s="10" t="n">
        <v>4</v>
      </c>
      <c r="J720" s="10" t="n">
        <v>135000</v>
      </c>
      <c r="K720" s="10" t="n">
        <v>540000</v>
      </c>
    </row>
    <row r="721">
      <c r="A721" s="10" t="inlineStr">
        <is>
          <t>INV-70259</t>
        </is>
      </c>
      <c r="B721" s="10" t="inlineStr">
        <is>
          <t>2025-05-09</t>
        </is>
      </c>
      <c r="C721" s="10" t="inlineStr">
        <is>
          <t>C1072</t>
        </is>
      </c>
      <c r="D721" s="10" t="inlineStr">
        <is>
          <t>champion</t>
        </is>
      </c>
      <c r="E721" s="10" t="inlineStr">
        <is>
          <t>Tokopedia</t>
        </is>
      </c>
      <c r="F721" s="10" t="inlineStr">
        <is>
          <t>Jawa Tengah</t>
        </is>
      </c>
      <c r="G721" s="10" t="inlineStr">
        <is>
          <t>Fashion</t>
        </is>
      </c>
      <c r="H721" s="10" t="inlineStr">
        <is>
          <t>Celana Chino</t>
        </is>
      </c>
      <c r="I721" s="10" t="n">
        <v>2</v>
      </c>
      <c r="J721" s="10" t="n">
        <v>195000</v>
      </c>
      <c r="K721" s="10" t="n">
        <v>390000</v>
      </c>
    </row>
    <row r="722">
      <c r="A722" s="10" t="inlineStr">
        <is>
          <t>INV-71241</t>
        </is>
      </c>
      <c r="B722" s="10" t="inlineStr">
        <is>
          <t>2025-10-07</t>
        </is>
      </c>
      <c r="C722" s="10" t="inlineStr">
        <is>
          <t>C1349</t>
        </is>
      </c>
      <c r="D722" s="10" t="inlineStr">
        <is>
          <t>champion</t>
        </is>
      </c>
      <c r="E722" s="10" t="inlineStr">
        <is>
          <t xml:space="preserve">Shopee </t>
        </is>
      </c>
      <c r="F722" s="10" t="inlineStr">
        <is>
          <t>Sumatera</t>
        </is>
      </c>
      <c r="G722" s="10" t="inlineStr">
        <is>
          <t>Makanan</t>
        </is>
      </c>
      <c r="H722" s="10" t="inlineStr">
        <is>
          <t>Granola 500g</t>
        </is>
      </c>
      <c r="I722" s="10" t="n">
        <v>1</v>
      </c>
      <c r="J722" s="10" t="n">
        <v>92000</v>
      </c>
      <c r="K722" s="10" t="n">
        <v>92000</v>
      </c>
    </row>
    <row r="723">
      <c r="A723" s="10" t="inlineStr">
        <is>
          <t>INV-70356</t>
        </is>
      </c>
      <c r="B723" s="10" t="inlineStr">
        <is>
          <t>2025-09-19</t>
        </is>
      </c>
      <c r="C723" s="10" t="inlineStr">
        <is>
          <t>C1097</t>
        </is>
      </c>
      <c r="D723" s="10" t="inlineStr">
        <is>
          <t>regular</t>
        </is>
      </c>
      <c r="E723" s="10" t="inlineStr">
        <is>
          <t>Shopee</t>
        </is>
      </c>
      <c r="F723" s="10" t="inlineStr">
        <is>
          <t>Jabodetabek</t>
        </is>
      </c>
      <c r="G723" s="10" t="inlineStr">
        <is>
          <t>rumah tangga</t>
        </is>
      </c>
      <c r="H723" s="10" t="inlineStr">
        <is>
          <t>Set Wadah Kedap</t>
        </is>
      </c>
      <c r="I723" s="10" t="n">
        <v>1</v>
      </c>
      <c r="J723" s="10" t="n">
        <v>135000</v>
      </c>
      <c r="K723" s="10" t="n">
        <v>135000</v>
      </c>
    </row>
    <row r="724">
      <c r="A724" s="10" t="inlineStr">
        <is>
          <t>INV-71022</t>
        </is>
      </c>
      <c r="B724" s="10" t="inlineStr">
        <is>
          <t>2026-05-16</t>
        </is>
      </c>
      <c r="C724" s="10" t="inlineStr">
        <is>
          <t>C1290</t>
        </is>
      </c>
      <c r="D724" s="10" t="inlineStr">
        <is>
          <t>loyal</t>
        </is>
      </c>
      <c r="E724" s="10" t="inlineStr">
        <is>
          <t>Shopee</t>
        </is>
      </c>
      <c r="F724" s="10" t="inlineStr">
        <is>
          <t>Jawa Tengah</t>
        </is>
      </c>
      <c r="G724" s="10" t="inlineStr">
        <is>
          <t>Kecantikan</t>
        </is>
      </c>
      <c r="H724" s="10" t="inlineStr">
        <is>
          <t>Masker Wajah (5s)</t>
        </is>
      </c>
      <c r="I724" s="10" t="n">
        <v>1</v>
      </c>
      <c r="J724" s="10" t="n">
        <v>55000</v>
      </c>
      <c r="K724" s="10" t="n">
        <v>55000</v>
      </c>
    </row>
    <row r="725">
      <c r="A725" s="10" t="inlineStr">
        <is>
          <t>INV-71477</t>
        </is>
      </c>
      <c r="B725" s="10" t="inlineStr">
        <is>
          <t>2026-06-24</t>
        </is>
      </c>
      <c r="C725" s="10" t="inlineStr">
        <is>
          <t>C1408</t>
        </is>
      </c>
      <c r="D725" s="10" t="inlineStr">
        <is>
          <t>regular</t>
        </is>
      </c>
      <c r="E725" s="10" t="inlineStr">
        <is>
          <t>Offline Store</t>
        </is>
      </c>
      <c r="F725" s="10" t="inlineStr">
        <is>
          <t>Jabodetabek</t>
        </is>
      </c>
      <c r="G725" s="10" t="inlineStr">
        <is>
          <t>rumah tangga</t>
        </is>
      </c>
      <c r="H725" s="10" t="inlineStr">
        <is>
          <t>Set Wadah Kedap</t>
        </is>
      </c>
      <c r="I725" s="10" t="n">
        <v>2</v>
      </c>
      <c r="J725" s="10" t="n">
        <v>135000</v>
      </c>
      <c r="K725" s="10" t="n">
        <v>270000</v>
      </c>
    </row>
    <row r="726">
      <c r="A726" s="10" t="inlineStr">
        <is>
          <t>INV-70461</t>
        </is>
      </c>
      <c r="B726" s="10" t="inlineStr">
        <is>
          <t>2025-01-09</t>
        </is>
      </c>
      <c r="C726" s="10" t="inlineStr">
        <is>
          <t>C1131</t>
        </is>
      </c>
      <c r="D726" s="10" t="inlineStr">
        <is>
          <t>occasional</t>
        </is>
      </c>
      <c r="E726" s="10" t="inlineStr">
        <is>
          <t>TikTok Shop</t>
        </is>
      </c>
      <c r="F726" s="10" t="inlineStr">
        <is>
          <t>Jawa Barat</t>
        </is>
      </c>
      <c r="G726" s="10" t="inlineStr">
        <is>
          <t>Rumah Tangga</t>
        </is>
      </c>
      <c r="H726" s="10" t="inlineStr">
        <is>
          <t>Set Wadah Kedap</t>
        </is>
      </c>
      <c r="I726" s="10" t="n">
        <v>2</v>
      </c>
      <c r="J726" s="10" t="n">
        <v>135000</v>
      </c>
      <c r="K726" s="10" t="n">
        <v>270000</v>
      </c>
    </row>
    <row r="727">
      <c r="A727" s="10" t="inlineStr">
        <is>
          <t>INV-71004</t>
        </is>
      </c>
      <c r="B727" s="10" t="inlineStr">
        <is>
          <t>2025-03-01</t>
        </is>
      </c>
      <c r="C727" s="10" t="inlineStr">
        <is>
          <t>C1287</t>
        </is>
      </c>
      <c r="D727" s="10" t="inlineStr">
        <is>
          <t>champion</t>
        </is>
      </c>
      <c r="E727" s="10" t="inlineStr">
        <is>
          <t>Shopee</t>
        </is>
      </c>
      <c r="F727" s="10" t="inlineStr">
        <is>
          <t>Jawa Tengah</t>
        </is>
      </c>
      <c r="G727" s="10" t="inlineStr">
        <is>
          <t>Rumah Tangga</t>
        </is>
      </c>
      <c r="H727" s="10" t="inlineStr">
        <is>
          <t>Karpet Bulu</t>
        </is>
      </c>
      <c r="I727" s="10" t="n">
        <v>4</v>
      </c>
      <c r="J727" s="10" t="n">
        <v>240000</v>
      </c>
      <c r="K727" s="10" t="inlineStr">
        <is>
          <t>Rp 960.000</t>
        </is>
      </c>
    </row>
    <row r="728">
      <c r="A728" s="10" t="inlineStr">
        <is>
          <t>INV-71465</t>
        </is>
      </c>
      <c r="B728" s="10" t="inlineStr">
        <is>
          <t>2026-06-02</t>
        </is>
      </c>
      <c r="C728" s="10" t="inlineStr">
        <is>
          <t>C1404</t>
        </is>
      </c>
      <c r="D728" s="10" t="inlineStr">
        <is>
          <t>loyal</t>
        </is>
      </c>
      <c r="E728" s="10" t="inlineStr">
        <is>
          <t>TikTok Shop</t>
        </is>
      </c>
      <c r="F728" s="10" t="inlineStr">
        <is>
          <t>Jawa Barat</t>
        </is>
      </c>
      <c r="G728" s="10" t="inlineStr">
        <is>
          <t>Elektronik</t>
        </is>
      </c>
      <c r="H728" s="10" t="inlineStr">
        <is>
          <t>Power Bank 20K</t>
        </is>
      </c>
      <c r="I728" s="10" t="n">
        <v>2</v>
      </c>
      <c r="J728" s="10" t="n">
        <v>185000</v>
      </c>
      <c r="K728" s="10" t="inlineStr">
        <is>
          <t>Rp 370.000</t>
        </is>
      </c>
    </row>
    <row r="729">
      <c r="A729" s="10" t="inlineStr">
        <is>
          <t>INV-70085</t>
        </is>
      </c>
      <c r="B729" s="10" t="inlineStr">
        <is>
          <t>2026-04-05</t>
        </is>
      </c>
      <c r="C729" s="10" t="inlineStr">
        <is>
          <t>C1025</t>
        </is>
      </c>
      <c r="D729" s="10" t="inlineStr">
        <is>
          <t>loyal</t>
        </is>
      </c>
      <c r="E729" s="10" t="inlineStr">
        <is>
          <t>Shopee</t>
        </is>
      </c>
      <c r="F729" s="10" t="inlineStr">
        <is>
          <t>Jabodetabek</t>
        </is>
      </c>
      <c r="G729" s="10" t="inlineStr">
        <is>
          <t>Rumah Tangga</t>
        </is>
      </c>
      <c r="H729" s="10" t="inlineStr">
        <is>
          <t>Set Wadah Kedap</t>
        </is>
      </c>
      <c r="I729" s="10" t="n">
        <v>1</v>
      </c>
      <c r="J729" s="10" t="n">
        <v>135000</v>
      </c>
      <c r="K729" s="10" t="n">
        <v>135000</v>
      </c>
    </row>
    <row r="730">
      <c r="A730" s="10" t="inlineStr">
        <is>
          <t>INV-70706</t>
        </is>
      </c>
      <c r="B730" s="10" t="inlineStr">
        <is>
          <t>2026-05-18</t>
        </is>
      </c>
      <c r="C730" s="10" t="inlineStr">
        <is>
          <t>C1195</t>
        </is>
      </c>
      <c r="D730" s="10" t="inlineStr">
        <is>
          <t>champion</t>
        </is>
      </c>
      <c r="E730" s="10" t="inlineStr">
        <is>
          <t>Shopee</t>
        </is>
      </c>
      <c r="F730" s="10" t="inlineStr">
        <is>
          <t>Jawa Tengah</t>
        </is>
      </c>
      <c r="G730" s="10" t="inlineStr">
        <is>
          <t>Makanan</t>
        </is>
      </c>
      <c r="H730" s="10" t="inlineStr">
        <is>
          <t>Granola 500g</t>
        </is>
      </c>
      <c r="I730" s="10" t="n">
        <v>2</v>
      </c>
      <c r="J730" s="10" t="n">
        <v>92000</v>
      </c>
      <c r="K730" s="10" t="n">
        <v>184000</v>
      </c>
    </row>
    <row r="731">
      <c r="A731" s="10" t="inlineStr">
        <is>
          <t>INV-70768</t>
        </is>
      </c>
      <c r="B731" s="10" t="inlineStr">
        <is>
          <t>2025-06-27</t>
        </is>
      </c>
      <c r="C731" s="10" t="inlineStr">
        <is>
          <t>C1215</t>
        </is>
      </c>
      <c r="D731" s="10" t="inlineStr">
        <is>
          <t>loyal</t>
        </is>
      </c>
      <c r="E731" s="10" t="inlineStr">
        <is>
          <t>Shopee</t>
        </is>
      </c>
      <c r="F731" s="10" t="inlineStr">
        <is>
          <t>Jabodetabek</t>
        </is>
      </c>
      <c r="G731" s="10" t="inlineStr">
        <is>
          <t>Elektronik</t>
        </is>
      </c>
      <c r="H731" s="10" t="inlineStr">
        <is>
          <t>Earbuds TWS</t>
        </is>
      </c>
      <c r="I731" s="10" t="n">
        <v>1</v>
      </c>
      <c r="J731" s="10" t="n">
        <v>265000</v>
      </c>
      <c r="K731" s="10" t="n">
        <v>265000</v>
      </c>
    </row>
    <row r="732">
      <c r="A732" s="10" t="inlineStr">
        <is>
          <t>INV-70324</t>
        </is>
      </c>
      <c r="B732" s="10" t="inlineStr">
        <is>
          <t>2025-12-14</t>
        </is>
      </c>
      <c r="C732" s="10" t="inlineStr">
        <is>
          <t>C1090</t>
        </is>
      </c>
      <c r="D732" s="10" t="inlineStr">
        <is>
          <t>champion</t>
        </is>
      </c>
      <c r="E732" s="10" t="inlineStr">
        <is>
          <t>Shopee</t>
        </is>
      </c>
      <c r="F732" s="10" t="inlineStr">
        <is>
          <t>Jawa Barat</t>
        </is>
      </c>
      <c r="G732" s="10" t="inlineStr">
        <is>
          <t>Kecantikan</t>
        </is>
      </c>
      <c r="H732" s="10" t="inlineStr">
        <is>
          <t>Masker Wajah (5s)</t>
        </is>
      </c>
      <c r="I732" s="10" t="n">
        <v>3</v>
      </c>
      <c r="J732" s="10" t="n">
        <v>55000</v>
      </c>
      <c r="K732" s="10" t="n">
        <v>165000</v>
      </c>
    </row>
    <row r="733">
      <c r="A733" s="10" t="inlineStr">
        <is>
          <t>INV-71200</t>
        </is>
      </c>
      <c r="B733" s="10" t="inlineStr">
        <is>
          <t>2026-05-23</t>
        </is>
      </c>
      <c r="C733" s="10" t="inlineStr">
        <is>
          <t>C1339</t>
        </is>
      </c>
      <c r="D733" s="10" t="inlineStr">
        <is>
          <t>onetime</t>
        </is>
      </c>
      <c r="E733" s="10" t="inlineStr">
        <is>
          <t>Offline Store</t>
        </is>
      </c>
      <c r="F733" s="10" t="inlineStr">
        <is>
          <t>Jabodetabek</t>
        </is>
      </c>
      <c r="G733" s="10" t="inlineStr">
        <is>
          <t>Kecantikan</t>
        </is>
      </c>
      <c r="H733" s="10" t="inlineStr">
        <is>
          <t>Masker Wajah (5s)</t>
        </is>
      </c>
      <c r="I733" s="10" t="n">
        <v>2</v>
      </c>
      <c r="J733" s="10" t="n">
        <v>55000</v>
      </c>
      <c r="K733" s="10" t="n">
        <v>110000</v>
      </c>
    </row>
    <row r="734">
      <c r="A734" s="10" t="inlineStr">
        <is>
          <t>INV-70625</t>
        </is>
      </c>
      <c r="B734" s="10" t="inlineStr">
        <is>
          <t>2026-03-06</t>
        </is>
      </c>
      <c r="C734" s="10" t="inlineStr">
        <is>
          <t>C1170</t>
        </is>
      </c>
      <c r="D734" s="10" t="inlineStr">
        <is>
          <t>champion</t>
        </is>
      </c>
      <c r="E734" s="10" t="inlineStr">
        <is>
          <t>Tokopedia</t>
        </is>
      </c>
      <c r="F734" s="10" t="inlineStr">
        <is>
          <t>Jabodetabek</t>
        </is>
      </c>
      <c r="G734" s="10" t="inlineStr">
        <is>
          <t>Rumah Tangga</t>
        </is>
      </c>
      <c r="H734" s="10" t="inlineStr">
        <is>
          <t>Set Wadah Kedap</t>
        </is>
      </c>
      <c r="I734" s="10" t="n">
        <v>1</v>
      </c>
      <c r="J734" s="10" t="n">
        <v>135000</v>
      </c>
      <c r="K734" s="10" t="inlineStr">
        <is>
          <t>Rp 135.000</t>
        </is>
      </c>
    </row>
    <row r="735">
      <c r="A735" s="10" t="inlineStr">
        <is>
          <t>INV-70831</t>
        </is>
      </c>
      <c r="B735" s="10" t="inlineStr">
        <is>
          <t>2026-02-21</t>
        </is>
      </c>
      <c r="C735" s="10" t="inlineStr">
        <is>
          <t>C1234</t>
        </is>
      </c>
      <c r="D735" s="10" t="inlineStr">
        <is>
          <t>loyal</t>
        </is>
      </c>
      <c r="E735" s="10" t="inlineStr">
        <is>
          <t>Shopee</t>
        </is>
      </c>
      <c r="F735" s="10" t="inlineStr">
        <is>
          <t>Jawa Tengah</t>
        </is>
      </c>
      <c r="G735" s="10" t="inlineStr">
        <is>
          <t>rumah tangga</t>
        </is>
      </c>
      <c r="H735" s="10" t="inlineStr">
        <is>
          <t>Set Wadah Kedap</t>
        </is>
      </c>
      <c r="I735" s="10" t="n">
        <v>2</v>
      </c>
      <c r="J735" s="10" t="n">
        <v>135000</v>
      </c>
      <c r="K735" s="10" t="n">
        <v>270000</v>
      </c>
    </row>
    <row r="736">
      <c r="A736" s="10" t="inlineStr">
        <is>
          <t>INV-70187</t>
        </is>
      </c>
      <c r="B736" s="10" t="inlineStr">
        <is>
          <t>2025-09-04</t>
        </is>
      </c>
      <c r="C736" s="10" t="inlineStr">
        <is>
          <t>C1053</t>
        </is>
      </c>
      <c r="D736" s="10" t="inlineStr">
        <is>
          <t>regular</t>
        </is>
      </c>
      <c r="E736" s="10" t="inlineStr">
        <is>
          <t>Shopee</t>
        </is>
      </c>
      <c r="F736" s="10" t="inlineStr">
        <is>
          <t>Jabodetabek</t>
        </is>
      </c>
      <c r="G736" s="10" t="inlineStr">
        <is>
          <t>rumah tangga</t>
        </is>
      </c>
      <c r="H736" s="10" t="inlineStr">
        <is>
          <t>Organizer Laci</t>
        </is>
      </c>
      <c r="I736" s="10" t="n">
        <v>2</v>
      </c>
      <c r="J736" s="10" t="n">
        <v>78000</v>
      </c>
      <c r="K736" s="10" t="n">
        <v>156000</v>
      </c>
    </row>
    <row r="737">
      <c r="A737" s="10" t="inlineStr">
        <is>
          <t>INV-71204</t>
        </is>
      </c>
      <c r="B737" s="10" t="inlineStr">
        <is>
          <t>2025-09-18</t>
        </is>
      </c>
      <c r="C737" s="10" t="inlineStr">
        <is>
          <t>C1341</t>
        </is>
      </c>
      <c r="D737" s="10" t="inlineStr">
        <is>
          <t>regular</t>
        </is>
      </c>
      <c r="E737" s="10" t="inlineStr">
        <is>
          <t>SHOPEE</t>
        </is>
      </c>
      <c r="F737" s="10" t="inlineStr">
        <is>
          <t>Sumatera</t>
        </is>
      </c>
      <c r="G737" s="10" t="inlineStr">
        <is>
          <t>kecantikan</t>
        </is>
      </c>
      <c r="H737" s="10" t="inlineStr">
        <is>
          <t>Serum Vit C</t>
        </is>
      </c>
      <c r="I737" s="10" t="n">
        <v>3</v>
      </c>
      <c r="J737" s="10" t="n">
        <v>145000</v>
      </c>
      <c r="K737" s="10" t="inlineStr">
        <is>
          <t>Rp 435.000</t>
        </is>
      </c>
    </row>
    <row r="738">
      <c r="A738" s="10" t="inlineStr">
        <is>
          <t>INV-70185</t>
        </is>
      </c>
      <c r="B738" s="10" t="inlineStr">
        <is>
          <t>25 May 2025</t>
        </is>
      </c>
      <c r="C738" s="10" t="inlineStr">
        <is>
          <t>C1052</t>
        </is>
      </c>
      <c r="D738" s="10" t="inlineStr">
        <is>
          <t>regular</t>
        </is>
      </c>
      <c r="E738" s="10" t="inlineStr">
        <is>
          <t>Shopee</t>
        </is>
      </c>
      <c r="F738" s="10" t="inlineStr">
        <is>
          <t>Jawa Barat</t>
        </is>
      </c>
      <c r="G738" s="10" t="inlineStr">
        <is>
          <t>Rumah Tangga</t>
        </is>
      </c>
      <c r="H738" s="10" t="inlineStr">
        <is>
          <t>Set Wadah Kedap</t>
        </is>
      </c>
      <c r="I738" s="10" t="n">
        <v>2</v>
      </c>
      <c r="J738" s="10" t="n">
        <v>135000</v>
      </c>
      <c r="K738" s="10" t="n">
        <v>270000</v>
      </c>
    </row>
    <row r="739">
      <c r="A739" s="10" t="inlineStr">
        <is>
          <t>INV-71324</t>
        </is>
      </c>
      <c r="B739" s="10" t="inlineStr">
        <is>
          <t>20/09/2025</t>
        </is>
      </c>
      <c r="C739" s="10" t="inlineStr">
        <is>
          <t>C1365</t>
        </is>
      </c>
      <c r="D739" s="10" t="inlineStr">
        <is>
          <t>regular</t>
        </is>
      </c>
      <c r="E739" s="10" t="inlineStr">
        <is>
          <t>TikTok Shop</t>
        </is>
      </c>
      <c r="F739" s="10" t="inlineStr">
        <is>
          <t>Jawa Timur</t>
        </is>
      </c>
      <c r="G739" s="10" t="inlineStr">
        <is>
          <t>Rumah Tangga</t>
        </is>
      </c>
      <c r="H739" s="10" t="inlineStr">
        <is>
          <t>Organizer Laci</t>
        </is>
      </c>
      <c r="I739" s="10" t="n">
        <v>2</v>
      </c>
      <c r="J739" s="10" t="n">
        <v>78000</v>
      </c>
      <c r="K739" s="10" t="n">
        <v>156000</v>
      </c>
    </row>
    <row r="740">
      <c r="A740" s="10" t="inlineStr">
        <is>
          <t>INV-71360</t>
        </is>
      </c>
      <c r="B740" s="10" t="inlineStr">
        <is>
          <t>2026-05-09</t>
        </is>
      </c>
      <c r="C740" s="10" t="inlineStr">
        <is>
          <t>C1377</t>
        </is>
      </c>
      <c r="D740" s="10" t="inlineStr">
        <is>
          <t>champion</t>
        </is>
      </c>
      <c r="E740" s="10" t="inlineStr">
        <is>
          <t>Shopee</t>
        </is>
      </c>
      <c r="F740" s="10" t="inlineStr">
        <is>
          <t>Jabodetabek</t>
        </is>
      </c>
      <c r="G740" s="10" t="inlineStr">
        <is>
          <t>Rumah Tangga</t>
        </is>
      </c>
      <c r="H740" s="10" t="inlineStr">
        <is>
          <t>Set Wadah Kedap</t>
        </is>
      </c>
      <c r="I740" s="10" t="n">
        <v>1</v>
      </c>
      <c r="J740" s="10" t="n">
        <v>135000</v>
      </c>
      <c r="K740" s="10" t="n">
        <v>135000</v>
      </c>
    </row>
    <row r="741">
      <c r="A741" s="10" t="inlineStr">
        <is>
          <t>INV-70039</t>
        </is>
      </c>
      <c r="B741" s="10" t="inlineStr">
        <is>
          <t>20/12/2025</t>
        </is>
      </c>
      <c r="C741" s="10" t="inlineStr">
        <is>
          <t>C1009</t>
        </is>
      </c>
      <c r="D741" s="10" t="inlineStr">
        <is>
          <t>occasional</t>
        </is>
      </c>
      <c r="E741" s="10" t="inlineStr">
        <is>
          <t>Shopee</t>
        </is>
      </c>
      <c r="F741" s="10" t="inlineStr">
        <is>
          <t>Lainnya</t>
        </is>
      </c>
      <c r="G741" s="10" t="inlineStr">
        <is>
          <t>Fashion</t>
        </is>
      </c>
      <c r="H741" s="10" t="inlineStr">
        <is>
          <t>Kaos Premium</t>
        </is>
      </c>
      <c r="I741" s="10" t="n">
        <v>2</v>
      </c>
      <c r="J741" s="10" t="n">
        <v>95000</v>
      </c>
      <c r="K741" s="10" t="inlineStr">
        <is>
          <t>Rp 190.000</t>
        </is>
      </c>
    </row>
    <row r="742">
      <c r="A742" s="10" t="inlineStr">
        <is>
          <t>INV-70937</t>
        </is>
      </c>
      <c r="B742" s="10" t="inlineStr">
        <is>
          <t>2025-03-08</t>
        </is>
      </c>
      <c r="C742" s="10" t="inlineStr">
        <is>
          <t>C1263</t>
        </is>
      </c>
      <c r="D742" s="10" t="inlineStr">
        <is>
          <t>onetime</t>
        </is>
      </c>
      <c r="E742" s="10" t="inlineStr">
        <is>
          <t>Tokopedia</t>
        </is>
      </c>
      <c r="F742" s="10" t="inlineStr">
        <is>
          <t>Sumatera</t>
        </is>
      </c>
      <c r="G742" s="10" t="inlineStr">
        <is>
          <t>Rumah Tangga</t>
        </is>
      </c>
      <c r="H742" s="10" t="inlineStr">
        <is>
          <t>Set Wadah Kedap</t>
        </is>
      </c>
      <c r="I742" s="10" t="n">
        <v>2</v>
      </c>
      <c r="J742" s="10" t="n">
        <v>135000</v>
      </c>
      <c r="K742" s="10" t="n">
        <v>270000</v>
      </c>
    </row>
    <row r="743">
      <c r="A743" s="10" t="inlineStr">
        <is>
          <t>INV-70158</t>
        </is>
      </c>
      <c r="B743" s="10" t="inlineStr">
        <is>
          <t>2025-12-07</t>
        </is>
      </c>
      <c r="C743" s="10" t="inlineStr">
        <is>
          <t>C1048</t>
        </is>
      </c>
      <c r="D743" s="10" t="inlineStr">
        <is>
          <t>occasional</t>
        </is>
      </c>
      <c r="E743" s="10" t="inlineStr">
        <is>
          <t>tiktok shop</t>
        </is>
      </c>
      <c r="F743" s="10" t="inlineStr">
        <is>
          <t>Jabodetabek</t>
        </is>
      </c>
      <c r="G743" s="10" t="inlineStr">
        <is>
          <t>Rumah Tangga</t>
        </is>
      </c>
      <c r="H743" s="10" t="inlineStr">
        <is>
          <t>Set Wadah Kedap</t>
        </is>
      </c>
      <c r="I743" s="10" t="n">
        <v>2</v>
      </c>
      <c r="J743" s="10" t="n">
        <v>135000</v>
      </c>
      <c r="K743" s="10" t="n">
        <v>270000</v>
      </c>
    </row>
    <row r="744">
      <c r="A744" s="10" t="inlineStr">
        <is>
          <t>INV-70926</t>
        </is>
      </c>
      <c r="B744" s="10" t="inlineStr">
        <is>
          <t>2026-05-10</t>
        </is>
      </c>
      <c r="C744" s="10" t="inlineStr">
        <is>
          <t>C1261</t>
        </is>
      </c>
      <c r="D744" s="10" t="inlineStr">
        <is>
          <t>champion</t>
        </is>
      </c>
      <c r="E744" s="10" t="inlineStr">
        <is>
          <t>TikTok Shop</t>
        </is>
      </c>
      <c r="F744" s="10" t="inlineStr">
        <is>
          <t>Jawa Barat</t>
        </is>
      </c>
      <c r="G744" s="10" t="inlineStr">
        <is>
          <t>Kecantikan</t>
        </is>
      </c>
      <c r="H744" s="10" t="inlineStr">
        <is>
          <t>Masker Wajah (5s)</t>
        </is>
      </c>
      <c r="I744" s="10" t="n">
        <v>2</v>
      </c>
      <c r="J744" s="10" t="n">
        <v>55000</v>
      </c>
      <c r="K744" s="10" t="n">
        <v>110000</v>
      </c>
    </row>
    <row r="745">
      <c r="A745" s="10" t="inlineStr">
        <is>
          <t>INV-70999</t>
        </is>
      </c>
      <c r="B745" s="10" t="inlineStr">
        <is>
          <t>2026-05-05</t>
        </is>
      </c>
      <c r="C745" s="10" t="inlineStr">
        <is>
          <t>C1287</t>
        </is>
      </c>
      <c r="D745" s="10" t="inlineStr">
        <is>
          <t>champion</t>
        </is>
      </c>
      <c r="E745" s="10" t="inlineStr">
        <is>
          <t>Shopee</t>
        </is>
      </c>
      <c r="F745" s="10" t="inlineStr">
        <is>
          <t>Jawa Timur</t>
        </is>
      </c>
      <c r="G745" s="10" t="inlineStr">
        <is>
          <t>Elektronik</t>
        </is>
      </c>
      <c r="H745" s="10" t="inlineStr">
        <is>
          <t>Webcam HD</t>
        </is>
      </c>
      <c r="I745" s="10" t="n">
        <v>4</v>
      </c>
      <c r="J745" s="10" t="n">
        <v>210000</v>
      </c>
      <c r="K745" s="10" t="inlineStr">
        <is>
          <t>Rp 840.000</t>
        </is>
      </c>
    </row>
    <row r="746">
      <c r="A746" s="10" t="inlineStr">
        <is>
          <t>INV-70326</t>
        </is>
      </c>
      <c r="B746" s="10" t="inlineStr">
        <is>
          <t>2025-01-05</t>
        </is>
      </c>
      <c r="C746" s="10" t="inlineStr">
        <is>
          <t>C1090</t>
        </is>
      </c>
      <c r="D746" s="10" t="inlineStr">
        <is>
          <t>champion</t>
        </is>
      </c>
      <c r="E746" s="10" t="inlineStr">
        <is>
          <t>Shopee</t>
        </is>
      </c>
      <c r="F746" s="10" t="inlineStr">
        <is>
          <t>Jabodetabek</t>
        </is>
      </c>
      <c r="G746" s="10" t="inlineStr">
        <is>
          <t>Kecantikan</t>
        </is>
      </c>
      <c r="H746" s="10" t="inlineStr">
        <is>
          <t>Masker Wajah (5s)</t>
        </is>
      </c>
      <c r="I746" s="10" t="n">
        <v>1</v>
      </c>
      <c r="J746" s="10" t="n">
        <v>55000</v>
      </c>
      <c r="K746" s="10" t="inlineStr">
        <is>
          <t>Rp 55.000</t>
        </is>
      </c>
    </row>
    <row r="747">
      <c r="A747" s="10" t="inlineStr">
        <is>
          <t>INV-70939</t>
        </is>
      </c>
      <c r="B747" s="10" t="inlineStr">
        <is>
          <t>2025-04-26</t>
        </is>
      </c>
      <c r="C747" s="10" t="inlineStr">
        <is>
          <t>C1265</t>
        </is>
      </c>
      <c r="D747" s="10" t="inlineStr">
        <is>
          <t>loyal</t>
        </is>
      </c>
      <c r="E747" s="10" t="inlineStr">
        <is>
          <t>Shopee</t>
        </is>
      </c>
      <c r="F747" s="10" t="inlineStr">
        <is>
          <t>Jawa Barat</t>
        </is>
      </c>
      <c r="G747" s="10" t="inlineStr">
        <is>
          <t>Makanan</t>
        </is>
      </c>
      <c r="H747" s="10" t="inlineStr">
        <is>
          <t>Madu Hutan 250ml</t>
        </is>
      </c>
      <c r="I747" s="10" t="n">
        <v>1</v>
      </c>
      <c r="J747" s="10" t="n">
        <v>110000</v>
      </c>
      <c r="K747" s="10" t="n">
        <v>110000</v>
      </c>
    </row>
    <row r="748">
      <c r="A748" s="10" t="inlineStr">
        <is>
          <t>INV-70564</t>
        </is>
      </c>
      <c r="B748" s="10" t="inlineStr">
        <is>
          <t>2025-01-24</t>
        </is>
      </c>
      <c r="C748" s="10" t="inlineStr">
        <is>
          <t>C1155</t>
        </is>
      </c>
      <c r="D748" s="10" t="inlineStr">
        <is>
          <t>onetime</t>
        </is>
      </c>
      <c r="E748" s="10" t="inlineStr">
        <is>
          <t>offline store</t>
        </is>
      </c>
      <c r="F748" s="10" t="inlineStr">
        <is>
          <t>Jabodetabek</t>
        </is>
      </c>
      <c r="G748" s="10" t="inlineStr">
        <is>
          <t>Fashion</t>
        </is>
      </c>
      <c r="H748" s="10" t="inlineStr">
        <is>
          <t>Dress Casual</t>
        </is>
      </c>
      <c r="I748" s="10" t="n">
        <v>1</v>
      </c>
      <c r="J748" s="10" t="n">
        <v>225000</v>
      </c>
      <c r="K748" s="10" t="n">
        <v>225000</v>
      </c>
    </row>
    <row r="749">
      <c r="A749" s="10" t="inlineStr">
        <is>
          <t>INV-71392</t>
        </is>
      </c>
      <c r="B749" s="10" t="inlineStr">
        <is>
          <t>2026-05-13</t>
        </is>
      </c>
      <c r="C749" s="10" t="inlineStr">
        <is>
          <t>C1386</t>
        </is>
      </c>
      <c r="D749" s="10" t="inlineStr">
        <is>
          <t>loyal</t>
        </is>
      </c>
      <c r="E749" s="10" t="inlineStr">
        <is>
          <t>Shopee</t>
        </is>
      </c>
      <c r="F749" s="10" t="inlineStr">
        <is>
          <t>Jawa Barat</t>
        </is>
      </c>
      <c r="G749" s="10" t="inlineStr">
        <is>
          <t>Rumah Tangga</t>
        </is>
      </c>
      <c r="H749" s="10" t="inlineStr">
        <is>
          <t>Set Wadah Kedap</t>
        </is>
      </c>
      <c r="I749" s="10" t="n">
        <v>4</v>
      </c>
      <c r="J749" s="10" t="n">
        <v>135000</v>
      </c>
      <c r="K749" s="10" t="n">
        <v>540000</v>
      </c>
    </row>
    <row r="750">
      <c r="A750" s="10" t="inlineStr">
        <is>
          <t>INV-71223</t>
        </is>
      </c>
      <c r="B750" s="10" t="inlineStr">
        <is>
          <t>08 Dec 2025</t>
        </is>
      </c>
      <c r="C750" s="10" t="inlineStr">
        <is>
          <t>C1348</t>
        </is>
      </c>
      <c r="D750" s="10" t="inlineStr">
        <is>
          <t>loyal</t>
        </is>
      </c>
      <c r="E750" s="10" t="inlineStr">
        <is>
          <t>Offline Store</t>
        </is>
      </c>
      <c r="F750" s="10" t="inlineStr">
        <is>
          <t>Sumatera</t>
        </is>
      </c>
      <c r="G750" s="10" t="inlineStr">
        <is>
          <t>Makanan</t>
        </is>
      </c>
      <c r="H750" s="10" t="inlineStr">
        <is>
          <t>Granola 500g</t>
        </is>
      </c>
      <c r="I750" s="10" t="n">
        <v>1</v>
      </c>
      <c r="J750" s="10" t="n">
        <v>92000</v>
      </c>
      <c r="K750" s="10" t="n">
        <v>92000</v>
      </c>
    </row>
    <row r="751">
      <c r="A751" s="10" t="inlineStr">
        <is>
          <t>INV-70975</t>
        </is>
      </c>
      <c r="B751" s="10" t="inlineStr">
        <is>
          <t>2025-02-24</t>
        </is>
      </c>
      <c r="C751" s="10" t="inlineStr">
        <is>
          <t>C1279</t>
        </is>
      </c>
      <c r="D751" s="10" t="inlineStr">
        <is>
          <t>loyal</t>
        </is>
      </c>
      <c r="E751" s="10" t="inlineStr">
        <is>
          <t>Shopee</t>
        </is>
      </c>
      <c r="F751" s="10" t="inlineStr">
        <is>
          <t>Jabodetabek</t>
        </is>
      </c>
      <c r="G751" s="10" t="inlineStr">
        <is>
          <t>Rumah Tangga</t>
        </is>
      </c>
      <c r="H751" s="10" t="inlineStr">
        <is>
          <t>Set Wadah Kedap</t>
        </is>
      </c>
      <c r="I751" s="10" t="n">
        <v>2</v>
      </c>
      <c r="J751" s="10" t="n">
        <v>135000</v>
      </c>
      <c r="K751" s="10" t="n">
        <v>270000</v>
      </c>
    </row>
    <row r="752">
      <c r="A752" s="10" t="inlineStr">
        <is>
          <t>INV-70303</t>
        </is>
      </c>
      <c r="B752" s="10" t="inlineStr">
        <is>
          <t>03 Feb 2026</t>
        </is>
      </c>
      <c r="C752" s="10" t="inlineStr">
        <is>
          <t>C1085</t>
        </is>
      </c>
      <c r="D752" s="10" t="inlineStr">
        <is>
          <t>occasional</t>
        </is>
      </c>
      <c r="E752" s="10" t="inlineStr">
        <is>
          <t>tiktok shop</t>
        </is>
      </c>
      <c r="F752" s="10" t="inlineStr">
        <is>
          <t>Jabodetabek</t>
        </is>
      </c>
      <c r="G752" s="10" t="inlineStr">
        <is>
          <t>Kecantikan</t>
        </is>
      </c>
      <c r="H752" s="10" t="inlineStr">
        <is>
          <t>Masker Wajah (5s)</t>
        </is>
      </c>
      <c r="I752" s="10" t="n">
        <v>2</v>
      </c>
      <c r="J752" s="10" t="n">
        <v>55000</v>
      </c>
      <c r="K752" s="10" t="inlineStr">
        <is>
          <t>Rp 110.000</t>
        </is>
      </c>
    </row>
    <row r="753">
      <c r="A753" s="10" t="inlineStr">
        <is>
          <t>INV-70331</t>
        </is>
      </c>
      <c r="B753" s="10" t="inlineStr">
        <is>
          <t>2025-05-18</t>
        </is>
      </c>
      <c r="C753" s="10" t="inlineStr">
        <is>
          <t>C1090</t>
        </is>
      </c>
      <c r="D753" s="10" t="inlineStr">
        <is>
          <t>champion</t>
        </is>
      </c>
      <c r="E753" s="10" t="inlineStr">
        <is>
          <t>Tokopedia</t>
        </is>
      </c>
      <c r="F753" s="10" t="inlineStr">
        <is>
          <t>Jabodetabek</t>
        </is>
      </c>
      <c r="G753" s="10" t="inlineStr">
        <is>
          <t>Fashion</t>
        </is>
      </c>
      <c r="H753" s="10" t="inlineStr">
        <is>
          <t>Celana Chino</t>
        </is>
      </c>
      <c r="I753" s="10" t="n">
        <v>1</v>
      </c>
      <c r="J753" s="10" t="n">
        <v>195000</v>
      </c>
      <c r="K753" s="10" t="n">
        <v>195000</v>
      </c>
    </row>
    <row r="754">
      <c r="A754" s="10" t="inlineStr">
        <is>
          <t>INV-70265</t>
        </is>
      </c>
      <c r="B754" s="10" t="inlineStr">
        <is>
          <t>2026-05-21</t>
        </is>
      </c>
      <c r="C754" s="10" t="inlineStr">
        <is>
          <t>C1074</t>
        </is>
      </c>
      <c r="D754" s="10" t="inlineStr">
        <is>
          <t>regular</t>
        </is>
      </c>
      <c r="E754" s="10" t="inlineStr">
        <is>
          <t>Shopee</t>
        </is>
      </c>
      <c r="F754" s="10" t="inlineStr">
        <is>
          <t>Jawa Barat</t>
        </is>
      </c>
      <c r="G754" s="10" t="inlineStr">
        <is>
          <t>fashion</t>
        </is>
      </c>
      <c r="H754" s="10" t="inlineStr">
        <is>
          <t>Celana Chino</t>
        </is>
      </c>
      <c r="I754" s="10" t="n">
        <v>1</v>
      </c>
      <c r="J754" s="10" t="n">
        <v>195000</v>
      </c>
      <c r="K754" s="10" t="n">
        <v>195000</v>
      </c>
    </row>
    <row r="755">
      <c r="A755" s="10" t="inlineStr">
        <is>
          <t>INV-70227</t>
        </is>
      </c>
      <c r="B755" s="10" t="inlineStr">
        <is>
          <t>2025-06-16</t>
        </is>
      </c>
      <c r="C755" s="10" t="inlineStr">
        <is>
          <t>C1064</t>
        </is>
      </c>
      <c r="D755" s="10" t="inlineStr">
        <is>
          <t>loyal</t>
        </is>
      </c>
      <c r="E755" s="10" t="inlineStr">
        <is>
          <t>tiktok shop</t>
        </is>
      </c>
      <c r="F755" s="10" t="inlineStr">
        <is>
          <t>Lainnya</t>
        </is>
      </c>
      <c r="G755" s="10" t="inlineStr">
        <is>
          <t>Rumah Tangga</t>
        </is>
      </c>
      <c r="H755" s="10" t="inlineStr">
        <is>
          <t>Organizer Laci</t>
        </is>
      </c>
      <c r="I755" s="10" t="n">
        <v>4</v>
      </c>
      <c r="J755" s="10" t="n">
        <v>78000</v>
      </c>
      <c r="K755" s="10" t="inlineStr">
        <is>
          <t>Rp 312.000</t>
        </is>
      </c>
    </row>
    <row r="756">
      <c r="A756" s="10" t="inlineStr">
        <is>
          <t>INV-70813</t>
        </is>
      </c>
      <c r="B756" s="10" t="inlineStr">
        <is>
          <t>2025-04-12</t>
        </is>
      </c>
      <c r="C756" s="10" t="inlineStr">
        <is>
          <t>C1229</t>
        </is>
      </c>
      <c r="D756" s="10" t="inlineStr">
        <is>
          <t>occasional</t>
        </is>
      </c>
      <c r="E756" s="10" t="inlineStr">
        <is>
          <t>TikTok Shop</t>
        </is>
      </c>
      <c r="F756" s="10" t="inlineStr">
        <is>
          <t>Jawa Timur</t>
        </is>
      </c>
      <c r="G756" s="10" t="inlineStr">
        <is>
          <t>Makanan</t>
        </is>
      </c>
      <c r="H756" s="10" t="inlineStr">
        <is>
          <t>Madu Hutan 250ml</t>
        </is>
      </c>
      <c r="I756" s="10" t="n">
        <v>1</v>
      </c>
      <c r="J756" s="10" t="n">
        <v>110000</v>
      </c>
      <c r="K756" s="10" t="n">
        <v>95000</v>
      </c>
    </row>
    <row r="757">
      <c r="A757" s="10" t="inlineStr">
        <is>
          <t>INV-70531</t>
        </is>
      </c>
      <c r="B757" s="10" t="inlineStr">
        <is>
          <t>23 Jun 2025</t>
        </is>
      </c>
      <c r="C757" s="10" t="inlineStr">
        <is>
          <t>C1147</t>
        </is>
      </c>
      <c r="D757" s="10" t="inlineStr">
        <is>
          <t>regular</t>
        </is>
      </c>
      <c r="E757" s="10" t="inlineStr">
        <is>
          <t>shopee</t>
        </is>
      </c>
      <c r="F757" s="10" t="inlineStr">
        <is>
          <t>Jawa Tengah</t>
        </is>
      </c>
      <c r="G757" s="10" t="inlineStr">
        <is>
          <t>Rumah Tangga</t>
        </is>
      </c>
      <c r="H757" s="10" t="inlineStr">
        <is>
          <t>Set Wadah Kedap</t>
        </is>
      </c>
      <c r="I757" s="10" t="n">
        <v>4</v>
      </c>
      <c r="J757" s="10" t="n">
        <v>135000</v>
      </c>
      <c r="K757" s="10" t="n">
        <v>540000</v>
      </c>
    </row>
    <row r="758">
      <c r="A758" s="10" t="inlineStr">
        <is>
          <t>INV-70717</t>
        </is>
      </c>
      <c r="B758" s="10" t="inlineStr">
        <is>
          <t>2026-06-14</t>
        </is>
      </c>
      <c r="C758" s="10" t="inlineStr">
        <is>
          <t>C1199</t>
        </is>
      </c>
      <c r="D758" s="10" t="inlineStr">
        <is>
          <t>loyal</t>
        </is>
      </c>
      <c r="E758" s="10" t="inlineStr">
        <is>
          <t>Tokopedia</t>
        </is>
      </c>
      <c r="F758" s="10" t="inlineStr">
        <is>
          <t>Jawa Timur</t>
        </is>
      </c>
      <c r="G758" s="10" t="inlineStr">
        <is>
          <t>Elektronik</t>
        </is>
      </c>
      <c r="H758" s="10" t="inlineStr">
        <is>
          <t>Smartwatch</t>
        </is>
      </c>
      <c r="I758" s="10" t="n">
        <v>1</v>
      </c>
      <c r="J758" s="10" t="n">
        <v>450000</v>
      </c>
      <c r="K758" s="10" t="n">
        <v>450000</v>
      </c>
    </row>
    <row r="759">
      <c r="A759" s="10" t="inlineStr">
        <is>
          <t>INV-71037</t>
        </is>
      </c>
      <c r="B759" s="10" t="inlineStr">
        <is>
          <t>2026-04-14</t>
        </is>
      </c>
      <c r="C759" s="10" t="inlineStr">
        <is>
          <t>C1294</t>
        </is>
      </c>
      <c r="D759" s="10" t="inlineStr">
        <is>
          <t>loyal</t>
        </is>
      </c>
      <c r="E759" s="10" t="inlineStr">
        <is>
          <t xml:space="preserve">Tokopedia </t>
        </is>
      </c>
      <c r="F759" s="10" t="inlineStr">
        <is>
          <t>Jabodetabek</t>
        </is>
      </c>
      <c r="G759" s="10" t="inlineStr">
        <is>
          <t>Elektronik</t>
        </is>
      </c>
      <c r="H759" s="10" t="inlineStr">
        <is>
          <t>Webcam HD</t>
        </is>
      </c>
      <c r="I759" s="10" t="n">
        <v>2</v>
      </c>
      <c r="J759" s="10" t="n">
        <v>210000</v>
      </c>
      <c r="K759" s="10" t="inlineStr">
        <is>
          <t>Rp 420.000</t>
        </is>
      </c>
    </row>
    <row r="760">
      <c r="A760" s="10" t="inlineStr">
        <is>
          <t>INV-70781</t>
        </is>
      </c>
      <c r="B760" s="10" t="inlineStr">
        <is>
          <t>2025-05-23</t>
        </is>
      </c>
      <c r="C760" s="10" t="inlineStr">
        <is>
          <t>C1220</t>
        </is>
      </c>
      <c r="D760" s="10" t="inlineStr">
        <is>
          <t>loyal</t>
        </is>
      </c>
      <c r="E760" s="10" t="inlineStr">
        <is>
          <t>Offline Store</t>
        </is>
      </c>
      <c r="F760" s="10" t="inlineStr">
        <is>
          <t>Jawa Tengah</t>
        </is>
      </c>
      <c r="G760" s="10" t="inlineStr">
        <is>
          <t>Fashion</t>
        </is>
      </c>
      <c r="H760" s="10" t="inlineStr">
        <is>
          <t>Dress Casual</t>
        </is>
      </c>
      <c r="I760" s="10" t="n">
        <v>4</v>
      </c>
      <c r="J760" s="10" t="n">
        <v>225000</v>
      </c>
      <c r="K760" s="10" t="n">
        <v>900000</v>
      </c>
    </row>
    <row r="761">
      <c r="A761" s="10" t="inlineStr">
        <is>
          <t>INV-70299</t>
        </is>
      </c>
      <c r="B761" s="10" t="inlineStr">
        <is>
          <t>10/03/2026</t>
        </is>
      </c>
      <c r="C761" s="10" t="inlineStr">
        <is>
          <t>C1084</t>
        </is>
      </c>
      <c r="D761" s="10" t="inlineStr">
        <is>
          <t>loyal</t>
        </is>
      </c>
      <c r="E761" s="10" t="inlineStr">
        <is>
          <t>Shopee</t>
        </is>
      </c>
      <c r="F761" s="10" t="inlineStr">
        <is>
          <t>Jabodetabek</t>
        </is>
      </c>
      <c r="G761" s="10" t="inlineStr">
        <is>
          <t>Elektronik</t>
        </is>
      </c>
      <c r="H761" s="10" t="inlineStr">
        <is>
          <t>Webcam HD</t>
        </is>
      </c>
      <c r="I761" s="10" t="n">
        <v>4</v>
      </c>
      <c r="J761" s="10" t="n">
        <v>210000</v>
      </c>
      <c r="K761" s="10" t="n">
        <v>840000</v>
      </c>
    </row>
    <row r="762">
      <c r="A762" s="10" t="inlineStr">
        <is>
          <t>INV-70300</t>
        </is>
      </c>
      <c r="B762" s="10" t="inlineStr">
        <is>
          <t>2025-11-06</t>
        </is>
      </c>
      <c r="C762" s="10" t="inlineStr">
        <is>
          <t>C1084</t>
        </is>
      </c>
      <c r="D762" s="10" t="inlineStr">
        <is>
          <t>loyal</t>
        </is>
      </c>
      <c r="E762" s="10" t="inlineStr">
        <is>
          <t xml:space="preserve">Shopee </t>
        </is>
      </c>
      <c r="F762" s="10" t="inlineStr">
        <is>
          <t>Jawa Tengah</t>
        </is>
      </c>
      <c r="G762" s="10" t="inlineStr">
        <is>
          <t>Elektronik</t>
        </is>
      </c>
      <c r="H762" s="10" t="inlineStr">
        <is>
          <t>Power Bank 20K</t>
        </is>
      </c>
      <c r="I762" s="10" t="n">
        <v>2</v>
      </c>
      <c r="J762" s="10" t="n">
        <v>185000</v>
      </c>
      <c r="K762" s="10" t="n">
        <v>370000</v>
      </c>
    </row>
    <row r="763">
      <c r="A763" s="10" t="inlineStr">
        <is>
          <t>INV-71074</t>
        </is>
      </c>
      <c r="B763" s="10" t="inlineStr">
        <is>
          <t>2025-11-07</t>
        </is>
      </c>
      <c r="C763" s="10" t="inlineStr">
        <is>
          <t>C1302</t>
        </is>
      </c>
      <c r="D763" s="10" t="inlineStr">
        <is>
          <t>champion</t>
        </is>
      </c>
      <c r="E763" s="10" t="inlineStr">
        <is>
          <t>Shopee</t>
        </is>
      </c>
      <c r="F763" s="10" t="inlineStr">
        <is>
          <t>Jawa Barat</t>
        </is>
      </c>
      <c r="G763" s="10" t="inlineStr">
        <is>
          <t>Fashion</t>
        </is>
      </c>
      <c r="H763" s="10" t="inlineStr">
        <is>
          <t>Kaos Premium</t>
        </is>
      </c>
      <c r="I763" s="10" t="n">
        <v>3</v>
      </c>
      <c r="J763" s="10" t="n">
        <v>95000</v>
      </c>
      <c r="K763" s="10" t="n">
        <v>285000</v>
      </c>
    </row>
    <row r="764">
      <c r="A764" s="10" t="inlineStr">
        <is>
          <t>INV-70727</t>
        </is>
      </c>
      <c r="B764" s="10" t="inlineStr">
        <is>
          <t>2025-11-15</t>
        </is>
      </c>
      <c r="C764" s="10" t="inlineStr">
        <is>
          <t>C1204</t>
        </is>
      </c>
      <c r="D764" s="10" t="inlineStr">
        <is>
          <t>regular</t>
        </is>
      </c>
      <c r="E764" s="10" t="inlineStr">
        <is>
          <t>Shopee</t>
        </is>
      </c>
      <c r="F764" s="10" t="inlineStr">
        <is>
          <t>Jabodetabek</t>
        </is>
      </c>
      <c r="G764" s="10" t="inlineStr">
        <is>
          <t>Rumah Tangga</t>
        </is>
      </c>
      <c r="H764" s="10" t="inlineStr">
        <is>
          <t>Organizer Laci</t>
        </is>
      </c>
      <c r="I764" s="10" t="n">
        <v>2</v>
      </c>
      <c r="J764" s="10" t="n">
        <v>78000</v>
      </c>
      <c r="K764" s="10" t="n">
        <v>156000</v>
      </c>
    </row>
    <row r="765">
      <c r="A765" s="10" t="inlineStr">
        <is>
          <t>INV-70618</t>
        </is>
      </c>
      <c r="B765" s="10" t="inlineStr">
        <is>
          <t>2025-02-21</t>
        </is>
      </c>
      <c r="C765" s="10" t="inlineStr">
        <is>
          <t>C1168</t>
        </is>
      </c>
      <c r="D765" s="10" t="inlineStr">
        <is>
          <t>onetime</t>
        </is>
      </c>
      <c r="E765" s="10" t="inlineStr">
        <is>
          <t>Tokopedia</t>
        </is>
      </c>
      <c r="F765" s="10" t="inlineStr">
        <is>
          <t>Sumatera</t>
        </is>
      </c>
      <c r="G765" s="10" t="inlineStr">
        <is>
          <t>Rumah Tangga</t>
        </is>
      </c>
      <c r="H765" s="10" t="inlineStr">
        <is>
          <t>Set Wadah Kedap</t>
        </is>
      </c>
      <c r="I765" s="10" t="n">
        <v>2</v>
      </c>
      <c r="J765" s="10" t="n">
        <v>135000</v>
      </c>
      <c r="K765" s="10" t="n">
        <v>270000</v>
      </c>
    </row>
    <row r="766">
      <c r="A766" s="10" t="inlineStr">
        <is>
          <t>INV-70289</t>
        </is>
      </c>
      <c r="B766" s="10" t="inlineStr">
        <is>
          <t>2026-04-03</t>
        </is>
      </c>
      <c r="C766" s="10" t="inlineStr">
        <is>
          <t>C1083</t>
        </is>
      </c>
      <c r="D766" s="10" t="inlineStr">
        <is>
          <t>loyal</t>
        </is>
      </c>
      <c r="E766" s="10" t="inlineStr">
        <is>
          <t>SHOPEE</t>
        </is>
      </c>
      <c r="F766" s="10" t="inlineStr">
        <is>
          <t>Jabodetabek</t>
        </is>
      </c>
      <c r="G766" s="10" t="inlineStr">
        <is>
          <t>Rumah Tangga</t>
        </is>
      </c>
      <c r="H766" s="10" t="inlineStr">
        <is>
          <t>Set Wadah Kedap</t>
        </is>
      </c>
      <c r="I766" s="10" t="n">
        <v>4</v>
      </c>
      <c r="J766" s="10" t="n">
        <v>135000</v>
      </c>
      <c r="K766" s="10" t="inlineStr">
        <is>
          <t>Rp 540.000</t>
        </is>
      </c>
    </row>
    <row r="767">
      <c r="A767" s="10" t="inlineStr">
        <is>
          <t>INV-71128</t>
        </is>
      </c>
      <c r="B767" s="10" t="inlineStr">
        <is>
          <t>2025-03-11</t>
        </is>
      </c>
      <c r="C767" s="10" t="inlineStr">
        <is>
          <t>C1319</t>
        </is>
      </c>
      <c r="D767" s="10" t="inlineStr">
        <is>
          <t>onetime</t>
        </is>
      </c>
      <c r="E767" s="10" t="inlineStr">
        <is>
          <t>shopee</t>
        </is>
      </c>
      <c r="F767" s="10" t="inlineStr">
        <is>
          <t>Jabodetabek</t>
        </is>
      </c>
      <c r="G767" s="10" t="inlineStr">
        <is>
          <t>Elektronik</t>
        </is>
      </c>
      <c r="H767" s="10" t="inlineStr">
        <is>
          <t>Smartwatch</t>
        </is>
      </c>
      <c r="I767" s="10" t="n">
        <v>4</v>
      </c>
      <c r="J767" s="10" t="n">
        <v>450000</v>
      </c>
      <c r="K767" s="10" t="n">
        <v>1800000</v>
      </c>
    </row>
    <row r="768">
      <c r="A768" s="10" t="inlineStr">
        <is>
          <t>INV-70520</t>
        </is>
      </c>
      <c r="B768" s="10" t="inlineStr">
        <is>
          <t>2026-05-01</t>
        </is>
      </c>
      <c r="C768" s="10" t="inlineStr">
        <is>
          <t>C1142</t>
        </is>
      </c>
      <c r="D768" s="10" t="inlineStr">
        <is>
          <t>champion</t>
        </is>
      </c>
      <c r="E768" s="10" t="inlineStr">
        <is>
          <t>SHOPEE</t>
        </is>
      </c>
      <c r="F768" s="10" t="inlineStr">
        <is>
          <t>Jabodetabek</t>
        </is>
      </c>
      <c r="G768" s="10" t="inlineStr">
        <is>
          <t>Kecantikan</t>
        </is>
      </c>
      <c r="H768" s="10" t="inlineStr">
        <is>
          <t>Masker Wajah (5s)</t>
        </is>
      </c>
      <c r="I768" s="10" t="n">
        <v>4</v>
      </c>
      <c r="J768" s="10" t="n">
        <v>55000</v>
      </c>
      <c r="K768" s="10" t="n">
        <v>220000</v>
      </c>
    </row>
    <row r="769">
      <c r="A769" s="10" t="inlineStr">
        <is>
          <t>INV-70161</t>
        </is>
      </c>
      <c r="B769" s="10" t="inlineStr">
        <is>
          <t>25/05/2025</t>
        </is>
      </c>
      <c r="C769" s="10" t="inlineStr">
        <is>
          <t>C1048</t>
        </is>
      </c>
      <c r="D769" s="10" t="inlineStr">
        <is>
          <t>occasional</t>
        </is>
      </c>
      <c r="E769" s="10" t="inlineStr">
        <is>
          <t>Offline Store</t>
        </is>
      </c>
      <c r="F769" s="10" t="inlineStr">
        <is>
          <t>Sumatera</t>
        </is>
      </c>
      <c r="G769" s="10" t="inlineStr">
        <is>
          <t>Kecantikan</t>
        </is>
      </c>
      <c r="H769" s="10" t="inlineStr">
        <is>
          <t>Serum Vit C</t>
        </is>
      </c>
      <c r="I769" s="10" t="n">
        <v>1</v>
      </c>
      <c r="J769" s="10" t="n">
        <v>145000</v>
      </c>
      <c r="K769" s="10" t="inlineStr">
        <is>
          <t>Rp 145.000</t>
        </is>
      </c>
    </row>
    <row r="770">
      <c r="A770" s="10" t="inlineStr">
        <is>
          <t>INV-70288</t>
        </is>
      </c>
      <c r="B770" s="10" t="inlineStr">
        <is>
          <t>2025-11-07</t>
        </is>
      </c>
      <c r="C770" s="10" t="inlineStr">
        <is>
          <t>C1082</t>
        </is>
      </c>
      <c r="D770" s="10" t="inlineStr">
        <is>
          <t>occasional</t>
        </is>
      </c>
      <c r="E770" s="10" t="inlineStr">
        <is>
          <t>Tokopedia</t>
        </is>
      </c>
      <c r="F770" s="10" t="inlineStr">
        <is>
          <t>Jawa Barat</t>
        </is>
      </c>
      <c r="G770" s="10" t="inlineStr">
        <is>
          <t>Makanan</t>
        </is>
      </c>
      <c r="H770" s="10" t="inlineStr">
        <is>
          <t>Granola 500g</t>
        </is>
      </c>
      <c r="I770" s="10" t="n">
        <v>2</v>
      </c>
      <c r="J770" s="10" t="n">
        <v>92000</v>
      </c>
      <c r="K770" s="10" t="n">
        <v>184000</v>
      </c>
    </row>
    <row r="771">
      <c r="A771" s="10" t="inlineStr">
        <is>
          <t>INV-71276</t>
        </is>
      </c>
      <c r="B771" s="10" t="inlineStr">
        <is>
          <t>2026-03-19</t>
        </is>
      </c>
      <c r="C771" s="10" t="inlineStr">
        <is>
          <t>C1358</t>
        </is>
      </c>
      <c r="D771" s="10" t="inlineStr">
        <is>
          <t>champion</t>
        </is>
      </c>
      <c r="E771" s="10" t="inlineStr">
        <is>
          <t>Offline Store</t>
        </is>
      </c>
      <c r="F771" s="10" t="inlineStr">
        <is>
          <t>Jabodetabek</t>
        </is>
      </c>
      <c r="G771" s="10" t="inlineStr">
        <is>
          <t>Fashion</t>
        </is>
      </c>
      <c r="H771" s="10" t="inlineStr">
        <is>
          <t>Celana Chino</t>
        </is>
      </c>
      <c r="I771" s="10" t="n">
        <v>2</v>
      </c>
      <c r="J771" s="10" t="n">
        <v>195000</v>
      </c>
      <c r="K771" s="10" t="n">
        <v>390000</v>
      </c>
    </row>
    <row r="772">
      <c r="A772" s="10" t="inlineStr">
        <is>
          <t>INV-70630</t>
        </is>
      </c>
      <c r="B772" s="10" t="inlineStr">
        <is>
          <t>2025-10-09</t>
        </is>
      </c>
      <c r="C772" s="10" t="inlineStr">
        <is>
          <t>C1173</t>
        </is>
      </c>
      <c r="D772" s="10" t="inlineStr">
        <is>
          <t>loyal</t>
        </is>
      </c>
      <c r="E772" s="10" t="inlineStr">
        <is>
          <t xml:space="preserve">Offline store </t>
        </is>
      </c>
      <c r="F772" s="10" t="inlineStr">
        <is>
          <t>Sumatera</t>
        </is>
      </c>
      <c r="G772" s="10" t="inlineStr">
        <is>
          <t>Rumah Tangga</t>
        </is>
      </c>
      <c r="H772" s="10" t="inlineStr">
        <is>
          <t>Set Wadah Kedap</t>
        </is>
      </c>
      <c r="I772" s="10" t="n">
        <v>1</v>
      </c>
      <c r="J772" s="10" t="n">
        <v>135000</v>
      </c>
      <c r="K772" s="10" t="n">
        <v>135000</v>
      </c>
    </row>
    <row r="773">
      <c r="A773" s="10" t="inlineStr">
        <is>
          <t>INV-71545</t>
        </is>
      </c>
      <c r="B773" s="10" t="inlineStr">
        <is>
          <t>2025-12-27</t>
        </is>
      </c>
      <c r="C773" s="10" t="inlineStr">
        <is>
          <t>C1425</t>
        </is>
      </c>
      <c r="D773" s="10" t="inlineStr">
        <is>
          <t>loyal</t>
        </is>
      </c>
      <c r="E773" s="10" t="inlineStr">
        <is>
          <t>Tokopedia</t>
        </is>
      </c>
      <c r="F773" s="10" t="inlineStr">
        <is>
          <t>Jawa Timur</t>
        </is>
      </c>
      <c r="G773" s="10" t="inlineStr">
        <is>
          <t>Fashion</t>
        </is>
      </c>
      <c r="H773" s="10" t="inlineStr">
        <is>
          <t>Kemeja Linen</t>
        </is>
      </c>
      <c r="I773" s="10" t="n">
        <v>1</v>
      </c>
      <c r="J773" s="10" t="n">
        <v>185000</v>
      </c>
      <c r="K773" s="10" t="n">
        <v>185000</v>
      </c>
    </row>
    <row r="774">
      <c r="A774" s="10" t="inlineStr">
        <is>
          <t>INV-71160</t>
        </is>
      </c>
      <c r="B774" s="10" t="inlineStr">
        <is>
          <t>05/03/2025</t>
        </is>
      </c>
      <c r="C774" s="10" t="inlineStr">
        <is>
          <t>C1329</t>
        </is>
      </c>
      <c r="D774" s="10" t="inlineStr">
        <is>
          <t>regular</t>
        </is>
      </c>
      <c r="E774" s="10" t="inlineStr">
        <is>
          <t>TikTok Shop</t>
        </is>
      </c>
      <c r="F774" s="10" t="inlineStr">
        <is>
          <t>Sumatera</t>
        </is>
      </c>
      <c r="G774" s="10" t="inlineStr">
        <is>
          <t>Elektronik</t>
        </is>
      </c>
      <c r="H774" s="10" t="inlineStr">
        <is>
          <t>Power Bank 20K</t>
        </is>
      </c>
      <c r="I774" s="10" t="n">
        <v>1</v>
      </c>
      <c r="J774" s="10" t="n">
        <v>185000</v>
      </c>
      <c r="K774" s="10" t="n">
        <v>185000</v>
      </c>
    </row>
    <row r="775">
      <c r="A775" s="10" t="inlineStr">
        <is>
          <t>INV-71316</t>
        </is>
      </c>
      <c r="B775" s="10" t="inlineStr">
        <is>
          <t>2025-03-19</t>
        </is>
      </c>
      <c r="C775" s="10" t="inlineStr">
        <is>
          <t>C1364</t>
        </is>
      </c>
      <c r="D775" s="10" t="inlineStr">
        <is>
          <t>champion</t>
        </is>
      </c>
      <c r="E775" s="10" t="inlineStr">
        <is>
          <t>Tokopedia</t>
        </is>
      </c>
      <c r="F775" s="10" t="inlineStr">
        <is>
          <t>Sumatera</t>
        </is>
      </c>
      <c r="G775" s="10" t="inlineStr">
        <is>
          <t>kecantikan</t>
        </is>
      </c>
      <c r="H775" s="10" t="inlineStr">
        <is>
          <t>Masker Wajah (5s)</t>
        </is>
      </c>
      <c r="I775" s="10" t="n">
        <v>2</v>
      </c>
      <c r="J775" s="10" t="n">
        <v>55000</v>
      </c>
      <c r="K775" s="10" t="inlineStr">
        <is>
          <t>Rp 110.000</t>
        </is>
      </c>
    </row>
    <row r="776">
      <c r="A776" s="10" t="inlineStr">
        <is>
          <t>INV-71341</t>
        </is>
      </c>
      <c r="B776" s="10" t="inlineStr">
        <is>
          <t>2025-04-01</t>
        </is>
      </c>
      <c r="C776" s="10" t="inlineStr">
        <is>
          <t>C1369</t>
        </is>
      </c>
      <c r="D776" s="10" t="inlineStr">
        <is>
          <t>loyal</t>
        </is>
      </c>
      <c r="E776" s="10" t="inlineStr">
        <is>
          <t xml:space="preserve">Tokopedia </t>
        </is>
      </c>
      <c r="F776" s="10" t="inlineStr">
        <is>
          <t>Jawa Tengah</t>
        </is>
      </c>
      <c r="G776" s="10" t="inlineStr">
        <is>
          <t>Rumah Tangga</t>
        </is>
      </c>
      <c r="H776" s="10" t="inlineStr">
        <is>
          <t>Organizer Laci</t>
        </is>
      </c>
      <c r="I776" s="10" t="n">
        <v>2</v>
      </c>
      <c r="J776" s="10" t="n">
        <v>78000</v>
      </c>
      <c r="K776" s="10" t="n">
        <v>156000</v>
      </c>
    </row>
    <row r="777">
      <c r="A777" s="10" t="inlineStr">
        <is>
          <t>INV-70499</t>
        </is>
      </c>
      <c r="B777" s="10" t="inlineStr">
        <is>
          <t>2026-05-17</t>
        </is>
      </c>
      <c r="C777" s="10" t="inlineStr">
        <is>
          <t>C1141</t>
        </is>
      </c>
      <c r="D777" s="10" t="inlineStr">
        <is>
          <t>loyal</t>
        </is>
      </c>
      <c r="E777" s="10" t="inlineStr">
        <is>
          <t>TikTok Shop</t>
        </is>
      </c>
      <c r="F777" s="10" t="inlineStr">
        <is>
          <t>Jawa Tengah</t>
        </is>
      </c>
      <c r="G777" s="10" t="inlineStr">
        <is>
          <t>Rumah Tangga</t>
        </is>
      </c>
      <c r="H777" s="10" t="inlineStr">
        <is>
          <t>Set Wadah Kedap</t>
        </is>
      </c>
      <c r="I777" s="10" t="n">
        <v>2</v>
      </c>
      <c r="J777" s="10" t="n">
        <v>135000</v>
      </c>
      <c r="K777" s="10" t="inlineStr">
        <is>
          <t>Rp 270.000</t>
        </is>
      </c>
    </row>
    <row r="778">
      <c r="A778" s="10" t="inlineStr">
        <is>
          <t>INV-70865</t>
        </is>
      </c>
      <c r="B778" s="10" t="inlineStr">
        <is>
          <t>2025-05-06</t>
        </is>
      </c>
      <c r="C778" s="10" t="inlineStr">
        <is>
          <t>C1244</t>
        </is>
      </c>
      <c r="D778" s="10" t="inlineStr">
        <is>
          <t>regular</t>
        </is>
      </c>
      <c r="E778" s="10" t="inlineStr">
        <is>
          <t>Tokopedia</t>
        </is>
      </c>
      <c r="F778" s="10" t="inlineStr">
        <is>
          <t>Jawa Barat</t>
        </is>
      </c>
      <c r="G778" s="10" t="inlineStr">
        <is>
          <t>Rumah Tangga</t>
        </is>
      </c>
      <c r="H778" s="10" t="inlineStr">
        <is>
          <t>Set Wadah Kedap</t>
        </is>
      </c>
      <c r="I778" s="10" t="n">
        <v>2</v>
      </c>
      <c r="J778" s="10" t="n">
        <v>135000</v>
      </c>
      <c r="K778" s="10" t="n">
        <v>270000</v>
      </c>
    </row>
    <row r="779">
      <c r="A779" s="10" t="inlineStr">
        <is>
          <t>INV-70830</t>
        </is>
      </c>
      <c r="B779" s="10" t="inlineStr">
        <is>
          <t>2025-11-12</t>
        </is>
      </c>
      <c r="C779" s="10" t="inlineStr">
        <is>
          <t>C1234</t>
        </is>
      </c>
      <c r="D779" s="10" t="inlineStr">
        <is>
          <t>loyal</t>
        </is>
      </c>
      <c r="E779" s="10" t="inlineStr">
        <is>
          <t>TikTok Shop</t>
        </is>
      </c>
      <c r="F779" s="10" t="inlineStr">
        <is>
          <t>Jabodetabek</t>
        </is>
      </c>
      <c r="G779" s="10" t="inlineStr">
        <is>
          <t>Kecantikan</t>
        </is>
      </c>
      <c r="H779" s="10" t="inlineStr">
        <is>
          <t>Serum Vit C</t>
        </is>
      </c>
      <c r="I779" s="10" t="n">
        <v>2</v>
      </c>
      <c r="J779" s="10" t="n">
        <v>145000</v>
      </c>
      <c r="K779" s="10" t="inlineStr">
        <is>
          <t>Rp 290.000</t>
        </is>
      </c>
    </row>
    <row r="780">
      <c r="A780" s="10" t="inlineStr">
        <is>
          <t>INV-70521</t>
        </is>
      </c>
      <c r="B780" s="10" t="inlineStr">
        <is>
          <t>2026-05-26</t>
        </is>
      </c>
      <c r="C780" s="10" t="inlineStr">
        <is>
          <t>C1143</t>
        </is>
      </c>
      <c r="D780" s="10" t="inlineStr">
        <is>
          <t>onetime</t>
        </is>
      </c>
      <c r="E780" s="10" t="inlineStr">
        <is>
          <t>Shopee</t>
        </is>
      </c>
      <c r="F780" s="10" t="inlineStr">
        <is>
          <t>Sumatera</t>
        </is>
      </c>
      <c r="G780" s="10" t="inlineStr">
        <is>
          <t>Elektronik</t>
        </is>
      </c>
      <c r="H780" s="10" t="inlineStr">
        <is>
          <t>Webcam HD</t>
        </is>
      </c>
      <c r="I780" s="10" t="n">
        <v>1</v>
      </c>
      <c r="J780" s="10" t="n">
        <v>210000</v>
      </c>
      <c r="K780" s="10" t="inlineStr">
        <is>
          <t>Rp 210.000</t>
        </is>
      </c>
    </row>
    <row r="781">
      <c r="A781" s="10" t="inlineStr">
        <is>
          <t>INV-70638</t>
        </is>
      </c>
      <c r="B781" s="10" t="inlineStr">
        <is>
          <t>23 Oct 2025</t>
        </is>
      </c>
      <c r="C781" s="10" t="inlineStr">
        <is>
          <t>C1174</t>
        </is>
      </c>
      <c r="D781" s="10" t="inlineStr">
        <is>
          <t>loyal</t>
        </is>
      </c>
      <c r="E781" s="10" t="inlineStr">
        <is>
          <t>Offline Store</t>
        </is>
      </c>
      <c r="F781" s="10" t="inlineStr">
        <is>
          <t>Sumatera</t>
        </is>
      </c>
      <c r="G781" s="10" t="inlineStr">
        <is>
          <t>Rumah Tangga</t>
        </is>
      </c>
      <c r="H781" s="10" t="inlineStr">
        <is>
          <t>Set Wadah Kedap</t>
        </is>
      </c>
      <c r="I781" s="10" t="n">
        <v>2</v>
      </c>
      <c r="J781" s="10" t="n">
        <v>135000</v>
      </c>
      <c r="K781" s="10" t="n">
        <v>270000</v>
      </c>
    </row>
    <row r="782">
      <c r="A782" s="10" t="inlineStr">
        <is>
          <t>INV-70218</t>
        </is>
      </c>
      <c r="B782" s="10" t="inlineStr">
        <is>
          <t>2026-05-10</t>
        </is>
      </c>
      <c r="C782" s="10" t="inlineStr">
        <is>
          <t>C1061</t>
        </is>
      </c>
      <c r="D782" s="10" t="inlineStr">
        <is>
          <t>occasional</t>
        </is>
      </c>
      <c r="E782" s="10" t="inlineStr">
        <is>
          <t>SHOPEE</t>
        </is>
      </c>
      <c r="F782" s="10" t="inlineStr">
        <is>
          <t>Sumatera</t>
        </is>
      </c>
      <c r="G782" s="10" t="inlineStr">
        <is>
          <t>Rumah Tangga</t>
        </is>
      </c>
      <c r="H782" s="10" t="inlineStr">
        <is>
          <t>Karpet Bulu</t>
        </is>
      </c>
      <c r="I782" s="10" t="n">
        <v>2</v>
      </c>
      <c r="J782" s="10" t="n">
        <v>240000</v>
      </c>
      <c r="K782" s="10" t="n">
        <v>480000</v>
      </c>
    </row>
    <row r="783">
      <c r="A783" s="10" t="inlineStr">
        <is>
          <t>INV-71291</t>
        </is>
      </c>
      <c r="B783" s="10" t="inlineStr">
        <is>
          <t>2025-01-11</t>
        </is>
      </c>
      <c r="C783" s="10" t="inlineStr">
        <is>
          <t>C1359</t>
        </is>
      </c>
      <c r="D783" s="10" t="inlineStr">
        <is>
          <t>champion</t>
        </is>
      </c>
      <c r="E783" s="10" t="inlineStr">
        <is>
          <t xml:space="preserve">Shopee </t>
        </is>
      </c>
      <c r="F783" s="10" t="inlineStr">
        <is>
          <t>Jawa Barat</t>
        </is>
      </c>
      <c r="G783" s="10" t="inlineStr">
        <is>
          <t>Rumah Tangga</t>
        </is>
      </c>
      <c r="H783" s="10" t="inlineStr">
        <is>
          <t>Diffuser Aroma</t>
        </is>
      </c>
      <c r="I783" s="10" t="n">
        <v>1</v>
      </c>
      <c r="J783" s="10" t="n">
        <v>195000</v>
      </c>
      <c r="K783" s="10" t="n">
        <v>195000</v>
      </c>
    </row>
    <row r="784">
      <c r="A784" s="10" t="inlineStr">
        <is>
          <t>INV-71083</t>
        </is>
      </c>
      <c r="B784" s="10" t="inlineStr">
        <is>
          <t>2025-09-06</t>
        </is>
      </c>
      <c r="C784" s="10" t="inlineStr">
        <is>
          <t>C1305</t>
        </is>
      </c>
      <c r="D784" s="10" t="inlineStr">
        <is>
          <t>champion</t>
        </is>
      </c>
      <c r="E784" s="10" t="inlineStr">
        <is>
          <t>Tokopedia</t>
        </is>
      </c>
      <c r="F784" s="10" t="inlineStr">
        <is>
          <t>Jabodetabek</t>
        </is>
      </c>
      <c r="G784" s="10" t="inlineStr">
        <is>
          <t>Elektronik</t>
        </is>
      </c>
      <c r="H784" s="10" t="inlineStr">
        <is>
          <t>Smartwatch</t>
        </is>
      </c>
      <c r="I784" s="10" t="n">
        <v>2</v>
      </c>
      <c r="J784" s="10" t="n">
        <v>450000</v>
      </c>
      <c r="K784" s="10" t="n">
        <v>900000</v>
      </c>
    </row>
    <row r="785">
      <c r="A785" s="10" t="inlineStr">
        <is>
          <t>INV-70505</t>
        </is>
      </c>
      <c r="B785" s="10" t="inlineStr">
        <is>
          <t>2025-11-05</t>
        </is>
      </c>
      <c r="C785" s="10" t="inlineStr">
        <is>
          <t>C1141</t>
        </is>
      </c>
      <c r="D785" s="10" t="inlineStr">
        <is>
          <t>loyal</t>
        </is>
      </c>
      <c r="E785" s="10" t="inlineStr">
        <is>
          <t>Shopee</t>
        </is>
      </c>
      <c r="F785" s="10" t="inlineStr">
        <is>
          <t>Jawa Timur</t>
        </is>
      </c>
      <c r="G785" s="10" t="inlineStr">
        <is>
          <t>Rumah Tangga</t>
        </is>
      </c>
      <c r="H785" s="10" t="inlineStr">
        <is>
          <t>Set Wadah Kedap</t>
        </is>
      </c>
      <c r="I785" s="10" t="n">
        <v>2</v>
      </c>
      <c r="J785" s="10" t="n">
        <v>135000</v>
      </c>
      <c r="K785" s="10" t="n">
        <v>270000</v>
      </c>
    </row>
    <row r="786">
      <c r="A786" s="10" t="inlineStr">
        <is>
          <t>INV-70134</t>
        </is>
      </c>
      <c r="B786" s="10" t="inlineStr">
        <is>
          <t>2025-04-04</t>
        </is>
      </c>
      <c r="C786" s="10" t="inlineStr">
        <is>
          <t>C1038</t>
        </is>
      </c>
      <c r="D786" s="10" t="inlineStr">
        <is>
          <t>champion</t>
        </is>
      </c>
      <c r="E786" s="10" t="inlineStr">
        <is>
          <t>Tokopedia</t>
        </is>
      </c>
      <c r="F786" s="10" t="n"/>
      <c r="G786" s="10" t="inlineStr">
        <is>
          <t>Rumah Tangga</t>
        </is>
      </c>
      <c r="H786" s="10" t="inlineStr">
        <is>
          <t>Set Wadah Kedap</t>
        </is>
      </c>
      <c r="I786" s="10" t="n">
        <v>1</v>
      </c>
      <c r="J786" s="10" t="n">
        <v>135000</v>
      </c>
      <c r="K786" s="10" t="n">
        <v>135000</v>
      </c>
    </row>
    <row r="787">
      <c r="A787" s="10" t="inlineStr">
        <is>
          <t>INV-70452</t>
        </is>
      </c>
      <c r="B787" s="10" t="inlineStr">
        <is>
          <t>03 Jul 2025</t>
        </is>
      </c>
      <c r="C787" s="10" t="inlineStr">
        <is>
          <t>C1129</t>
        </is>
      </c>
      <c r="D787" s="10" t="inlineStr">
        <is>
          <t>regular</t>
        </is>
      </c>
      <c r="E787" s="10" t="inlineStr">
        <is>
          <t>Tokopedia</t>
        </is>
      </c>
      <c r="F787" s="10" t="inlineStr">
        <is>
          <t>Jabodetabek</t>
        </is>
      </c>
      <c r="G787" s="10" t="inlineStr">
        <is>
          <t>Rumah Tangga</t>
        </is>
      </c>
      <c r="H787" s="10" t="inlineStr">
        <is>
          <t>Set Wadah Kedap</t>
        </is>
      </c>
      <c r="I787" s="10" t="n">
        <v>1</v>
      </c>
      <c r="J787" s="10" t="n">
        <v>135000</v>
      </c>
      <c r="K787" s="10" t="n">
        <v>135000</v>
      </c>
    </row>
    <row r="788">
      <c r="A788" s="10" t="inlineStr">
        <is>
          <t>INV-71012</t>
        </is>
      </c>
      <c r="B788" s="10" t="inlineStr">
        <is>
          <t>2025-02-02</t>
        </is>
      </c>
      <c r="C788" s="10" t="inlineStr">
        <is>
          <t>C1288</t>
        </is>
      </c>
      <c r="D788" s="10" t="inlineStr">
        <is>
          <t>regular</t>
        </is>
      </c>
      <c r="E788" s="10" t="inlineStr">
        <is>
          <t>Shopee</t>
        </is>
      </c>
      <c r="F788" s="10" t="inlineStr">
        <is>
          <t>Jawa Tengah</t>
        </is>
      </c>
      <c r="G788" s="10" t="inlineStr">
        <is>
          <t>Elektronik</t>
        </is>
      </c>
      <c r="H788" s="10" t="inlineStr">
        <is>
          <t>Power Bank 20K</t>
        </is>
      </c>
      <c r="I788" s="10" t="n">
        <v>3</v>
      </c>
      <c r="J788" s="10" t="n">
        <v>185000</v>
      </c>
      <c r="K788" s="10" t="n">
        <v>555000</v>
      </c>
    </row>
    <row r="789">
      <c r="A789" s="10" t="inlineStr">
        <is>
          <t>INV-70445</t>
        </is>
      </c>
      <c r="B789" s="10" t="inlineStr">
        <is>
          <t>2025-10-02</t>
        </is>
      </c>
      <c r="C789" s="10" t="inlineStr">
        <is>
          <t>C1125</t>
        </is>
      </c>
      <c r="D789" s="10" t="inlineStr">
        <is>
          <t>regular</t>
        </is>
      </c>
      <c r="E789" s="10" t="inlineStr">
        <is>
          <t>Offline Store</t>
        </is>
      </c>
      <c r="F789" s="10" t="inlineStr">
        <is>
          <t>Jawa Timur</t>
        </is>
      </c>
      <c r="G789" s="10" t="inlineStr">
        <is>
          <t>Rumah Tangga</t>
        </is>
      </c>
      <c r="H789" s="10" t="inlineStr">
        <is>
          <t>Organizer Laci</t>
        </is>
      </c>
      <c r="I789" s="10" t="n">
        <v>2</v>
      </c>
      <c r="J789" s="10" t="n">
        <v>78000</v>
      </c>
      <c r="K789" s="10" t="n">
        <v>156000</v>
      </c>
    </row>
    <row r="790">
      <c r="A790" s="10" t="inlineStr">
        <is>
          <t>INV-71229</t>
        </is>
      </c>
      <c r="B790" s="10" t="inlineStr">
        <is>
          <t>2026-05-23</t>
        </is>
      </c>
      <c r="C790" s="10" t="inlineStr">
        <is>
          <t>C1348</t>
        </is>
      </c>
      <c r="D790" s="10" t="inlineStr">
        <is>
          <t>loyal</t>
        </is>
      </c>
      <c r="E790" s="10" t="inlineStr">
        <is>
          <t>Shopee</t>
        </is>
      </c>
      <c r="F790" s="10" t="inlineStr">
        <is>
          <t>Sumatera</t>
        </is>
      </c>
      <c r="G790" s="10" t="inlineStr">
        <is>
          <t>rumah tangga</t>
        </is>
      </c>
      <c r="H790" s="10" t="inlineStr">
        <is>
          <t>Set Wadah Kedap</t>
        </is>
      </c>
      <c r="I790" s="10" t="n">
        <v>3</v>
      </c>
      <c r="J790" s="10" t="n">
        <v>135000</v>
      </c>
      <c r="K790" s="10" t="n">
        <v>405000</v>
      </c>
    </row>
    <row r="791">
      <c r="A791" s="10" t="inlineStr">
        <is>
          <t>INV-70953</t>
        </is>
      </c>
      <c r="B791" s="10" t="inlineStr">
        <is>
          <t>2026-03-07</t>
        </is>
      </c>
      <c r="C791" s="10" t="inlineStr">
        <is>
          <t>C1271</t>
        </is>
      </c>
      <c r="D791" s="10" t="inlineStr">
        <is>
          <t>regular</t>
        </is>
      </c>
      <c r="E791" s="10" t="inlineStr">
        <is>
          <t>Offline Store</t>
        </is>
      </c>
      <c r="F791" s="10" t="inlineStr">
        <is>
          <t>Jabodetabek</t>
        </is>
      </c>
      <c r="G791" s="10" t="inlineStr">
        <is>
          <t>Rumah Tangga</t>
        </is>
      </c>
      <c r="H791" s="10" t="inlineStr">
        <is>
          <t>Set Wadah Kedap</t>
        </is>
      </c>
      <c r="I791" s="10" t="n">
        <v>2</v>
      </c>
      <c r="J791" s="10" t="n">
        <v>135000</v>
      </c>
      <c r="K791" s="10" t="n">
        <v>270000</v>
      </c>
    </row>
    <row r="792">
      <c r="A792" s="10" t="inlineStr">
        <is>
          <t>INV-70102</t>
        </is>
      </c>
      <c r="B792" s="10" t="inlineStr">
        <is>
          <t>20/05/2026</t>
        </is>
      </c>
      <c r="C792" s="10" t="inlineStr">
        <is>
          <t>C1029</t>
        </is>
      </c>
      <c r="D792" s="10" t="inlineStr">
        <is>
          <t>champion</t>
        </is>
      </c>
      <c r="E792" s="10" t="inlineStr">
        <is>
          <t>Tokopedia</t>
        </is>
      </c>
      <c r="F792" s="10" t="inlineStr">
        <is>
          <t>Jawa Timur</t>
        </is>
      </c>
      <c r="G792" s="10" t="inlineStr">
        <is>
          <t>Kecantikan</t>
        </is>
      </c>
      <c r="H792" s="10" t="inlineStr">
        <is>
          <t>Masker Wajah (5s)</t>
        </is>
      </c>
      <c r="I792" s="10" t="n">
        <v>3</v>
      </c>
      <c r="J792" s="10" t="n">
        <v>55000</v>
      </c>
      <c r="K792" s="10" t="n">
        <v>165000</v>
      </c>
    </row>
    <row r="793">
      <c r="A793" s="10" t="inlineStr">
        <is>
          <t>INV-70016</t>
        </is>
      </c>
      <c r="B793" s="10" t="inlineStr">
        <is>
          <t>2025-01-01</t>
        </is>
      </c>
      <c r="C793" s="10" t="inlineStr">
        <is>
          <t>C1003</t>
        </is>
      </c>
      <c r="D793" s="10" t="inlineStr">
        <is>
          <t>regular</t>
        </is>
      </c>
      <c r="E793" s="10" t="inlineStr">
        <is>
          <t>Tokopedia</t>
        </is>
      </c>
      <c r="F793" s="10" t="inlineStr">
        <is>
          <t>Jawa Barat</t>
        </is>
      </c>
      <c r="G793" s="10" t="inlineStr">
        <is>
          <t>rumah tangga</t>
        </is>
      </c>
      <c r="H793" s="10" t="inlineStr">
        <is>
          <t>Organizer Laci</t>
        </is>
      </c>
      <c r="I793" s="10" t="n">
        <v>2</v>
      </c>
      <c r="J793" s="10" t="n">
        <v>78000</v>
      </c>
      <c r="K793" s="10" t="inlineStr">
        <is>
          <t>Rp 156.000</t>
        </is>
      </c>
    </row>
    <row r="794">
      <c r="A794" s="10" t="inlineStr">
        <is>
          <t>INV-70315</t>
        </is>
      </c>
      <c r="B794" s="10" t="inlineStr">
        <is>
          <t>2026-01-19</t>
        </is>
      </c>
      <c r="C794" s="10" t="inlineStr">
        <is>
          <t>C1088</t>
        </is>
      </c>
      <c r="D794" s="10" t="inlineStr">
        <is>
          <t>champion</t>
        </is>
      </c>
      <c r="E794" s="10" t="inlineStr">
        <is>
          <t xml:space="preserve"> tokopedia</t>
        </is>
      </c>
      <c r="F794" s="10" t="inlineStr">
        <is>
          <t>Jabodetabek</t>
        </is>
      </c>
      <c r="G794" s="10" t="inlineStr">
        <is>
          <t>Rumah Tangga</t>
        </is>
      </c>
      <c r="H794" s="10" t="inlineStr">
        <is>
          <t>Organizer Laci</t>
        </is>
      </c>
      <c r="I794" s="10" t="n">
        <v>3</v>
      </c>
      <c r="J794" s="10" t="n">
        <v>78000</v>
      </c>
      <c r="K794" s="10" t="n">
        <v>234000</v>
      </c>
    </row>
    <row r="795">
      <c r="A795" s="10" t="inlineStr">
        <is>
          <t>INV-70404</t>
        </is>
      </c>
      <c r="B795" s="10" t="inlineStr">
        <is>
          <t>2025-07-27</t>
        </is>
      </c>
      <c r="C795" s="10" t="inlineStr">
        <is>
          <t>C1112</t>
        </is>
      </c>
      <c r="D795" s="10" t="inlineStr">
        <is>
          <t>loyal</t>
        </is>
      </c>
      <c r="E795" s="10" t="inlineStr">
        <is>
          <t>Tokopedia</t>
        </is>
      </c>
      <c r="F795" s="10" t="inlineStr">
        <is>
          <t>Sumatera</t>
        </is>
      </c>
      <c r="G795" s="10" t="inlineStr">
        <is>
          <t>Rumah Tangga</t>
        </is>
      </c>
      <c r="H795" s="10" t="inlineStr">
        <is>
          <t>Lampu Meja LED</t>
        </is>
      </c>
      <c r="I795" s="10" t="n">
        <v>2</v>
      </c>
      <c r="J795" s="10" t="n">
        <v>165000</v>
      </c>
      <c r="K795" s="10" t="n">
        <v>330000</v>
      </c>
    </row>
    <row r="796">
      <c r="A796" s="10" t="inlineStr">
        <is>
          <t>INV-71377</t>
        </is>
      </c>
      <c r="B796" s="10" t="inlineStr">
        <is>
          <t>2025-01-02</t>
        </is>
      </c>
      <c r="C796" s="10" t="inlineStr">
        <is>
          <t>C1380</t>
        </is>
      </c>
      <c r="D796" s="10" t="inlineStr">
        <is>
          <t>onetime</t>
        </is>
      </c>
      <c r="E796" s="10" t="inlineStr">
        <is>
          <t>TikTok Shop</t>
        </is>
      </c>
      <c r="F796" s="10" t="inlineStr">
        <is>
          <t>Jabodetabek</t>
        </is>
      </c>
      <c r="G796" s="10" t="inlineStr">
        <is>
          <t>elektronik</t>
        </is>
      </c>
      <c r="H796" s="10" t="inlineStr">
        <is>
          <t>Webcam HD</t>
        </is>
      </c>
      <c r="I796" s="10" t="n">
        <v>2</v>
      </c>
      <c r="J796" s="10" t="n">
        <v>210000</v>
      </c>
      <c r="K796" s="10" t="inlineStr">
        <is>
          <t>Rp 420.000</t>
        </is>
      </c>
    </row>
    <row r="797">
      <c r="A797" s="10" t="inlineStr">
        <is>
          <t>INV-70788</t>
        </is>
      </c>
      <c r="B797" s="10" t="inlineStr">
        <is>
          <t>2025-04-22</t>
        </is>
      </c>
      <c r="C797" s="10" t="inlineStr">
        <is>
          <t>C1222</t>
        </is>
      </c>
      <c r="D797" s="10" t="inlineStr">
        <is>
          <t>loyal</t>
        </is>
      </c>
      <c r="E797" s="10" t="inlineStr">
        <is>
          <t>Tokopedia</t>
        </is>
      </c>
      <c r="F797" s="10" t="inlineStr">
        <is>
          <t>Jawa Barat</t>
        </is>
      </c>
      <c r="G797" s="10" t="inlineStr">
        <is>
          <t>Rumah Tangga</t>
        </is>
      </c>
      <c r="H797" s="10" t="inlineStr">
        <is>
          <t>Set Wadah Kedap</t>
        </is>
      </c>
      <c r="I797" s="10" t="n">
        <v>2</v>
      </c>
      <c r="J797" s="10" t="n">
        <v>135000</v>
      </c>
      <c r="K797" s="10" t="n">
        <v>270000</v>
      </c>
    </row>
    <row r="798">
      <c r="A798" s="10" t="inlineStr">
        <is>
          <t>INV-71078</t>
        </is>
      </c>
      <c r="B798" s="10" t="inlineStr">
        <is>
          <t>2025-12-03</t>
        </is>
      </c>
      <c r="C798" s="10" t="inlineStr">
        <is>
          <t>C1302</t>
        </is>
      </c>
      <c r="D798" s="10" t="inlineStr">
        <is>
          <t>champion</t>
        </is>
      </c>
      <c r="E798" s="10" t="inlineStr">
        <is>
          <t>Shopee</t>
        </is>
      </c>
      <c r="F798" s="10" t="inlineStr">
        <is>
          <t>Jabodetabek</t>
        </is>
      </c>
      <c r="G798" s="10" t="inlineStr">
        <is>
          <t>Elektronik</t>
        </is>
      </c>
      <c r="H798" s="10" t="inlineStr">
        <is>
          <t>Earbuds TWS</t>
        </is>
      </c>
      <c r="I798" s="10" t="n">
        <v>4</v>
      </c>
      <c r="J798" s="10" t="n">
        <v>265000</v>
      </c>
      <c r="K798" s="10" t="inlineStr">
        <is>
          <t>Rp 1.060.000</t>
        </is>
      </c>
    </row>
    <row r="799">
      <c r="A799" s="10" t="inlineStr">
        <is>
          <t>INV-70059</t>
        </is>
      </c>
      <c r="B799" s="10" t="inlineStr">
        <is>
          <t>2025-02-07</t>
        </is>
      </c>
      <c r="C799" s="10" t="inlineStr">
        <is>
          <t>C1017</t>
        </is>
      </c>
      <c r="D799" s="10" t="inlineStr">
        <is>
          <t>loyal</t>
        </is>
      </c>
      <c r="E799" s="10" t="inlineStr">
        <is>
          <t>Shopee</t>
        </is>
      </c>
      <c r="F799" s="10" t="inlineStr">
        <is>
          <t>Jawa Barat</t>
        </is>
      </c>
      <c r="G799" s="10" t="inlineStr">
        <is>
          <t>Elektronik</t>
        </is>
      </c>
      <c r="H799" s="10" t="inlineStr">
        <is>
          <t>Smartwatch</t>
        </is>
      </c>
      <c r="I799" s="10" t="n">
        <v>2</v>
      </c>
      <c r="J799" s="10" t="n">
        <v>450000</v>
      </c>
      <c r="K799" s="10" t="n">
        <v>900000</v>
      </c>
    </row>
    <row r="800">
      <c r="A800" s="10" t="inlineStr">
        <is>
          <t>INV-71511</t>
        </is>
      </c>
      <c r="B800" s="10" t="inlineStr">
        <is>
          <t>14/10/2025</t>
        </is>
      </c>
      <c r="C800" s="10" t="inlineStr">
        <is>
          <t>C1415</t>
        </is>
      </c>
      <c r="D800" s="10" t="inlineStr">
        <is>
          <t>regular</t>
        </is>
      </c>
      <c r="E800" s="10" t="inlineStr">
        <is>
          <t>Shopee</t>
        </is>
      </c>
      <c r="F800" s="10" t="inlineStr">
        <is>
          <t>Jawa Barat</t>
        </is>
      </c>
      <c r="G800" s="10" t="inlineStr">
        <is>
          <t>Elektronik</t>
        </is>
      </c>
      <c r="H800" s="10" t="inlineStr">
        <is>
          <t>Smartwatch</t>
        </is>
      </c>
      <c r="I800" s="10" t="n">
        <v>1</v>
      </c>
      <c r="J800" s="10" t="n">
        <v>450000</v>
      </c>
      <c r="K800" s="10" t="inlineStr">
        <is>
          <t>Rp 450.000</t>
        </is>
      </c>
    </row>
    <row r="801">
      <c r="A801" s="10" t="inlineStr">
        <is>
          <t>INV-71147</t>
        </is>
      </c>
      <c r="B801" s="10" t="inlineStr">
        <is>
          <t>2025-01-13</t>
        </is>
      </c>
      <c r="C801" s="10" t="inlineStr">
        <is>
          <t>C1325</t>
        </is>
      </c>
      <c r="D801" s="10" t="inlineStr">
        <is>
          <t>regular</t>
        </is>
      </c>
      <c r="E801" s="10" t="inlineStr">
        <is>
          <t>Tokopedia</t>
        </is>
      </c>
      <c r="F801" s="10" t="inlineStr">
        <is>
          <t>Jawa Tengah</t>
        </is>
      </c>
      <c r="G801" s="10" t="inlineStr">
        <is>
          <t>Kecantikan</t>
        </is>
      </c>
      <c r="H801" s="10" t="inlineStr">
        <is>
          <t>Masker Wajah (5s)</t>
        </is>
      </c>
      <c r="I801" s="10" t="n">
        <v>1</v>
      </c>
      <c r="J801" s="10" t="n">
        <v>55000</v>
      </c>
      <c r="K801" s="10" t="inlineStr">
        <is>
          <t>Rp 55.000</t>
        </is>
      </c>
    </row>
    <row r="802">
      <c r="A802" s="10" t="inlineStr">
        <is>
          <t>INV-70258</t>
        </is>
      </c>
      <c r="B802" s="10" t="inlineStr">
        <is>
          <t>2025-06-24</t>
        </is>
      </c>
      <c r="C802" s="10" t="inlineStr">
        <is>
          <t>C1072</t>
        </is>
      </c>
      <c r="D802" s="10" t="inlineStr">
        <is>
          <t>champion</t>
        </is>
      </c>
      <c r="E802" s="10" t="inlineStr">
        <is>
          <t>TikTok Shop</t>
        </is>
      </c>
      <c r="F802" s="10" t="inlineStr">
        <is>
          <t>Jawa Tengah</t>
        </is>
      </c>
      <c r="G802" s="10" t="inlineStr">
        <is>
          <t>Makanan</t>
        </is>
      </c>
      <c r="H802" s="10" t="inlineStr">
        <is>
          <t>Granola 500g</t>
        </is>
      </c>
      <c r="I802" s="10" t="n">
        <v>2</v>
      </c>
      <c r="J802" s="10" t="n">
        <v>92000</v>
      </c>
      <c r="K802" s="10" t="n">
        <v>184000</v>
      </c>
    </row>
    <row r="803">
      <c r="A803" s="10" t="inlineStr">
        <is>
          <t>INV-70842</t>
        </is>
      </c>
      <c r="B803" s="10" t="inlineStr">
        <is>
          <t>17 Aug 2025</t>
        </is>
      </c>
      <c r="C803" s="10" t="inlineStr">
        <is>
          <t>C1237</t>
        </is>
      </c>
      <c r="D803" s="10" t="inlineStr">
        <is>
          <t>champion</t>
        </is>
      </c>
      <c r="E803" s="10" t="inlineStr">
        <is>
          <t>TikTok Shop</t>
        </is>
      </c>
      <c r="F803" s="10" t="inlineStr">
        <is>
          <t>Jawa Tengah</t>
        </is>
      </c>
      <c r="G803" s="10" t="inlineStr">
        <is>
          <t>Elektronik</t>
        </is>
      </c>
      <c r="H803" s="10" t="inlineStr">
        <is>
          <t>Power Bank 20K</t>
        </is>
      </c>
      <c r="I803" s="10" t="n">
        <v>1</v>
      </c>
      <c r="J803" s="10" t="n">
        <v>185000</v>
      </c>
      <c r="K803" s="10" t="n">
        <v>185000</v>
      </c>
    </row>
    <row r="804">
      <c r="A804" s="10" t="inlineStr">
        <is>
          <t>INV-70444</t>
        </is>
      </c>
      <c r="B804" s="10" t="inlineStr">
        <is>
          <t>2025-05-27</t>
        </is>
      </c>
      <c r="C804" s="10" t="inlineStr">
        <is>
          <t>C1125</t>
        </is>
      </c>
      <c r="D804" s="10" t="inlineStr">
        <is>
          <t>regular</t>
        </is>
      </c>
      <c r="E804" s="10" t="inlineStr">
        <is>
          <t>Shopee</t>
        </is>
      </c>
      <c r="F804" s="10" t="inlineStr">
        <is>
          <t>Jabodetabek</t>
        </is>
      </c>
      <c r="G804" s="10" t="inlineStr">
        <is>
          <t>Kecantikan</t>
        </is>
      </c>
      <c r="H804" s="10" t="inlineStr">
        <is>
          <t>Toner Glow</t>
        </is>
      </c>
      <c r="I804" s="10" t="n">
        <v>1</v>
      </c>
      <c r="J804" s="10" t="n">
        <v>88000</v>
      </c>
      <c r="K804" s="10" t="n">
        <v>88000</v>
      </c>
    </row>
    <row r="805">
      <c r="A805" s="10" t="inlineStr">
        <is>
          <t>INV-71396</t>
        </is>
      </c>
      <c r="B805" s="10" t="inlineStr">
        <is>
          <t>2025-10-03</t>
        </is>
      </c>
      <c r="C805" s="10" t="inlineStr">
        <is>
          <t>C1386</t>
        </is>
      </c>
      <c r="D805" s="10" t="inlineStr">
        <is>
          <t>loyal</t>
        </is>
      </c>
      <c r="E805" s="10" t="inlineStr">
        <is>
          <t>shopee</t>
        </is>
      </c>
      <c r="F805" s="10" t="inlineStr">
        <is>
          <t>Jawa Barat</t>
        </is>
      </c>
      <c r="G805" s="10" t="inlineStr">
        <is>
          <t>Rumah Tangga</t>
        </is>
      </c>
      <c r="H805" s="10" t="inlineStr">
        <is>
          <t>Set Wadah Kedap</t>
        </is>
      </c>
      <c r="I805" s="10" t="n">
        <v>1</v>
      </c>
      <c r="J805" s="10" t="n">
        <v>135000</v>
      </c>
      <c r="K805" s="10" t="inlineStr">
        <is>
          <t>Rp 135.000</t>
        </is>
      </c>
    </row>
    <row r="806">
      <c r="A806" s="10" t="inlineStr">
        <is>
          <t>INV-71374</t>
        </is>
      </c>
      <c r="B806" s="10" t="inlineStr">
        <is>
          <t>2025-08-16</t>
        </is>
      </c>
      <c r="C806" s="10" t="inlineStr">
        <is>
          <t>C1380</t>
        </is>
      </c>
      <c r="D806" s="10" t="inlineStr">
        <is>
          <t>onetime</t>
        </is>
      </c>
      <c r="E806" s="10" t="inlineStr">
        <is>
          <t>Shopee</t>
        </is>
      </c>
      <c r="F806" s="10" t="inlineStr">
        <is>
          <t>Jawa Tengah</t>
        </is>
      </c>
      <c r="G806" s="10" t="inlineStr">
        <is>
          <t>rumah tangga</t>
        </is>
      </c>
      <c r="H806" s="10" t="inlineStr">
        <is>
          <t>Organizer Laci</t>
        </is>
      </c>
      <c r="I806" s="10" t="n">
        <v>2</v>
      </c>
      <c r="J806" s="10" t="n">
        <v>78000</v>
      </c>
      <c r="K806" s="10" t="n">
        <v>156000</v>
      </c>
    </row>
    <row r="807">
      <c r="A807" s="10" t="inlineStr">
        <is>
          <t>INV-70523</t>
        </is>
      </c>
      <c r="B807" s="10" t="inlineStr">
        <is>
          <t>17/02/2025</t>
        </is>
      </c>
      <c r="C807" s="10" t="inlineStr">
        <is>
          <t>C1144</t>
        </is>
      </c>
      <c r="D807" s="10" t="inlineStr">
        <is>
          <t>regular</t>
        </is>
      </c>
      <c r="E807" s="10" t="inlineStr">
        <is>
          <t>Tokopedia</t>
        </is>
      </c>
      <c r="F807" s="10" t="inlineStr">
        <is>
          <t>Jawa Timur</t>
        </is>
      </c>
      <c r="G807" s="10" t="inlineStr">
        <is>
          <t>Rumah Tangga</t>
        </is>
      </c>
      <c r="H807" s="10" t="inlineStr">
        <is>
          <t>Set Wadah Kedap</t>
        </is>
      </c>
      <c r="I807" s="10" t="n">
        <v>2</v>
      </c>
      <c r="J807" s="10" t="n">
        <v>135000</v>
      </c>
      <c r="K807" s="10" t="n">
        <v>270000</v>
      </c>
    </row>
    <row r="808">
      <c r="A808" s="10" t="inlineStr">
        <is>
          <t>INV-71358</t>
        </is>
      </c>
      <c r="B808" s="10" t="inlineStr">
        <is>
          <t>2025-03-07</t>
        </is>
      </c>
      <c r="C808" s="10" t="inlineStr">
        <is>
          <t>C1375</t>
        </is>
      </c>
      <c r="D808" s="10" t="inlineStr">
        <is>
          <t>occasional</t>
        </is>
      </c>
      <c r="E808" s="10" t="inlineStr">
        <is>
          <t>tiktok shop</t>
        </is>
      </c>
      <c r="F808" s="10" t="inlineStr">
        <is>
          <t>Jawa Barat</t>
        </is>
      </c>
      <c r="G808" s="10" t="inlineStr">
        <is>
          <t>Makanan</t>
        </is>
      </c>
      <c r="H808" s="10" t="inlineStr">
        <is>
          <t>Madu Hutan 250ml</t>
        </is>
      </c>
      <c r="I808" s="10" t="n">
        <v>2</v>
      </c>
      <c r="J808" s="10" t="n">
        <v>110000</v>
      </c>
      <c r="K808" s="10" t="n">
        <v>220000</v>
      </c>
    </row>
    <row r="809">
      <c r="A809" s="10" t="inlineStr">
        <is>
          <t>INV-70833</t>
        </is>
      </c>
      <c r="B809" s="10" t="inlineStr">
        <is>
          <t>20/02/2025</t>
        </is>
      </c>
      <c r="C809" s="10" t="inlineStr">
        <is>
          <t>C1234</t>
        </is>
      </c>
      <c r="D809" s="10" t="inlineStr">
        <is>
          <t>loyal</t>
        </is>
      </c>
      <c r="E809" s="10" t="inlineStr">
        <is>
          <t>TikTok Shop</t>
        </is>
      </c>
      <c r="F809" s="10" t="inlineStr">
        <is>
          <t>Jabodetabek</t>
        </is>
      </c>
      <c r="G809" s="10" t="inlineStr">
        <is>
          <t>Fashion</t>
        </is>
      </c>
      <c r="H809" s="10" t="inlineStr">
        <is>
          <t>Celana Chino</t>
        </is>
      </c>
      <c r="I809" s="10" t="n">
        <v>2</v>
      </c>
      <c r="J809" s="10" t="n">
        <v>195000</v>
      </c>
      <c r="K809" s="10" t="n">
        <v>390000</v>
      </c>
    </row>
    <row r="810">
      <c r="A810" s="10" t="inlineStr">
        <is>
          <t>INV-71515</t>
        </is>
      </c>
      <c r="B810" s="10" t="inlineStr">
        <is>
          <t>2025-04-22</t>
        </is>
      </c>
      <c r="C810" s="10" t="inlineStr">
        <is>
          <t>C1415</t>
        </is>
      </c>
      <c r="D810" s="10" t="inlineStr">
        <is>
          <t>regular</t>
        </is>
      </c>
      <c r="E810" s="10" t="inlineStr">
        <is>
          <t>Shopee</t>
        </is>
      </c>
      <c r="F810" s="10" t="inlineStr">
        <is>
          <t>Jabodetabek</t>
        </is>
      </c>
      <c r="G810" s="10" t="inlineStr">
        <is>
          <t>Rumah Tangga</t>
        </is>
      </c>
      <c r="H810" s="10" t="inlineStr">
        <is>
          <t>Set Wadah Kedap</t>
        </is>
      </c>
      <c r="I810" s="10" t="n">
        <v>1</v>
      </c>
      <c r="J810" s="10" t="n">
        <v>135000</v>
      </c>
      <c r="K810" s="10" t="n">
        <v>135000</v>
      </c>
    </row>
    <row r="811">
      <c r="A811" s="10" t="inlineStr">
        <is>
          <t>INV-70929</t>
        </is>
      </c>
      <c r="B811" s="10" t="inlineStr">
        <is>
          <t>14/02/2025</t>
        </is>
      </c>
      <c r="C811" s="10" t="inlineStr">
        <is>
          <t>C1261</t>
        </is>
      </c>
      <c r="D811" s="10" t="inlineStr">
        <is>
          <t>champion</t>
        </is>
      </c>
      <c r="E811" s="10" t="inlineStr">
        <is>
          <t>SHOPEE</t>
        </is>
      </c>
      <c r="F811" s="10" t="inlineStr">
        <is>
          <t>Sumatera</t>
        </is>
      </c>
      <c r="G811" s="10" t="inlineStr">
        <is>
          <t>Rumah Tangga</t>
        </is>
      </c>
      <c r="H811" s="10" t="inlineStr">
        <is>
          <t>Set Wadah Kedap</t>
        </is>
      </c>
      <c r="I811" s="10" t="n">
        <v>1</v>
      </c>
      <c r="J811" s="10" t="n">
        <v>135000</v>
      </c>
      <c r="K811" s="10" t="n">
        <v>135000</v>
      </c>
    </row>
    <row r="812">
      <c r="A812" s="10" t="inlineStr">
        <is>
          <t>INV-70295</t>
        </is>
      </c>
      <c r="B812" s="10" t="inlineStr">
        <is>
          <t>26/01/2026</t>
        </is>
      </c>
      <c r="C812" s="10" t="inlineStr">
        <is>
          <t>C1084</t>
        </is>
      </c>
      <c r="D812" s="10" t="inlineStr">
        <is>
          <t>loyal</t>
        </is>
      </c>
      <c r="E812" s="10" t="inlineStr">
        <is>
          <t>Shopee</t>
        </is>
      </c>
      <c r="F812" s="10" t="inlineStr">
        <is>
          <t>Jawa Timur</t>
        </is>
      </c>
      <c r="G812" s="10" t="inlineStr">
        <is>
          <t>Elektronik</t>
        </is>
      </c>
      <c r="H812" s="10" t="inlineStr">
        <is>
          <t>Earbuds TWS</t>
        </is>
      </c>
      <c r="I812" s="10" t="n">
        <v>3</v>
      </c>
      <c r="J812" s="10" t="n">
        <v>265000</v>
      </c>
      <c r="K812" s="10" t="n">
        <v>795000</v>
      </c>
    </row>
    <row r="813">
      <c r="A813" s="10" t="inlineStr">
        <is>
          <t>INV-70566</t>
        </is>
      </c>
      <c r="B813" s="10" t="inlineStr">
        <is>
          <t>2026-05-22</t>
        </is>
      </c>
      <c r="C813" s="10" t="inlineStr">
        <is>
          <t>C1156</t>
        </is>
      </c>
      <c r="D813" s="10" t="inlineStr">
        <is>
          <t>champion</t>
        </is>
      </c>
      <c r="E813" s="10" t="inlineStr">
        <is>
          <t>Shopee</t>
        </is>
      </c>
      <c r="F813" s="10" t="inlineStr">
        <is>
          <t>Jabodetabek</t>
        </is>
      </c>
      <c r="G813" s="10" t="inlineStr">
        <is>
          <t>Elektronik</t>
        </is>
      </c>
      <c r="H813" s="10" t="inlineStr">
        <is>
          <t>Keyboard Mekanik</t>
        </is>
      </c>
      <c r="I813" s="10" t="n">
        <v>3</v>
      </c>
      <c r="J813" s="10" t="n">
        <v>380000</v>
      </c>
      <c r="K813" s="10" t="n">
        <v>1140000</v>
      </c>
    </row>
    <row r="814">
      <c r="A814" s="10" t="inlineStr">
        <is>
          <t>INV-71249</t>
        </is>
      </c>
      <c r="B814" s="10" t="inlineStr">
        <is>
          <t>2025-06-16</t>
        </is>
      </c>
      <c r="C814" s="10" t="inlineStr">
        <is>
          <t>C1352</t>
        </is>
      </c>
      <c r="D814" s="10" t="inlineStr">
        <is>
          <t>loyal</t>
        </is>
      </c>
      <c r="E814" s="10" t="inlineStr">
        <is>
          <t>Tokopedia</t>
        </is>
      </c>
      <c r="F814" s="10" t="inlineStr">
        <is>
          <t>Lainnya</t>
        </is>
      </c>
      <c r="G814" s="10" t="inlineStr">
        <is>
          <t>Makanan</t>
        </is>
      </c>
      <c r="H814" s="10" t="inlineStr">
        <is>
          <t>Madu Hutan 250ml</t>
        </is>
      </c>
      <c r="I814" s="10" t="n">
        <v>1</v>
      </c>
      <c r="J814" s="10" t="n">
        <v>110000</v>
      </c>
      <c r="K814" s="10" t="n">
        <v>110000</v>
      </c>
    </row>
    <row r="815">
      <c r="A815" s="10" t="inlineStr">
        <is>
          <t>INV-71221</t>
        </is>
      </c>
      <c r="B815" s="10" t="inlineStr">
        <is>
          <t>2026-04-10</t>
        </is>
      </c>
      <c r="C815" s="10" t="inlineStr">
        <is>
          <t>C1348</t>
        </is>
      </c>
      <c r="D815" s="10" t="inlineStr">
        <is>
          <t>loyal</t>
        </is>
      </c>
      <c r="E815" s="10" t="inlineStr">
        <is>
          <t xml:space="preserve">Shopee </t>
        </is>
      </c>
      <c r="F815" s="10" t="inlineStr">
        <is>
          <t>Lainnya</t>
        </is>
      </c>
      <c r="G815" s="10" t="inlineStr">
        <is>
          <t>Kecantikan</t>
        </is>
      </c>
      <c r="H815" s="10" t="inlineStr">
        <is>
          <t>Lip Tint</t>
        </is>
      </c>
      <c r="I815" s="10" t="n">
        <v>3</v>
      </c>
      <c r="J815" s="10" t="n">
        <v>65000</v>
      </c>
      <c r="K815" s="10" t="n">
        <v>195000</v>
      </c>
    </row>
    <row r="816">
      <c r="A816" s="10" t="inlineStr">
        <is>
          <t>INV-71220</t>
        </is>
      </c>
      <c r="B816" s="10" t="inlineStr">
        <is>
          <t>01 Aug 2025</t>
        </is>
      </c>
      <c r="C816" s="10" t="inlineStr">
        <is>
          <t>C1347</t>
        </is>
      </c>
      <c r="D816" s="10" t="inlineStr">
        <is>
          <t>occasional</t>
        </is>
      </c>
      <c r="E816" s="10" t="inlineStr">
        <is>
          <t xml:space="preserve"> tokopedia</t>
        </is>
      </c>
      <c r="F816" s="10" t="inlineStr">
        <is>
          <t>Jawa Barat</t>
        </is>
      </c>
      <c r="G816" s="10" t="inlineStr">
        <is>
          <t>Rumah Tangga</t>
        </is>
      </c>
      <c r="H816" s="10" t="inlineStr">
        <is>
          <t>Organizer Laci</t>
        </is>
      </c>
      <c r="I816" s="10" t="n">
        <v>2</v>
      </c>
      <c r="J816" s="10" t="n">
        <v>78000</v>
      </c>
      <c r="K816" s="10" t="n">
        <v>156000</v>
      </c>
    </row>
    <row r="817">
      <c r="A817" s="10" t="inlineStr">
        <is>
          <t>INV-70943</t>
        </is>
      </c>
      <c r="B817" s="10" t="inlineStr">
        <is>
          <t>2025-04-25</t>
        </is>
      </c>
      <c r="C817" s="10" t="inlineStr">
        <is>
          <t>C1266</t>
        </is>
      </c>
      <c r="D817" s="10" t="inlineStr">
        <is>
          <t>onetime</t>
        </is>
      </c>
      <c r="E817" s="10" t="inlineStr">
        <is>
          <t>Shopee</t>
        </is>
      </c>
      <c r="F817" s="10" t="inlineStr">
        <is>
          <t>Lainnya</t>
        </is>
      </c>
      <c r="G817" s="10" t="inlineStr">
        <is>
          <t>Elektronik</t>
        </is>
      </c>
      <c r="H817" s="10" t="inlineStr">
        <is>
          <t>Smartwatch</t>
        </is>
      </c>
      <c r="I817" s="10" t="n">
        <v>2</v>
      </c>
      <c r="J817" s="10" t="n">
        <v>450000</v>
      </c>
      <c r="K817" s="10" t="n">
        <v>900000</v>
      </c>
    </row>
    <row r="818">
      <c r="A818" s="10" t="inlineStr">
        <is>
          <t>INV-71189</t>
        </is>
      </c>
      <c r="B818" s="10" t="inlineStr">
        <is>
          <t>2025-11-24</t>
        </is>
      </c>
      <c r="C818" s="10" t="inlineStr">
        <is>
          <t>C1334</t>
        </is>
      </c>
      <c r="D818" s="10" t="inlineStr">
        <is>
          <t>champion</t>
        </is>
      </c>
      <c r="E818" s="10" t="inlineStr">
        <is>
          <t>Offline Store</t>
        </is>
      </c>
      <c r="F818" s="10" t="inlineStr">
        <is>
          <t>Jabodetabek</t>
        </is>
      </c>
      <c r="G818" s="10" t="inlineStr">
        <is>
          <t>Kecantikan</t>
        </is>
      </c>
      <c r="H818" s="10" t="inlineStr">
        <is>
          <t>Masker Wajah (5s)</t>
        </is>
      </c>
      <c r="I818" s="10" t="n">
        <v>1</v>
      </c>
      <c r="J818" s="10" t="n">
        <v>55000</v>
      </c>
      <c r="K818" s="10" t="n">
        <v>55000</v>
      </c>
    </row>
    <row r="819">
      <c r="A819" s="10" t="inlineStr">
        <is>
          <t>INV-70746</t>
        </is>
      </c>
      <c r="B819" s="10" t="inlineStr">
        <is>
          <t>2025-03-11</t>
        </is>
      </c>
      <c r="C819" s="10" t="inlineStr">
        <is>
          <t>C1210</t>
        </is>
      </c>
      <c r="D819" s="10" t="inlineStr">
        <is>
          <t>loyal</t>
        </is>
      </c>
      <c r="E819" s="10" t="inlineStr">
        <is>
          <t>Shopee</t>
        </is>
      </c>
      <c r="F819" s="10" t="inlineStr">
        <is>
          <t>Jabodetabek</t>
        </is>
      </c>
      <c r="G819" s="10" t="inlineStr">
        <is>
          <t>Rumah Tangga</t>
        </is>
      </c>
      <c r="H819" s="10" t="inlineStr">
        <is>
          <t>Set Wadah Kedap</t>
        </is>
      </c>
      <c r="I819" s="10" t="n">
        <v>4</v>
      </c>
      <c r="J819" s="10" t="n">
        <v>135000</v>
      </c>
      <c r="K819" s="10" t="n">
        <v>540000</v>
      </c>
    </row>
    <row r="820">
      <c r="A820" s="10" t="inlineStr">
        <is>
          <t>INV-71001</t>
        </is>
      </c>
      <c r="B820" s="10" t="inlineStr">
        <is>
          <t>2026-05-22</t>
        </is>
      </c>
      <c r="C820" s="10" t="inlineStr">
        <is>
          <t>C1287</t>
        </is>
      </c>
      <c r="D820" s="10" t="inlineStr">
        <is>
          <t>champion</t>
        </is>
      </c>
      <c r="E820" s="10" t="inlineStr">
        <is>
          <t>Tokopedia</t>
        </is>
      </c>
      <c r="F820" s="10" t="inlineStr">
        <is>
          <t>Jawa Barat</t>
        </is>
      </c>
      <c r="G820" s="10" t="inlineStr">
        <is>
          <t>Kecantikan</t>
        </is>
      </c>
      <c r="H820" s="10" t="inlineStr">
        <is>
          <t>Masker Wajah (5s)</t>
        </is>
      </c>
      <c r="I820" s="10" t="n">
        <v>3</v>
      </c>
      <c r="J820" s="10" t="n">
        <v>55000</v>
      </c>
      <c r="K820" s="10" t="n">
        <v>165000</v>
      </c>
    </row>
    <row r="821">
      <c r="A821" s="10" t="inlineStr">
        <is>
          <t>INV-70712</t>
        </is>
      </c>
      <c r="B821" s="10" t="inlineStr">
        <is>
          <t>15/05/2026</t>
        </is>
      </c>
      <c r="C821" s="10" t="inlineStr">
        <is>
          <t>C1197</t>
        </is>
      </c>
      <c r="D821" s="10" t="inlineStr">
        <is>
          <t>occasional</t>
        </is>
      </c>
      <c r="E821" s="10" t="inlineStr">
        <is>
          <t>Offline Store</t>
        </is>
      </c>
      <c r="F821" s="10" t="inlineStr">
        <is>
          <t>Sumatera</t>
        </is>
      </c>
      <c r="G821" s="10" t="inlineStr">
        <is>
          <t>elektronik</t>
        </is>
      </c>
      <c r="H821" s="10" t="inlineStr">
        <is>
          <t>Webcam HD</t>
        </is>
      </c>
      <c r="I821" s="10" t="n">
        <v>3</v>
      </c>
      <c r="J821" s="10" t="n">
        <v>210000</v>
      </c>
      <c r="K821" s="10" t="n">
        <v>630000</v>
      </c>
    </row>
    <row r="822">
      <c r="A822" s="10" t="inlineStr">
        <is>
          <t>INV-70571</t>
        </is>
      </c>
      <c r="B822" s="10" t="inlineStr">
        <is>
          <t>2025-11-26</t>
        </is>
      </c>
      <c r="C822" s="10" t="inlineStr">
        <is>
          <t>C1156</t>
        </is>
      </c>
      <c r="D822" s="10" t="inlineStr">
        <is>
          <t>champion</t>
        </is>
      </c>
      <c r="E822" s="10" t="inlineStr">
        <is>
          <t>Tokopedia</t>
        </is>
      </c>
      <c r="F822" s="10" t="inlineStr">
        <is>
          <t>Jabodetabek</t>
        </is>
      </c>
      <c r="G822" s="10" t="inlineStr">
        <is>
          <t>Makanan</t>
        </is>
      </c>
      <c r="H822" s="10" t="inlineStr">
        <is>
          <t>Granola 500g</t>
        </is>
      </c>
      <c r="I822" s="10" t="n">
        <v>2</v>
      </c>
      <c r="J822" s="10" t="n">
        <v>92000</v>
      </c>
      <c r="K822" s="10" t="n">
        <v>184000</v>
      </c>
    </row>
    <row r="823">
      <c r="A823" s="10" t="inlineStr">
        <is>
          <t>INV-70966</t>
        </is>
      </c>
      <c r="B823" s="10" t="inlineStr">
        <is>
          <t>25 Apr 2026</t>
        </is>
      </c>
      <c r="C823" s="10" t="inlineStr">
        <is>
          <t>C1275</t>
        </is>
      </c>
      <c r="D823" s="10" t="inlineStr">
        <is>
          <t>regular</t>
        </is>
      </c>
      <c r="E823" s="10" t="inlineStr">
        <is>
          <t>Shopee</t>
        </is>
      </c>
      <c r="F823" s="10" t="inlineStr">
        <is>
          <t>Jawa Timur</t>
        </is>
      </c>
      <c r="G823" s="10" t="inlineStr">
        <is>
          <t>Kecantikan</t>
        </is>
      </c>
      <c r="H823" s="10" t="inlineStr">
        <is>
          <t>Serum Vit C</t>
        </is>
      </c>
      <c r="I823" s="10" t="n">
        <v>2</v>
      </c>
      <c r="J823" s="10" t="n">
        <v>145000</v>
      </c>
      <c r="K823" s="10" t="n">
        <v>290000</v>
      </c>
    </row>
    <row r="824">
      <c r="A824" s="10" t="inlineStr">
        <is>
          <t>INV-70193</t>
        </is>
      </c>
      <c r="B824" s="10" t="inlineStr">
        <is>
          <t>2025-02-20</t>
        </is>
      </c>
      <c r="C824" s="10" t="inlineStr">
        <is>
          <t>C1055</t>
        </is>
      </c>
      <c r="D824" s="10" t="inlineStr">
        <is>
          <t>onetime</t>
        </is>
      </c>
      <c r="E824" s="10" t="inlineStr">
        <is>
          <t>Shopee</t>
        </is>
      </c>
      <c r="F824" s="10" t="inlineStr">
        <is>
          <t>Jawa Barat</t>
        </is>
      </c>
      <c r="G824" s="10" t="inlineStr">
        <is>
          <t>Elektronik</t>
        </is>
      </c>
      <c r="H824" s="10" t="inlineStr">
        <is>
          <t>Power Bank 20K</t>
        </is>
      </c>
      <c r="I824" s="10" t="n">
        <v>2</v>
      </c>
      <c r="J824" s="10" t="n">
        <v>185000</v>
      </c>
      <c r="K824" s="10" t="n">
        <v>370000</v>
      </c>
    </row>
    <row r="825">
      <c r="A825" s="10" t="inlineStr">
        <is>
          <t>INV-70917</t>
        </is>
      </c>
      <c r="B825" s="10" t="inlineStr">
        <is>
          <t>25 Mar 2025</t>
        </is>
      </c>
      <c r="C825" s="10" t="inlineStr">
        <is>
          <t>C1259</t>
        </is>
      </c>
      <c r="D825" s="10" t="inlineStr">
        <is>
          <t>onetime</t>
        </is>
      </c>
      <c r="E825" s="10" t="inlineStr">
        <is>
          <t>Offline Store</t>
        </is>
      </c>
      <c r="F825" s="10" t="inlineStr">
        <is>
          <t>Jabodetabek</t>
        </is>
      </c>
      <c r="G825" s="10" t="inlineStr">
        <is>
          <t>Kecantikan</t>
        </is>
      </c>
      <c r="H825" s="10" t="inlineStr">
        <is>
          <t>Masker Wajah (5s)</t>
        </is>
      </c>
      <c r="I825" s="10" t="n">
        <v>2</v>
      </c>
      <c r="J825" s="10" t="n">
        <v>55000</v>
      </c>
      <c r="K825" s="10" t="inlineStr">
        <is>
          <t>Rp 110.000</t>
        </is>
      </c>
    </row>
    <row r="826">
      <c r="A826" s="10" t="inlineStr">
        <is>
          <t>INV-70136</t>
        </is>
      </c>
      <c r="B826" s="10" t="inlineStr">
        <is>
          <t>01/06/2025</t>
        </is>
      </c>
      <c r="C826" s="10" t="inlineStr">
        <is>
          <t>C1039</t>
        </is>
      </c>
      <c r="D826" s="10" t="inlineStr">
        <is>
          <t>loyal</t>
        </is>
      </c>
      <c r="E826" s="10" t="inlineStr">
        <is>
          <t xml:space="preserve">Tokopedia </t>
        </is>
      </c>
      <c r="F826" s="10" t="inlineStr">
        <is>
          <t>Jabodetabek</t>
        </is>
      </c>
      <c r="G826" s="10" t="inlineStr">
        <is>
          <t>Rumah Tangga</t>
        </is>
      </c>
      <c r="H826" s="10" t="inlineStr">
        <is>
          <t>Organizer Laci</t>
        </is>
      </c>
      <c r="I826" s="10" t="n">
        <v>4</v>
      </c>
      <c r="J826" s="10" t="n">
        <v>78000</v>
      </c>
      <c r="K826" s="10" t="n">
        <v>312000</v>
      </c>
    </row>
    <row r="827">
      <c r="A827" s="10" t="inlineStr">
        <is>
          <t>INV-71544</t>
        </is>
      </c>
      <c r="B827" s="10" t="inlineStr">
        <is>
          <t>14/01/2025</t>
        </is>
      </c>
      <c r="C827" s="10" t="inlineStr">
        <is>
          <t>C1425</t>
        </is>
      </c>
      <c r="D827" s="10" t="inlineStr">
        <is>
          <t>loyal</t>
        </is>
      </c>
      <c r="E827" s="10" t="inlineStr">
        <is>
          <t>Shopee</t>
        </is>
      </c>
      <c r="F827" s="10" t="inlineStr">
        <is>
          <t>Jawa Tengah</t>
        </is>
      </c>
      <c r="G827" s="10" t="inlineStr">
        <is>
          <t>Rumah Tangga</t>
        </is>
      </c>
      <c r="H827" s="10" t="inlineStr">
        <is>
          <t>Set Wadah Kedap</t>
        </is>
      </c>
      <c r="I827" s="10" t="n">
        <v>2</v>
      </c>
      <c r="J827" s="10" t="n">
        <v>135000</v>
      </c>
      <c r="K827" s="10" t="n">
        <v>270000</v>
      </c>
    </row>
    <row r="828">
      <c r="A828" s="10" t="inlineStr">
        <is>
          <t>INV-70337</t>
        </is>
      </c>
      <c r="B828" s="10" t="inlineStr">
        <is>
          <t>11 Sep 2025</t>
        </is>
      </c>
      <c r="C828" s="10" t="inlineStr">
        <is>
          <t>C1093</t>
        </is>
      </c>
      <c r="D828" s="10" t="inlineStr">
        <is>
          <t>champion</t>
        </is>
      </c>
      <c r="E828" s="10" t="inlineStr">
        <is>
          <t>Shopee</t>
        </is>
      </c>
      <c r="F828" s="10" t="inlineStr">
        <is>
          <t>Jabodetabek</t>
        </is>
      </c>
      <c r="G828" s="10" t="inlineStr">
        <is>
          <t>Fashion</t>
        </is>
      </c>
      <c r="H828" s="10" t="inlineStr">
        <is>
          <t>Dress Casual</t>
        </is>
      </c>
      <c r="I828" s="10" t="n">
        <v>1</v>
      </c>
      <c r="J828" s="10" t="n">
        <v>225000</v>
      </c>
      <c r="K828" s="10" t="n">
        <v>225000</v>
      </c>
    </row>
    <row r="829">
      <c r="A829" s="10" t="inlineStr">
        <is>
          <t>INV-71042</t>
        </is>
      </c>
      <c r="B829" s="10" t="inlineStr">
        <is>
          <t>14/03/2026</t>
        </is>
      </c>
      <c r="C829" s="10" t="inlineStr">
        <is>
          <t>C1295</t>
        </is>
      </c>
      <c r="D829" s="10" t="inlineStr">
        <is>
          <t>regular</t>
        </is>
      </c>
      <c r="E829" s="10" t="inlineStr">
        <is>
          <t>Tokopedia</t>
        </is>
      </c>
      <c r="F829" s="10" t="inlineStr">
        <is>
          <t>Jawa Barat</t>
        </is>
      </c>
      <c r="G829" s="10" t="inlineStr">
        <is>
          <t>Elektronik</t>
        </is>
      </c>
      <c r="H829" s="10" t="inlineStr">
        <is>
          <t>Power Bank 20K</t>
        </is>
      </c>
      <c r="I829" s="10" t="n">
        <v>3</v>
      </c>
      <c r="J829" s="10" t="n">
        <v>185000</v>
      </c>
      <c r="K829" s="10" t="n">
        <v>555000</v>
      </c>
    </row>
    <row r="830">
      <c r="A830" s="10" t="inlineStr">
        <is>
          <t>INV-70358</t>
        </is>
      </c>
      <c r="B830" s="10" t="inlineStr">
        <is>
          <t>2025-08-08</t>
        </is>
      </c>
      <c r="C830" s="10" t="inlineStr">
        <is>
          <t>C1098</t>
        </is>
      </c>
      <c r="D830" s="10" t="inlineStr">
        <is>
          <t>onetime</t>
        </is>
      </c>
      <c r="E830" s="10" t="inlineStr">
        <is>
          <t>TIKTOK SHOP</t>
        </is>
      </c>
      <c r="F830" s="10" t="inlineStr">
        <is>
          <t>Sumatera</t>
        </is>
      </c>
      <c r="G830" s="10" t="inlineStr">
        <is>
          <t>Elektronik</t>
        </is>
      </c>
      <c r="H830" s="10" t="inlineStr">
        <is>
          <t>Webcam HD</t>
        </is>
      </c>
      <c r="I830" s="10" t="n">
        <v>1</v>
      </c>
      <c r="J830" s="10" t="n">
        <v>210000</v>
      </c>
      <c r="K830" s="10" t="n">
        <v>210000</v>
      </c>
    </row>
    <row r="831">
      <c r="A831" s="10" t="inlineStr">
        <is>
          <t>INV-70401</t>
        </is>
      </c>
      <c r="B831" s="10" t="inlineStr">
        <is>
          <t>27 Apr 2025</t>
        </is>
      </c>
      <c r="C831" s="10" t="inlineStr">
        <is>
          <t>C1112</t>
        </is>
      </c>
      <c r="D831" s="10" t="inlineStr">
        <is>
          <t>loyal</t>
        </is>
      </c>
      <c r="E831" s="10" t="inlineStr">
        <is>
          <t>shopee</t>
        </is>
      </c>
      <c r="F831" s="10" t="inlineStr">
        <is>
          <t>Lainnya</t>
        </is>
      </c>
      <c r="G831" s="10" t="inlineStr">
        <is>
          <t>Rumah Tangga</t>
        </is>
      </c>
      <c r="H831" s="10" t="inlineStr">
        <is>
          <t>Organizer Laci</t>
        </is>
      </c>
      <c r="I831" s="10" t="n">
        <v>1</v>
      </c>
      <c r="J831" s="10" t="n">
        <v>78000</v>
      </c>
      <c r="K831" s="10" t="n">
        <v>78000</v>
      </c>
    </row>
    <row r="832">
      <c r="A832" s="10" t="inlineStr">
        <is>
          <t>INV-70895</t>
        </is>
      </c>
      <c r="B832" s="10" t="inlineStr">
        <is>
          <t>2025-11-27</t>
        </is>
      </c>
      <c r="C832" s="10" t="inlineStr">
        <is>
          <t>C1252</t>
        </is>
      </c>
      <c r="D832" s="10" t="inlineStr">
        <is>
          <t>regular</t>
        </is>
      </c>
      <c r="E832" s="10" t="inlineStr">
        <is>
          <t>Tokopedia</t>
        </is>
      </c>
      <c r="F832" s="10" t="inlineStr">
        <is>
          <t>Jawa Barat</t>
        </is>
      </c>
      <c r="G832" s="10" t="inlineStr">
        <is>
          <t>Kecantikan</t>
        </is>
      </c>
      <c r="H832" s="10" t="inlineStr">
        <is>
          <t>Sunscreen SPF50</t>
        </is>
      </c>
      <c r="I832" s="10" t="n">
        <v>2</v>
      </c>
      <c r="J832" s="10" t="n">
        <v>98000</v>
      </c>
      <c r="K832" s="10" t="n">
        <v>196000</v>
      </c>
    </row>
    <row r="833">
      <c r="A833" s="10" t="inlineStr">
        <is>
          <t>INV-70691</t>
        </is>
      </c>
      <c r="B833" s="10" t="inlineStr">
        <is>
          <t>2025-04-10</t>
        </is>
      </c>
      <c r="C833" s="10" t="inlineStr">
        <is>
          <t>C1190</t>
        </is>
      </c>
      <c r="D833" s="10" t="inlineStr">
        <is>
          <t>onetime</t>
        </is>
      </c>
      <c r="E833" s="10" t="inlineStr">
        <is>
          <t>Tokopedia</t>
        </is>
      </c>
      <c r="F833" s="10" t="n"/>
      <c r="G833" s="10" t="inlineStr">
        <is>
          <t>Fashion</t>
        </is>
      </c>
      <c r="H833" s="10" t="inlineStr">
        <is>
          <t>Dress Casual</t>
        </is>
      </c>
      <c r="I833" s="10" t="n">
        <v>2</v>
      </c>
      <c r="J833" s="10" t="n">
        <v>225000</v>
      </c>
      <c r="K833" s="10" t="n">
        <v>450000</v>
      </c>
    </row>
    <row r="834">
      <c r="A834" s="10" t="inlineStr">
        <is>
          <t>INV-70592</t>
        </is>
      </c>
      <c r="B834" s="10" t="inlineStr">
        <is>
          <t>2025-11-02</t>
        </is>
      </c>
      <c r="C834" s="10" t="inlineStr">
        <is>
          <t>C1161</t>
        </is>
      </c>
      <c r="D834" s="10" t="inlineStr">
        <is>
          <t>champion</t>
        </is>
      </c>
      <c r="E834" s="10" t="inlineStr">
        <is>
          <t>Offline Store</t>
        </is>
      </c>
      <c r="F834" s="10" t="inlineStr">
        <is>
          <t>Jabodetabek</t>
        </is>
      </c>
      <c r="G834" s="10" t="inlineStr">
        <is>
          <t>Makanan</t>
        </is>
      </c>
      <c r="H834" s="10" t="inlineStr">
        <is>
          <t>Teh Herbal (15s)</t>
        </is>
      </c>
      <c r="I834" s="10" t="n">
        <v>2</v>
      </c>
      <c r="J834" s="10" t="n">
        <v>58000</v>
      </c>
      <c r="K834" s="10" t="n">
        <v>116000</v>
      </c>
    </row>
    <row r="835">
      <c r="A835" s="10" t="inlineStr">
        <is>
          <t>INV-71013</t>
        </is>
      </c>
      <c r="B835" s="10" t="inlineStr">
        <is>
          <t>2026-06-20</t>
        </is>
      </c>
      <c r="C835" s="10" t="inlineStr">
        <is>
          <t>C1288</t>
        </is>
      </c>
      <c r="D835" s="10" t="inlineStr">
        <is>
          <t>regular</t>
        </is>
      </c>
      <c r="E835" s="10" t="inlineStr">
        <is>
          <t>Offline Store</t>
        </is>
      </c>
      <c r="F835" s="10" t="inlineStr">
        <is>
          <t>Jabodetabek</t>
        </is>
      </c>
      <c r="G835" s="10" t="inlineStr">
        <is>
          <t>Fashion</t>
        </is>
      </c>
      <c r="H835" s="10" t="inlineStr">
        <is>
          <t>Kaos Premium</t>
        </is>
      </c>
      <c r="I835" s="10" t="n">
        <v>3</v>
      </c>
      <c r="J835" s="10" t="n">
        <v>95000</v>
      </c>
      <c r="K835" s="10" t="n">
        <v>285000</v>
      </c>
    </row>
    <row r="836">
      <c r="A836" s="10" t="inlineStr">
        <is>
          <t>INV-70560</t>
        </is>
      </c>
      <c r="B836" s="10" t="inlineStr">
        <is>
          <t>21 Sep 2025</t>
        </is>
      </c>
      <c r="C836" s="10" t="inlineStr">
        <is>
          <t>C1153</t>
        </is>
      </c>
      <c r="D836" s="10" t="inlineStr">
        <is>
          <t>loyal</t>
        </is>
      </c>
      <c r="E836" s="10" t="inlineStr">
        <is>
          <t>Shopee</t>
        </is>
      </c>
      <c r="F836" s="10" t="inlineStr">
        <is>
          <t>Sumatera</t>
        </is>
      </c>
      <c r="G836" s="10" t="inlineStr">
        <is>
          <t>rumah tangga</t>
        </is>
      </c>
      <c r="H836" s="10" t="inlineStr">
        <is>
          <t>Set Wadah Kedap</t>
        </is>
      </c>
      <c r="I836" s="10" t="n">
        <v>1</v>
      </c>
      <c r="J836" s="10" t="n">
        <v>135000</v>
      </c>
      <c r="K836" s="10" t="inlineStr">
        <is>
          <t>Rp 135.000</t>
        </is>
      </c>
    </row>
    <row r="837">
      <c r="A837" s="10" t="inlineStr">
        <is>
          <t>INV-70256</t>
        </is>
      </c>
      <c r="B837" s="10" t="inlineStr">
        <is>
          <t>2025-06-21</t>
        </is>
      </c>
      <c r="C837" s="10" t="inlineStr">
        <is>
          <t>C1072</t>
        </is>
      </c>
      <c r="D837" s="10" t="inlineStr">
        <is>
          <t>champion</t>
        </is>
      </c>
      <c r="E837" s="10" t="inlineStr">
        <is>
          <t xml:space="preserve">Offline store </t>
        </is>
      </c>
      <c r="F837" s="10" t="inlineStr">
        <is>
          <t>Jawa Barat</t>
        </is>
      </c>
      <c r="G837" s="10" t="inlineStr">
        <is>
          <t>Rumah Tangga</t>
        </is>
      </c>
      <c r="H837" s="10" t="inlineStr">
        <is>
          <t>Set Wadah Kedap</t>
        </is>
      </c>
      <c r="I837" s="10" t="n">
        <v>2</v>
      </c>
      <c r="J837" s="10" t="n">
        <v>135000</v>
      </c>
      <c r="K837" s="10" t="inlineStr">
        <is>
          <t>Rp 270.000</t>
        </is>
      </c>
    </row>
    <row r="838">
      <c r="A838" s="10" t="inlineStr">
        <is>
          <t>INV-70954</t>
        </is>
      </c>
      <c r="B838" s="10" t="inlineStr">
        <is>
          <t>10/01/2026</t>
        </is>
      </c>
      <c r="C838" s="10" t="inlineStr">
        <is>
          <t>C1271</t>
        </is>
      </c>
      <c r="D838" s="10" t="inlineStr">
        <is>
          <t>regular</t>
        </is>
      </c>
      <c r="E838" s="10" t="inlineStr">
        <is>
          <t>TikTok Shop</t>
        </is>
      </c>
      <c r="F838" s="10" t="inlineStr">
        <is>
          <t>Sumatera</t>
        </is>
      </c>
      <c r="G838" s="10" t="inlineStr">
        <is>
          <t>Rumah Tangga</t>
        </is>
      </c>
      <c r="H838" s="10" t="inlineStr">
        <is>
          <t>Set Wadah Kedap</t>
        </is>
      </c>
      <c r="I838" s="10" t="n">
        <v>1</v>
      </c>
      <c r="J838" s="10" t="n">
        <v>135000</v>
      </c>
      <c r="K838" s="10" t="n">
        <v>135000</v>
      </c>
    </row>
    <row r="839">
      <c r="A839" s="10" t="inlineStr">
        <is>
          <t>INV-70810</t>
        </is>
      </c>
      <c r="B839" s="10" t="inlineStr">
        <is>
          <t>04 Jul 2025</t>
        </is>
      </c>
      <c r="C839" s="10" t="inlineStr">
        <is>
          <t>C1227</t>
        </is>
      </c>
      <c r="D839" s="10" t="inlineStr">
        <is>
          <t>occasional</t>
        </is>
      </c>
      <c r="E839" s="10" t="inlineStr">
        <is>
          <t>SHOPEE</t>
        </is>
      </c>
      <c r="F839" s="10" t="inlineStr">
        <is>
          <t>Jabodetabek</t>
        </is>
      </c>
      <c r="G839" s="10" t="inlineStr">
        <is>
          <t>Rumah Tangga</t>
        </is>
      </c>
      <c r="H839" s="10" t="inlineStr">
        <is>
          <t>Set Wadah Kedap</t>
        </is>
      </c>
      <c r="I839" s="10" t="n"/>
      <c r="J839" s="10" t="n">
        <v>135000</v>
      </c>
      <c r="K839" s="10" t="n">
        <v>270000</v>
      </c>
    </row>
    <row r="840">
      <c r="A840" s="10" t="inlineStr">
        <is>
          <t>INV-70806</t>
        </is>
      </c>
      <c r="B840" s="10" t="inlineStr">
        <is>
          <t>2026-02-08</t>
        </is>
      </c>
      <c r="C840" s="10" t="inlineStr">
        <is>
          <t>C1226</t>
        </is>
      </c>
      <c r="D840" s="10" t="inlineStr">
        <is>
          <t>occasional</t>
        </is>
      </c>
      <c r="E840" s="10" t="inlineStr">
        <is>
          <t>Tokopedia</t>
        </is>
      </c>
      <c r="F840" s="10" t="inlineStr">
        <is>
          <t>Jabodetabek</t>
        </is>
      </c>
      <c r="G840" s="10" t="inlineStr">
        <is>
          <t>Rumah Tangga</t>
        </is>
      </c>
      <c r="H840" s="10" t="inlineStr">
        <is>
          <t>Set Wadah Kedap</t>
        </is>
      </c>
      <c r="I840" s="10" t="n">
        <v>4</v>
      </c>
      <c r="J840" s="10" t="n">
        <v>135000</v>
      </c>
      <c r="K840" s="10" t="n">
        <v>540000</v>
      </c>
    </row>
    <row r="841">
      <c r="A841" s="10" t="inlineStr">
        <is>
          <t>INV-70649</t>
        </is>
      </c>
      <c r="B841" s="10" t="inlineStr">
        <is>
          <t>13 Oct 2025</t>
        </is>
      </c>
      <c r="C841" s="10" t="inlineStr">
        <is>
          <t>C1177</t>
        </is>
      </c>
      <c r="D841" s="10" t="inlineStr">
        <is>
          <t>occasional</t>
        </is>
      </c>
      <c r="E841" s="10" t="inlineStr">
        <is>
          <t>Tokopedia</t>
        </is>
      </c>
      <c r="F841" s="10" t="inlineStr">
        <is>
          <t>Jabodetabek</t>
        </is>
      </c>
      <c r="G841" s="10" t="inlineStr">
        <is>
          <t>Rumah Tangga</t>
        </is>
      </c>
      <c r="H841" s="10" t="inlineStr">
        <is>
          <t>Set Wadah Kedap</t>
        </is>
      </c>
      <c r="I841" s="10" t="n">
        <v>1</v>
      </c>
      <c r="J841" s="10" t="n">
        <v>135000</v>
      </c>
      <c r="K841" s="10" t="n">
        <v>135000</v>
      </c>
    </row>
    <row r="842">
      <c r="A842" s="10" t="inlineStr">
        <is>
          <t>INV-70688</t>
        </is>
      </c>
      <c r="B842" s="10" t="inlineStr">
        <is>
          <t>02/08/2025</t>
        </is>
      </c>
      <c r="C842" s="10" t="inlineStr">
        <is>
          <t>C1188</t>
        </is>
      </c>
      <c r="D842" s="10" t="inlineStr">
        <is>
          <t>occasional</t>
        </is>
      </c>
      <c r="E842" s="10" t="inlineStr">
        <is>
          <t>Shopee</t>
        </is>
      </c>
      <c r="F842" s="10" t="inlineStr">
        <is>
          <t>Jabodetabek</t>
        </is>
      </c>
      <c r="G842" s="10" t="inlineStr">
        <is>
          <t>Kecantikan</t>
        </is>
      </c>
      <c r="H842" s="10" t="inlineStr">
        <is>
          <t>Masker Wajah (5s)</t>
        </is>
      </c>
      <c r="I842" s="10" t="n">
        <v>1</v>
      </c>
      <c r="J842" s="10" t="n">
        <v>55000</v>
      </c>
      <c r="K842" s="10" t="n">
        <v>55000</v>
      </c>
    </row>
    <row r="843">
      <c r="A843" s="10" t="inlineStr">
        <is>
          <t>INV-70121</t>
        </is>
      </c>
      <c r="B843" s="10" t="inlineStr">
        <is>
          <t>2025-06-04</t>
        </is>
      </c>
      <c r="C843" s="10" t="inlineStr">
        <is>
          <t>C1038</t>
        </is>
      </c>
      <c r="D843" s="10" t="inlineStr">
        <is>
          <t>champion</t>
        </is>
      </c>
      <c r="E843" s="10" t="inlineStr">
        <is>
          <t>Shopee</t>
        </is>
      </c>
      <c r="F843" s="10" t="inlineStr">
        <is>
          <t>Jawa Barat</t>
        </is>
      </c>
      <c r="G843" s="10" t="inlineStr">
        <is>
          <t>Rumah Tangga</t>
        </is>
      </c>
      <c r="H843" s="10" t="inlineStr">
        <is>
          <t>Organizer Laci</t>
        </is>
      </c>
      <c r="I843" s="10" t="n">
        <v>2</v>
      </c>
      <c r="J843" s="10" t="n">
        <v>78000</v>
      </c>
      <c r="K843" s="10" t="n">
        <v>156000</v>
      </c>
    </row>
    <row r="844">
      <c r="A844" s="10" t="inlineStr">
        <is>
          <t>INV-70897</t>
        </is>
      </c>
      <c r="B844" s="10" t="inlineStr">
        <is>
          <t>2025-05-17</t>
        </is>
      </c>
      <c r="C844" s="10" t="inlineStr">
        <is>
          <t>C1252</t>
        </is>
      </c>
      <c r="D844" s="10" t="inlineStr">
        <is>
          <t>regular</t>
        </is>
      </c>
      <c r="E844" s="10" t="inlineStr">
        <is>
          <t>Shopee</t>
        </is>
      </c>
      <c r="F844" s="10" t="inlineStr">
        <is>
          <t>Jawa Tengah</t>
        </is>
      </c>
      <c r="G844" s="10" t="inlineStr">
        <is>
          <t>kecantikan</t>
        </is>
      </c>
      <c r="H844" s="10" t="inlineStr">
        <is>
          <t>Masker Wajah (5s)</t>
        </is>
      </c>
      <c r="I844" s="10" t="n">
        <v>2</v>
      </c>
      <c r="J844" s="10" t="n">
        <v>55000</v>
      </c>
      <c r="K844" s="10" t="inlineStr">
        <is>
          <t>Rp 110.000</t>
        </is>
      </c>
    </row>
    <row r="845">
      <c r="A845" s="10" t="inlineStr">
        <is>
          <t>INV-70779</t>
        </is>
      </c>
      <c r="B845" s="10" t="inlineStr">
        <is>
          <t>20 May 2026</t>
        </is>
      </c>
      <c r="C845" s="10" t="inlineStr">
        <is>
          <t>C1220</t>
        </is>
      </c>
      <c r="D845" s="10" t="inlineStr">
        <is>
          <t>loyal</t>
        </is>
      </c>
      <c r="E845" s="10" t="inlineStr">
        <is>
          <t>Shopee</t>
        </is>
      </c>
      <c r="F845" s="10" t="inlineStr">
        <is>
          <t>Jawa Timur</t>
        </is>
      </c>
      <c r="G845" s="10" t="inlineStr">
        <is>
          <t>Elektronik</t>
        </is>
      </c>
      <c r="H845" s="10" t="inlineStr">
        <is>
          <t>Power Bank 20K</t>
        </is>
      </c>
      <c r="I845" s="10" t="n">
        <v>3</v>
      </c>
      <c r="J845" s="10" t="n">
        <v>185000</v>
      </c>
      <c r="K845" s="10" t="n">
        <v>555000</v>
      </c>
    </row>
    <row r="846">
      <c r="A846" s="10" t="inlineStr">
        <is>
          <t>INV-70047</t>
        </is>
      </c>
      <c r="B846" s="10" t="inlineStr">
        <is>
          <t>2025-12-13</t>
        </is>
      </c>
      <c r="C846" s="10" t="inlineStr">
        <is>
          <t>C1012</t>
        </is>
      </c>
      <c r="D846" s="10" t="inlineStr">
        <is>
          <t>loyal</t>
        </is>
      </c>
      <c r="E846" s="10" t="inlineStr">
        <is>
          <t>Shopee</t>
        </is>
      </c>
      <c r="F846" s="10" t="inlineStr">
        <is>
          <t>Sumatera</t>
        </is>
      </c>
      <c r="G846" s="10" t="inlineStr">
        <is>
          <t>Rumah Tangga</t>
        </is>
      </c>
      <c r="H846" s="10" t="inlineStr">
        <is>
          <t>Set Wadah Kedap</t>
        </is>
      </c>
      <c r="I846" s="10" t="n">
        <v>1</v>
      </c>
      <c r="J846" s="10" t="n">
        <v>135000</v>
      </c>
      <c r="K846" s="10" t="n">
        <v>120000</v>
      </c>
    </row>
    <row r="847">
      <c r="A847" s="10" t="inlineStr">
        <is>
          <t>INV-70622</t>
        </is>
      </c>
      <c r="B847" s="10" t="inlineStr">
        <is>
          <t>2026-04-08</t>
        </is>
      </c>
      <c r="C847" s="10" t="inlineStr">
        <is>
          <t>C1170</t>
        </is>
      </c>
      <c r="D847" s="10" t="inlineStr">
        <is>
          <t>champion</t>
        </is>
      </c>
      <c r="E847" s="10" t="inlineStr">
        <is>
          <t>TikTok Shop</t>
        </is>
      </c>
      <c r="F847" s="10" t="inlineStr">
        <is>
          <t>Jawa Timur</t>
        </is>
      </c>
      <c r="G847" s="10" t="inlineStr">
        <is>
          <t>Elektronik</t>
        </is>
      </c>
      <c r="H847" s="10" t="inlineStr">
        <is>
          <t>Smartwatch</t>
        </is>
      </c>
      <c r="I847" s="10" t="n">
        <v>1</v>
      </c>
      <c r="J847" s="10" t="n">
        <v>450000</v>
      </c>
      <c r="K847" s="10" t="n">
        <v>450000</v>
      </c>
    </row>
    <row r="848">
      <c r="A848" s="10" t="inlineStr">
        <is>
          <t>INV-70360</t>
        </is>
      </c>
      <c r="B848" s="10" t="inlineStr">
        <is>
          <t>2026-01-19</t>
        </is>
      </c>
      <c r="C848" s="10" t="inlineStr">
        <is>
          <t>C1099</t>
        </is>
      </c>
      <c r="D848" s="10" t="inlineStr">
        <is>
          <t>occasional</t>
        </is>
      </c>
      <c r="E848" s="10" t="inlineStr">
        <is>
          <t>tiktok shop</t>
        </is>
      </c>
      <c r="F848" s="10" t="inlineStr">
        <is>
          <t>Jabodetabek</t>
        </is>
      </c>
      <c r="G848" s="10" t="inlineStr">
        <is>
          <t>Makanan</t>
        </is>
      </c>
      <c r="H848" s="10" t="inlineStr">
        <is>
          <t>Teh Herbal (15s)</t>
        </is>
      </c>
      <c r="I848" s="10" t="n">
        <v>3</v>
      </c>
      <c r="J848" s="10" t="n">
        <v>58000</v>
      </c>
      <c r="K848" s="10" t="inlineStr">
        <is>
          <t>Rp 174.000</t>
        </is>
      </c>
    </row>
    <row r="849">
      <c r="A849" s="10" t="inlineStr">
        <is>
          <t>INV-71492</t>
        </is>
      </c>
      <c r="B849" s="10" t="inlineStr">
        <is>
          <t>2025-01-12</t>
        </is>
      </c>
      <c r="C849" s="10" t="inlineStr">
        <is>
          <t>C1411</t>
        </is>
      </c>
      <c r="D849" s="10" t="inlineStr">
        <is>
          <t>regular</t>
        </is>
      </c>
      <c r="E849" s="10" t="inlineStr">
        <is>
          <t>Shopee</t>
        </is>
      </c>
      <c r="F849" s="10" t="inlineStr">
        <is>
          <t>Jawa Barat</t>
        </is>
      </c>
      <c r="G849" s="10" t="inlineStr">
        <is>
          <t>Rumah Tangga</t>
        </is>
      </c>
      <c r="H849" s="10" t="inlineStr">
        <is>
          <t>Set Wadah Kedap</t>
        </is>
      </c>
      <c r="I849" s="10" t="n">
        <v>1</v>
      </c>
      <c r="J849" s="10" t="n">
        <v>135000</v>
      </c>
      <c r="K849" s="10" t="n">
        <v>135000</v>
      </c>
    </row>
    <row r="850">
      <c r="A850" s="10" t="inlineStr">
        <is>
          <t>INV-70773</t>
        </is>
      </c>
      <c r="B850" s="10" t="inlineStr">
        <is>
          <t>2025-08-22</t>
        </is>
      </c>
      <c r="C850" s="10" t="inlineStr">
        <is>
          <t>C1217</t>
        </is>
      </c>
      <c r="D850" s="10" t="inlineStr">
        <is>
          <t>regular</t>
        </is>
      </c>
      <c r="E850" s="10" t="inlineStr">
        <is>
          <t>shopee</t>
        </is>
      </c>
      <c r="F850" s="10" t="inlineStr">
        <is>
          <t>Jabodetabek</t>
        </is>
      </c>
      <c r="G850" s="10" t="inlineStr">
        <is>
          <t>Fashion</t>
        </is>
      </c>
      <c r="H850" s="10" t="inlineStr">
        <is>
          <t>Kaos Premium</t>
        </is>
      </c>
      <c r="I850" s="10" t="n">
        <v>2</v>
      </c>
      <c r="J850" s="10" t="n">
        <v>95000</v>
      </c>
      <c r="K850" s="10" t="n">
        <v>190000</v>
      </c>
    </row>
    <row r="851">
      <c r="A851" s="10" t="inlineStr">
        <is>
          <t>INV-70757</t>
        </is>
      </c>
      <c r="B851" s="10" t="inlineStr">
        <is>
          <t>2025-01-27</t>
        </is>
      </c>
      <c r="C851" s="10" t="inlineStr">
        <is>
          <t>C1212</t>
        </is>
      </c>
      <c r="D851" s="10" t="inlineStr">
        <is>
          <t>occasional</t>
        </is>
      </c>
      <c r="E851" s="10" t="inlineStr">
        <is>
          <t>Shopee</t>
        </is>
      </c>
      <c r="F851" s="10" t="inlineStr">
        <is>
          <t>Jawa Barat</t>
        </is>
      </c>
      <c r="G851" s="10" t="inlineStr">
        <is>
          <t>Rumah Tangga</t>
        </is>
      </c>
      <c r="H851" s="10" t="inlineStr">
        <is>
          <t>Diffuser Aroma</t>
        </is>
      </c>
      <c r="I851" s="10" t="n">
        <v>1</v>
      </c>
      <c r="J851" s="10" t="n">
        <v>195000</v>
      </c>
      <c r="K851" s="10" t="inlineStr">
        <is>
          <t>Rp 195.000</t>
        </is>
      </c>
    </row>
    <row r="852">
      <c r="A852" s="10" t="inlineStr">
        <is>
          <t>INV-70769</t>
        </is>
      </c>
      <c r="B852" s="10" t="inlineStr">
        <is>
          <t>2026-04-25</t>
        </is>
      </c>
      <c r="C852" s="10" t="inlineStr">
        <is>
          <t>C1215</t>
        </is>
      </c>
      <c r="D852" s="10" t="inlineStr">
        <is>
          <t>loyal</t>
        </is>
      </c>
      <c r="E852" s="10" t="inlineStr">
        <is>
          <t>TikTok Shop</t>
        </is>
      </c>
      <c r="F852" s="10" t="inlineStr">
        <is>
          <t>Jawa Tengah</t>
        </is>
      </c>
      <c r="G852" s="10" t="inlineStr">
        <is>
          <t>Elektronik</t>
        </is>
      </c>
      <c r="H852" s="10" t="inlineStr">
        <is>
          <t>Webcam HD</t>
        </is>
      </c>
      <c r="I852" s="10" t="n">
        <v>1</v>
      </c>
      <c r="J852" s="10" t="n">
        <v>210000</v>
      </c>
      <c r="K852" s="10" t="n">
        <v>210000</v>
      </c>
    </row>
    <row r="853">
      <c r="A853" s="10" t="inlineStr">
        <is>
          <t>INV-71205</t>
        </is>
      </c>
      <c r="B853" s="10" t="inlineStr">
        <is>
          <t>2025-08-26</t>
        </is>
      </c>
      <c r="C853" s="10" t="inlineStr">
        <is>
          <t>C1341</t>
        </is>
      </c>
      <c r="D853" s="10" t="inlineStr">
        <is>
          <t>regular</t>
        </is>
      </c>
      <c r="E853" s="10" t="inlineStr">
        <is>
          <t>TikTok Shop</t>
        </is>
      </c>
      <c r="F853" s="10" t="inlineStr">
        <is>
          <t>Jawa Tengah</t>
        </is>
      </c>
      <c r="G853" s="10" t="inlineStr">
        <is>
          <t>rumah tangga</t>
        </is>
      </c>
      <c r="H853" s="10" t="inlineStr">
        <is>
          <t>Set Wadah Kedap</t>
        </is>
      </c>
      <c r="I853" s="10" t="n">
        <v>4</v>
      </c>
      <c r="J853" s="10" t="n">
        <v>135000</v>
      </c>
      <c r="K853" s="10" t="n">
        <v>540000</v>
      </c>
    </row>
    <row r="854">
      <c r="A854" s="10" t="inlineStr">
        <is>
          <t>INV-70519</t>
        </is>
      </c>
      <c r="B854" s="10" t="inlineStr">
        <is>
          <t>2025-06-12</t>
        </is>
      </c>
      <c r="C854" s="10" t="inlineStr">
        <is>
          <t>C1142</t>
        </is>
      </c>
      <c r="D854" s="10" t="inlineStr">
        <is>
          <t>champion</t>
        </is>
      </c>
      <c r="E854" s="10" t="inlineStr">
        <is>
          <t>offline store</t>
        </is>
      </c>
      <c r="F854" s="10" t="inlineStr">
        <is>
          <t>Lainnya</t>
        </is>
      </c>
      <c r="G854" s="10" t="inlineStr">
        <is>
          <t>Elektronik</t>
        </is>
      </c>
      <c r="H854" s="10" t="inlineStr">
        <is>
          <t>Power Bank 20K</t>
        </is>
      </c>
      <c r="I854" s="10" t="n">
        <v>1</v>
      </c>
      <c r="J854" s="10" t="n">
        <v>185000</v>
      </c>
      <c r="K854" s="10" t="n">
        <v>185000</v>
      </c>
    </row>
    <row r="855">
      <c r="A855" s="10" t="inlineStr">
        <is>
          <t>INV-70931</t>
        </is>
      </c>
      <c r="B855" s="10" t="inlineStr">
        <is>
          <t>2025-10-17</t>
        </is>
      </c>
      <c r="C855" s="10" t="inlineStr">
        <is>
          <t>C1261</t>
        </is>
      </c>
      <c r="D855" s="10" t="inlineStr">
        <is>
          <t>champion</t>
        </is>
      </c>
      <c r="E855" s="10" t="inlineStr">
        <is>
          <t>TIKTOK SHOP</t>
        </is>
      </c>
      <c r="F855" s="10" t="n"/>
      <c r="G855" s="10" t="inlineStr">
        <is>
          <t>rumah tangga</t>
        </is>
      </c>
      <c r="H855" s="10" t="inlineStr">
        <is>
          <t>Set Wadah Kedap</t>
        </is>
      </c>
      <c r="I855" s="10" t="n">
        <v>3</v>
      </c>
      <c r="J855" s="10" t="n">
        <v>135000</v>
      </c>
      <c r="K855" s="10" t="n">
        <v>405000</v>
      </c>
    </row>
    <row r="856">
      <c r="A856" s="10" t="inlineStr">
        <is>
          <t>INV-70092</t>
        </is>
      </c>
      <c r="B856" s="10" t="inlineStr">
        <is>
          <t>2026-05-18</t>
        </is>
      </c>
      <c r="C856" s="10" t="inlineStr">
        <is>
          <t>C1028</t>
        </is>
      </c>
      <c r="D856" s="10" t="inlineStr">
        <is>
          <t>occasional</t>
        </is>
      </c>
      <c r="E856" s="10" t="inlineStr">
        <is>
          <t xml:space="preserve">Offline store </t>
        </is>
      </c>
      <c r="F856" s="10" t="inlineStr">
        <is>
          <t>Jawa Timur</t>
        </is>
      </c>
      <c r="G856" s="10" t="inlineStr">
        <is>
          <t>Makanan</t>
        </is>
      </c>
      <c r="H856" s="10" t="inlineStr">
        <is>
          <t>Granola 500g</t>
        </is>
      </c>
      <c r="I856" s="10" t="n">
        <v>2</v>
      </c>
      <c r="J856" s="10" t="n">
        <v>92000</v>
      </c>
      <c r="K856" s="10" t="inlineStr">
        <is>
          <t>Rp 184.000</t>
        </is>
      </c>
    </row>
    <row r="857">
      <c r="A857" s="10" t="inlineStr">
        <is>
          <t>INV-70997</t>
        </is>
      </c>
      <c r="B857" s="10" t="inlineStr">
        <is>
          <t>2025-06-24</t>
        </is>
      </c>
      <c r="C857" s="10" t="inlineStr">
        <is>
          <t>C1287</t>
        </is>
      </c>
      <c r="D857" s="10" t="inlineStr">
        <is>
          <t>champion</t>
        </is>
      </c>
      <c r="E857" s="10" t="inlineStr">
        <is>
          <t>Shopee</t>
        </is>
      </c>
      <c r="F857" s="10" t="inlineStr">
        <is>
          <t>Sumatera</t>
        </is>
      </c>
      <c r="G857" s="10" t="inlineStr">
        <is>
          <t>Rumah Tangga</t>
        </is>
      </c>
      <c r="H857" s="10" t="inlineStr">
        <is>
          <t>Set Wadah Kedap</t>
        </is>
      </c>
      <c r="I857" s="10" t="n">
        <v>1</v>
      </c>
      <c r="J857" s="10" t="n">
        <v>135000</v>
      </c>
      <c r="K857" s="10" t="inlineStr">
        <is>
          <t>Rp 135.000</t>
        </is>
      </c>
    </row>
    <row r="858">
      <c r="A858" s="10" t="inlineStr">
        <is>
          <t>INV-70529</t>
        </is>
      </c>
      <c r="B858" s="10" t="inlineStr">
        <is>
          <t>2026-06-16</t>
        </is>
      </c>
      <c r="C858" s="10" t="inlineStr">
        <is>
          <t>C1146</t>
        </is>
      </c>
      <c r="D858" s="10" t="inlineStr">
        <is>
          <t>occasional</t>
        </is>
      </c>
      <c r="E858" s="10" t="inlineStr">
        <is>
          <t>Shopee</t>
        </is>
      </c>
      <c r="F858" s="10" t="inlineStr">
        <is>
          <t>Jabodetabek</t>
        </is>
      </c>
      <c r="G858" s="10" t="inlineStr">
        <is>
          <t>Makanan</t>
        </is>
      </c>
      <c r="H858" s="10" t="inlineStr">
        <is>
          <t>Granola 500g</t>
        </is>
      </c>
      <c r="I858" s="10" t="n">
        <v>1</v>
      </c>
      <c r="J858" s="10" t="n">
        <v>92000</v>
      </c>
      <c r="K858" s="10" t="inlineStr">
        <is>
          <t>Rp 92.000</t>
        </is>
      </c>
    </row>
    <row r="859">
      <c r="A859" s="10" t="inlineStr">
        <is>
          <t>INV-70057</t>
        </is>
      </c>
      <c r="B859" s="10" t="inlineStr">
        <is>
          <t>2025-09-21</t>
        </is>
      </c>
      <c r="C859" s="10" t="inlineStr">
        <is>
          <t>C1016</t>
        </is>
      </c>
      <c r="D859" s="10" t="inlineStr">
        <is>
          <t>regular</t>
        </is>
      </c>
      <c r="E859" s="10" t="inlineStr">
        <is>
          <t>Shopee</t>
        </is>
      </c>
      <c r="F859" s="10" t="inlineStr">
        <is>
          <t>Jawa Tengah</t>
        </is>
      </c>
      <c r="G859" s="10" t="inlineStr">
        <is>
          <t>Kecantikan</t>
        </is>
      </c>
      <c r="H859" s="10" t="inlineStr">
        <is>
          <t>Masker Wajah (5s)</t>
        </is>
      </c>
      <c r="I859" s="10" t="n">
        <v>1</v>
      </c>
      <c r="J859" s="10" t="n">
        <v>55000</v>
      </c>
      <c r="K859" s="10" t="n">
        <v>55000</v>
      </c>
    </row>
    <row r="860">
      <c r="A860" s="10" t="inlineStr">
        <is>
          <t>INV-70824</t>
        </is>
      </c>
      <c r="B860" s="10" t="inlineStr">
        <is>
          <t>17/04/2026</t>
        </is>
      </c>
      <c r="C860" s="10" t="inlineStr">
        <is>
          <t>C1233</t>
        </is>
      </c>
      <c r="D860" s="10" t="inlineStr">
        <is>
          <t>regular</t>
        </is>
      </c>
      <c r="E860" s="10" t="inlineStr">
        <is>
          <t>offline store</t>
        </is>
      </c>
      <c r="F860" s="10" t="inlineStr">
        <is>
          <t>Jawa Timur</t>
        </is>
      </c>
      <c r="G860" s="10" t="inlineStr">
        <is>
          <t>fashion</t>
        </is>
      </c>
      <c r="H860" s="10" t="inlineStr">
        <is>
          <t>Celana Chino</t>
        </is>
      </c>
      <c r="I860" s="10" t="n">
        <v>4</v>
      </c>
      <c r="J860" s="10" t="n">
        <v>195000</v>
      </c>
      <c r="K860" s="10" t="n">
        <v>780000</v>
      </c>
    </row>
    <row r="861">
      <c r="A861" s="10" t="inlineStr">
        <is>
          <t>INV-70673</t>
        </is>
      </c>
      <c r="B861" s="10" t="inlineStr">
        <is>
          <t>18 Dec 2025</t>
        </is>
      </c>
      <c r="C861" s="10" t="inlineStr">
        <is>
          <t>C1184</t>
        </is>
      </c>
      <c r="D861" s="10" t="inlineStr">
        <is>
          <t>loyal</t>
        </is>
      </c>
      <c r="E861" s="10" t="inlineStr">
        <is>
          <t>shopee</t>
        </is>
      </c>
      <c r="F861" s="10" t="inlineStr">
        <is>
          <t>Jabodetabek</t>
        </is>
      </c>
      <c r="G861" s="10" t="inlineStr">
        <is>
          <t>Kecantikan</t>
        </is>
      </c>
      <c r="H861" s="10" t="inlineStr">
        <is>
          <t>Masker Wajah (5s)</t>
        </is>
      </c>
      <c r="I861" s="10" t="n">
        <v>2</v>
      </c>
      <c r="J861" s="10" t="n">
        <v>55000</v>
      </c>
      <c r="K861" s="10" t="n">
        <v>110000</v>
      </c>
    </row>
    <row r="862">
      <c r="A862" s="10" t="inlineStr">
        <is>
          <t>INV-70739</t>
        </is>
      </c>
      <c r="B862" s="10" t="inlineStr">
        <is>
          <t>19/12/2025</t>
        </is>
      </c>
      <c r="C862" s="10" t="inlineStr">
        <is>
          <t>C1207</t>
        </is>
      </c>
      <c r="D862" s="10" t="inlineStr">
        <is>
          <t>loyal</t>
        </is>
      </c>
      <c r="E862" s="10" t="inlineStr">
        <is>
          <t>TikTok Shop</t>
        </is>
      </c>
      <c r="F862" s="10" t="inlineStr">
        <is>
          <t>Sumatera</t>
        </is>
      </c>
      <c r="G862" s="10" t="inlineStr">
        <is>
          <t>Rumah Tangga</t>
        </is>
      </c>
      <c r="H862" s="10" t="inlineStr">
        <is>
          <t>Set Wadah Kedap</t>
        </is>
      </c>
      <c r="I862" s="10" t="n">
        <v>1</v>
      </c>
      <c r="J862" s="10" t="n">
        <v>135000</v>
      </c>
      <c r="K862" s="10" t="n">
        <v>135000</v>
      </c>
    </row>
    <row r="863">
      <c r="A863" s="10" t="inlineStr">
        <is>
          <t>INV-70938</t>
        </is>
      </c>
      <c r="B863" s="10" t="inlineStr">
        <is>
          <t>2026-01-03</t>
        </is>
      </c>
      <c r="C863" s="10" t="inlineStr">
        <is>
          <t>C1264</t>
        </is>
      </c>
      <c r="D863" s="10" t="inlineStr">
        <is>
          <t>occasional</t>
        </is>
      </c>
      <c r="E863" s="10" t="inlineStr">
        <is>
          <t>Tokopedia</t>
        </is>
      </c>
      <c r="F863" s="10" t="inlineStr">
        <is>
          <t>Sumatera</t>
        </is>
      </c>
      <c r="G863" s="10" t="inlineStr">
        <is>
          <t>Fashion</t>
        </is>
      </c>
      <c r="H863" s="10" t="inlineStr">
        <is>
          <t>Kemeja Linen</t>
        </is>
      </c>
      <c r="I863" s="10" t="n">
        <v>1</v>
      </c>
      <c r="J863" s="10" t="n">
        <v>185000</v>
      </c>
      <c r="K863" s="10" t="n">
        <v>185000</v>
      </c>
    </row>
    <row r="864">
      <c r="A864" s="10" t="inlineStr">
        <is>
          <t>INV-71111</t>
        </is>
      </c>
      <c r="B864" s="10" t="inlineStr">
        <is>
          <t>01 Sep 2025</t>
        </is>
      </c>
      <c r="C864" s="10" t="inlineStr">
        <is>
          <t>C1311</t>
        </is>
      </c>
      <c r="D864" s="10" t="inlineStr">
        <is>
          <t>regular</t>
        </is>
      </c>
      <c r="E864" s="10" t="inlineStr">
        <is>
          <t>Shopee</t>
        </is>
      </c>
      <c r="F864" s="10" t="inlineStr">
        <is>
          <t>Sumatera</t>
        </is>
      </c>
      <c r="G864" s="10" t="inlineStr">
        <is>
          <t>Fashion</t>
        </is>
      </c>
      <c r="H864" s="10" t="inlineStr">
        <is>
          <t>Celana Chino</t>
        </is>
      </c>
      <c r="I864" s="10" t="n">
        <v>2</v>
      </c>
      <c r="J864" s="10" t="n">
        <v>195000</v>
      </c>
      <c r="K864" s="10" t="n">
        <v>390000</v>
      </c>
    </row>
    <row r="865">
      <c r="A865" s="10" t="inlineStr">
        <is>
          <t>INV-70651</t>
        </is>
      </c>
      <c r="B865" s="10" t="inlineStr">
        <is>
          <t>2025-12-05</t>
        </is>
      </c>
      <c r="C865" s="10" t="inlineStr">
        <is>
          <t>C1178</t>
        </is>
      </c>
      <c r="D865" s="10" t="inlineStr">
        <is>
          <t>regular</t>
        </is>
      </c>
      <c r="E865" s="10" t="inlineStr">
        <is>
          <t>Tokopedia</t>
        </is>
      </c>
      <c r="F865" s="10" t="inlineStr">
        <is>
          <t>Jawa Timur</t>
        </is>
      </c>
      <c r="G865" s="10" t="inlineStr">
        <is>
          <t>Kecantikan</t>
        </is>
      </c>
      <c r="H865" s="10" t="inlineStr">
        <is>
          <t>Masker Wajah (5s)</t>
        </is>
      </c>
      <c r="I865" s="10" t="n">
        <v>4</v>
      </c>
      <c r="J865" s="10" t="n">
        <v>55000</v>
      </c>
      <c r="K865" s="10" t="n">
        <v>220000</v>
      </c>
    </row>
    <row r="866">
      <c r="A866" s="10" t="inlineStr">
        <is>
          <t>INV-70498</t>
        </is>
      </c>
      <c r="B866" s="10" t="inlineStr">
        <is>
          <t>2025-05-19</t>
        </is>
      </c>
      <c r="C866" s="10" t="inlineStr">
        <is>
          <t>C1140</t>
        </is>
      </c>
      <c r="D866" s="10" t="inlineStr">
        <is>
          <t>onetime</t>
        </is>
      </c>
      <c r="E866" s="10" t="inlineStr">
        <is>
          <t>offline store</t>
        </is>
      </c>
      <c r="F866" s="10" t="inlineStr">
        <is>
          <t>Jabodetabek</t>
        </is>
      </c>
      <c r="G866" s="10" t="inlineStr">
        <is>
          <t>Elektronik</t>
        </is>
      </c>
      <c r="H866" s="10" t="inlineStr">
        <is>
          <t>Power Bank 20K</t>
        </is>
      </c>
      <c r="I866" s="10" t="n">
        <v>1</v>
      </c>
      <c r="J866" s="10" t="n">
        <v>185000</v>
      </c>
      <c r="K866" s="10" t="n">
        <v>185000</v>
      </c>
    </row>
    <row r="867">
      <c r="A867" s="10" t="inlineStr">
        <is>
          <t>INV-70365</t>
        </is>
      </c>
      <c r="B867" s="10" t="inlineStr">
        <is>
          <t>2025-10-19</t>
        </is>
      </c>
      <c r="C867" s="10" t="inlineStr">
        <is>
          <t>C1102</t>
        </is>
      </c>
      <c r="D867" s="10" t="inlineStr">
        <is>
          <t>occasional</t>
        </is>
      </c>
      <c r="E867" s="10" t="inlineStr">
        <is>
          <t>Shopee</t>
        </is>
      </c>
      <c r="F867" s="10" t="inlineStr">
        <is>
          <t>Jawa Timur</t>
        </is>
      </c>
      <c r="G867" s="10" t="inlineStr">
        <is>
          <t>Rumah Tangga</t>
        </is>
      </c>
      <c r="H867" s="10" t="inlineStr">
        <is>
          <t>Organizer Laci</t>
        </is>
      </c>
      <c r="I867" s="10" t="n">
        <v>1</v>
      </c>
      <c r="J867" s="10" t="n">
        <v>78000</v>
      </c>
      <c r="K867" s="10" t="inlineStr">
        <is>
          <t>Rp 78.000</t>
        </is>
      </c>
    </row>
    <row r="868">
      <c r="A868" s="10" t="inlineStr">
        <is>
          <t>INV-70500</t>
        </is>
      </c>
      <c r="B868" s="10" t="inlineStr">
        <is>
          <t>2026-03-22</t>
        </is>
      </c>
      <c r="C868" s="10" t="inlineStr">
        <is>
          <t>C1141</t>
        </is>
      </c>
      <c r="D868" s="10" t="inlineStr">
        <is>
          <t>loyal</t>
        </is>
      </c>
      <c r="E868" s="10" t="inlineStr">
        <is>
          <t>Shopee</t>
        </is>
      </c>
      <c r="F868" s="10" t="inlineStr">
        <is>
          <t>Lainnya</t>
        </is>
      </c>
      <c r="G868" s="10" t="inlineStr">
        <is>
          <t>Rumah Tangga</t>
        </is>
      </c>
      <c r="H868" s="10" t="inlineStr">
        <is>
          <t>Set Wadah Kedap</t>
        </is>
      </c>
      <c r="I868" s="10" t="n">
        <v>4</v>
      </c>
      <c r="J868" s="10" t="n">
        <v>135000</v>
      </c>
      <c r="K868" s="10" t="n">
        <v>540000</v>
      </c>
    </row>
    <row r="869">
      <c r="A869" s="10" t="inlineStr">
        <is>
          <t>INV-70873</t>
        </is>
      </c>
      <c r="B869" s="10" t="inlineStr">
        <is>
          <t>2026-06-21</t>
        </is>
      </c>
      <c r="C869" s="10" t="inlineStr">
        <is>
          <t>C1246</t>
        </is>
      </c>
      <c r="D869" s="10" t="inlineStr">
        <is>
          <t>champion</t>
        </is>
      </c>
      <c r="E869" s="10" t="inlineStr">
        <is>
          <t>TikTok Shop</t>
        </is>
      </c>
      <c r="F869" s="10" t="inlineStr">
        <is>
          <t>Jawa Timur</t>
        </is>
      </c>
      <c r="G869" s="10" t="inlineStr">
        <is>
          <t>elektronik</t>
        </is>
      </c>
      <c r="H869" s="10" t="inlineStr">
        <is>
          <t>Webcam HD</t>
        </is>
      </c>
      <c r="I869" s="10" t="n">
        <v>4</v>
      </c>
      <c r="J869" s="10" t="n">
        <v>210000</v>
      </c>
      <c r="K869" s="10" t="n">
        <v>840000</v>
      </c>
    </row>
    <row r="870">
      <c r="A870" s="10" t="inlineStr">
        <is>
          <t>INV-70539</t>
        </is>
      </c>
      <c r="B870" s="10" t="inlineStr">
        <is>
          <t>2026-05-07</t>
        </is>
      </c>
      <c r="C870" s="10" t="inlineStr">
        <is>
          <t>C1149</t>
        </is>
      </c>
      <c r="D870" s="10" t="inlineStr">
        <is>
          <t>loyal</t>
        </is>
      </c>
      <c r="E870" s="10" t="inlineStr">
        <is>
          <t>TikTok Shop</t>
        </is>
      </c>
      <c r="F870" s="10" t="inlineStr">
        <is>
          <t>Lainnya</t>
        </is>
      </c>
      <c r="G870" s="10" t="inlineStr">
        <is>
          <t>Elektronik</t>
        </is>
      </c>
      <c r="H870" s="10" t="inlineStr">
        <is>
          <t>Keyboard Mekanik</t>
        </is>
      </c>
      <c r="I870" s="10" t="n">
        <v>1</v>
      </c>
      <c r="J870" s="10" t="n">
        <v>380000</v>
      </c>
      <c r="K870" s="10" t="n">
        <v>380000</v>
      </c>
    </row>
    <row r="871">
      <c r="A871" s="10" t="inlineStr">
        <is>
          <t>INV-71265</t>
        </is>
      </c>
      <c r="B871" s="10" t="inlineStr">
        <is>
          <t>10 Jun 2026</t>
        </is>
      </c>
      <c r="C871" s="10" t="inlineStr">
        <is>
          <t>C1358</t>
        </is>
      </c>
      <c r="D871" s="10" t="inlineStr">
        <is>
          <t>champion</t>
        </is>
      </c>
      <c r="E871" s="10" t="inlineStr">
        <is>
          <t xml:space="preserve"> tokopedia</t>
        </is>
      </c>
      <c r="F871" s="10" t="inlineStr">
        <is>
          <t>Lainnya</t>
        </is>
      </c>
      <c r="G871" s="10" t="inlineStr">
        <is>
          <t>Rumah Tangga</t>
        </is>
      </c>
      <c r="H871" s="10" t="inlineStr">
        <is>
          <t>Set Wadah Kedap</t>
        </is>
      </c>
      <c r="I871" s="10" t="n">
        <v>1</v>
      </c>
      <c r="J871" s="10" t="n">
        <v>135000</v>
      </c>
      <c r="K871" s="10" t="n">
        <v>135000</v>
      </c>
    </row>
    <row r="872">
      <c r="A872" s="10" t="inlineStr">
        <is>
          <t>INV-70334</t>
        </is>
      </c>
      <c r="B872" s="10" t="inlineStr">
        <is>
          <t>18/07/2025</t>
        </is>
      </c>
      <c r="C872" s="10" t="inlineStr">
        <is>
          <t>C1091</t>
        </is>
      </c>
      <c r="D872" s="10" t="inlineStr">
        <is>
          <t>onetime</t>
        </is>
      </c>
      <c r="E872" s="10" t="inlineStr">
        <is>
          <t>Tokopedia</t>
        </is>
      </c>
      <c r="F872" s="10" t="inlineStr">
        <is>
          <t>Jawa Barat</t>
        </is>
      </c>
      <c r="G872" s="10" t="inlineStr">
        <is>
          <t>Elektronik</t>
        </is>
      </c>
      <c r="H872" s="10" t="inlineStr">
        <is>
          <t>Power Bank 20K</t>
        </is>
      </c>
      <c r="I872" s="10" t="n">
        <v>2</v>
      </c>
      <c r="J872" s="10" t="n">
        <v>185000</v>
      </c>
      <c r="K872" s="10" t="inlineStr">
        <is>
          <t>Rp 370.000</t>
        </is>
      </c>
    </row>
    <row r="873">
      <c r="A873" s="10" t="inlineStr">
        <is>
          <t>INV-71089</t>
        </is>
      </c>
      <c r="B873" s="10" t="inlineStr">
        <is>
          <t>11/04/2026</t>
        </is>
      </c>
      <c r="C873" s="10" t="inlineStr">
        <is>
          <t>C1306</t>
        </is>
      </c>
      <c r="D873" s="10" t="inlineStr">
        <is>
          <t>loyal</t>
        </is>
      </c>
      <c r="E873" s="10" t="inlineStr">
        <is>
          <t>TIKTOK SHOP</t>
        </is>
      </c>
      <c r="F873" s="10" t="inlineStr">
        <is>
          <t>Sumatera</t>
        </is>
      </c>
      <c r="G873" s="10" t="inlineStr">
        <is>
          <t>Elektronik</t>
        </is>
      </c>
      <c r="H873" s="10" t="inlineStr">
        <is>
          <t>Webcam HD</t>
        </is>
      </c>
      <c r="I873" s="10" t="n">
        <v>4</v>
      </c>
      <c r="J873" s="10" t="n">
        <v>210000</v>
      </c>
      <c r="K873" s="10" t="n">
        <v>840000</v>
      </c>
    </row>
    <row r="874">
      <c r="A874" s="10" t="inlineStr">
        <is>
          <t>INV-70458</t>
        </is>
      </c>
      <c r="B874" s="10" t="inlineStr">
        <is>
          <t>2025-06-01</t>
        </is>
      </c>
      <c r="C874" s="10" t="inlineStr">
        <is>
          <t>C1130</t>
        </is>
      </c>
      <c r="D874" s="10" t="inlineStr">
        <is>
          <t>loyal</t>
        </is>
      </c>
      <c r="E874" s="10" t="inlineStr">
        <is>
          <t xml:space="preserve"> tokopedia</t>
        </is>
      </c>
      <c r="F874" s="10" t="inlineStr">
        <is>
          <t>Jabodetabek</t>
        </is>
      </c>
      <c r="G874" s="10" t="inlineStr">
        <is>
          <t>Kecantikan</t>
        </is>
      </c>
      <c r="H874" s="10" t="inlineStr">
        <is>
          <t>Masker Wajah (5s)</t>
        </is>
      </c>
      <c r="I874" s="10" t="n">
        <v>-3</v>
      </c>
      <c r="J874" s="10" t="n">
        <v>55000</v>
      </c>
      <c r="K874" s="10" t="n">
        <v>165000</v>
      </c>
    </row>
    <row r="875">
      <c r="A875" s="10" t="inlineStr">
        <is>
          <t>INV-71002</t>
        </is>
      </c>
      <c r="B875" s="10" t="inlineStr">
        <is>
          <t>2025-09-24</t>
        </is>
      </c>
      <c r="C875" s="10" t="inlineStr">
        <is>
          <t>C1287</t>
        </is>
      </c>
      <c r="D875" s="10" t="inlineStr">
        <is>
          <t>champion</t>
        </is>
      </c>
      <c r="E875" s="10" t="inlineStr">
        <is>
          <t xml:space="preserve">Shopee </t>
        </is>
      </c>
      <c r="F875" s="10" t="inlineStr">
        <is>
          <t>Sumatera</t>
        </is>
      </c>
      <c r="G875" s="10" t="inlineStr">
        <is>
          <t>Rumah Tangga</t>
        </is>
      </c>
      <c r="H875" s="10" t="inlineStr">
        <is>
          <t>Karpet Bulu</t>
        </is>
      </c>
      <c r="I875" s="10" t="n">
        <v>1</v>
      </c>
      <c r="J875" s="10" t="n">
        <v>240000</v>
      </c>
      <c r="K875" s="10" t="n">
        <v>240000</v>
      </c>
    </row>
    <row r="876">
      <c r="A876" s="10" t="inlineStr">
        <is>
          <t>INV-70480</t>
        </is>
      </c>
      <c r="B876" s="10" t="inlineStr">
        <is>
          <t>10/02/2025</t>
        </is>
      </c>
      <c r="C876" s="10" t="inlineStr">
        <is>
          <t>C1137</t>
        </is>
      </c>
      <c r="D876" s="10" t="inlineStr">
        <is>
          <t>loyal</t>
        </is>
      </c>
      <c r="E876" s="10" t="inlineStr">
        <is>
          <t>TikTok Shop</t>
        </is>
      </c>
      <c r="F876" s="10" t="inlineStr">
        <is>
          <t>Jawa Tengah</t>
        </is>
      </c>
      <c r="G876" s="10" t="inlineStr">
        <is>
          <t>Rumah Tangga</t>
        </is>
      </c>
      <c r="H876" s="10" t="inlineStr">
        <is>
          <t>Set Wadah Kedap</t>
        </is>
      </c>
      <c r="I876" s="10" t="n">
        <v>4</v>
      </c>
      <c r="J876" s="10" t="n">
        <v>135000</v>
      </c>
      <c r="K876" s="10" t="n">
        <v>540000</v>
      </c>
    </row>
    <row r="877">
      <c r="A877" s="10" t="inlineStr">
        <is>
          <t>INV-71251</t>
        </is>
      </c>
      <c r="B877" s="10" t="inlineStr">
        <is>
          <t>2025-11-24</t>
        </is>
      </c>
      <c r="C877" s="10" t="inlineStr">
        <is>
          <t>C1352</t>
        </is>
      </c>
      <c r="D877" s="10" t="inlineStr">
        <is>
          <t>loyal</t>
        </is>
      </c>
      <c r="E877" s="10" t="inlineStr">
        <is>
          <t>Offline Store</t>
        </is>
      </c>
      <c r="F877" s="10" t="inlineStr">
        <is>
          <t>Sumatera</t>
        </is>
      </c>
      <c r="G877" s="10" t="inlineStr">
        <is>
          <t>Elektronik</t>
        </is>
      </c>
      <c r="H877" s="10" t="inlineStr">
        <is>
          <t>Webcam HD</t>
        </is>
      </c>
      <c r="I877" s="10" t="n">
        <v>1</v>
      </c>
      <c r="J877" s="10" t="n">
        <v>210000</v>
      </c>
      <c r="K877" s="10" t="n">
        <v>210000</v>
      </c>
    </row>
    <row r="878">
      <c r="A878" s="10" t="inlineStr">
        <is>
          <t>INV-71028</t>
        </is>
      </c>
      <c r="B878" s="10" t="inlineStr">
        <is>
          <t>2025-12-10</t>
        </is>
      </c>
      <c r="C878" s="10" t="inlineStr">
        <is>
          <t>C1292</t>
        </is>
      </c>
      <c r="D878" s="10" t="inlineStr">
        <is>
          <t>regular</t>
        </is>
      </c>
      <c r="E878" s="10" t="inlineStr">
        <is>
          <t>Offline Store</t>
        </is>
      </c>
      <c r="F878" s="10" t="inlineStr">
        <is>
          <t>Sumatera</t>
        </is>
      </c>
      <c r="G878" s="10" t="inlineStr">
        <is>
          <t>Makanan</t>
        </is>
      </c>
      <c r="H878" s="10" t="inlineStr">
        <is>
          <t>Madu Hutan 250ml</t>
        </is>
      </c>
      <c r="I878" s="10" t="n">
        <v>4</v>
      </c>
      <c r="J878" s="10" t="n">
        <v>110000</v>
      </c>
      <c r="K878" s="10" t="n">
        <v>440000</v>
      </c>
    </row>
    <row r="879">
      <c r="A879" s="10" t="inlineStr">
        <is>
          <t>INV-71470</t>
        </is>
      </c>
      <c r="B879" s="10" t="inlineStr">
        <is>
          <t>20 Feb 2026</t>
        </is>
      </c>
      <c r="C879" s="10" t="inlineStr">
        <is>
          <t>C1406</t>
        </is>
      </c>
      <c r="D879" s="10" t="inlineStr">
        <is>
          <t>regular</t>
        </is>
      </c>
      <c r="E879" s="10" t="inlineStr">
        <is>
          <t>Tokopedia</t>
        </is>
      </c>
      <c r="F879" s="10" t="inlineStr">
        <is>
          <t>Jawa Tengah</t>
        </is>
      </c>
      <c r="G879" s="10" t="inlineStr">
        <is>
          <t>Elektronik</t>
        </is>
      </c>
      <c r="H879" s="10" t="inlineStr">
        <is>
          <t>Earbuds TWS</t>
        </is>
      </c>
      <c r="I879" s="10" t="n">
        <v>4</v>
      </c>
      <c r="J879" s="10" t="n">
        <v>265000</v>
      </c>
      <c r="K879" s="10" t="n">
        <v>1060000</v>
      </c>
    </row>
    <row r="880">
      <c r="A880" s="10" t="inlineStr">
        <is>
          <t>INV-70137</t>
        </is>
      </c>
      <c r="B880" s="10" t="inlineStr">
        <is>
          <t>27/11/2025</t>
        </is>
      </c>
      <c r="C880" s="10" t="inlineStr">
        <is>
          <t>C1039</t>
        </is>
      </c>
      <c r="D880" s="10" t="inlineStr">
        <is>
          <t>loyal</t>
        </is>
      </c>
      <c r="E880" s="10" t="inlineStr">
        <is>
          <t>Shopee</t>
        </is>
      </c>
      <c r="F880" s="10" t="inlineStr">
        <is>
          <t>Jabodetabek</t>
        </is>
      </c>
      <c r="G880" s="10" t="inlineStr">
        <is>
          <t>Elektronik</t>
        </is>
      </c>
      <c r="H880" s="10" t="inlineStr">
        <is>
          <t>Webcam HD</t>
        </is>
      </c>
      <c r="I880" s="10" t="n">
        <v>1</v>
      </c>
      <c r="J880" s="10" t="n">
        <v>210000</v>
      </c>
      <c r="K880" s="10" t="n">
        <v>210000</v>
      </c>
    </row>
    <row r="881">
      <c r="A881" s="10" t="inlineStr">
        <is>
          <t>INV-70469</t>
        </is>
      </c>
      <c r="B881" s="10" t="inlineStr">
        <is>
          <t>2026-04-26</t>
        </is>
      </c>
      <c r="C881" s="10" t="inlineStr">
        <is>
          <t>C1134</t>
        </is>
      </c>
      <c r="D881" s="10" t="inlineStr">
        <is>
          <t>occasional</t>
        </is>
      </c>
      <c r="E881" s="10" t="inlineStr">
        <is>
          <t>shopee</t>
        </is>
      </c>
      <c r="F881" s="10" t="inlineStr">
        <is>
          <t>Lainnya</t>
        </is>
      </c>
      <c r="G881" s="10" t="inlineStr">
        <is>
          <t>Kecantikan</t>
        </is>
      </c>
      <c r="H881" s="10" t="inlineStr">
        <is>
          <t>Masker Wajah (5s)</t>
        </is>
      </c>
      <c r="I881" s="10" t="n">
        <v>2</v>
      </c>
      <c r="J881" s="10" t="n">
        <v>55000</v>
      </c>
      <c r="K881" s="10" t="n">
        <v>110000</v>
      </c>
    </row>
    <row r="882">
      <c r="A882" s="10" t="inlineStr">
        <is>
          <t>INV-71287</t>
        </is>
      </c>
      <c r="B882" s="10" t="inlineStr">
        <is>
          <t>2026-06-19</t>
        </is>
      </c>
      <c r="C882" s="10" t="inlineStr">
        <is>
          <t>C1359</t>
        </is>
      </c>
      <c r="D882" s="10" t="inlineStr">
        <is>
          <t>champion</t>
        </is>
      </c>
      <c r="E882" s="10" t="inlineStr">
        <is>
          <t>shopee</t>
        </is>
      </c>
      <c r="F882" s="10" t="inlineStr">
        <is>
          <t>Jabodetabek</t>
        </is>
      </c>
      <c r="G882" s="10" t="inlineStr">
        <is>
          <t>Elektronik</t>
        </is>
      </c>
      <c r="H882" s="10" t="inlineStr">
        <is>
          <t>Power Bank 20K</t>
        </is>
      </c>
      <c r="I882" s="10" t="n">
        <v>1</v>
      </c>
      <c r="J882" s="10" t="n">
        <v>185000</v>
      </c>
      <c r="K882" s="10" t="n">
        <v>185000</v>
      </c>
    </row>
    <row r="883">
      <c r="A883" s="10" t="inlineStr">
        <is>
          <t>INV-70471</t>
        </is>
      </c>
      <c r="B883" s="10" t="inlineStr">
        <is>
          <t>2025-02-07</t>
        </is>
      </c>
      <c r="C883" s="10" t="inlineStr">
        <is>
          <t>C1135</t>
        </is>
      </c>
      <c r="D883" s="10" t="inlineStr">
        <is>
          <t>regular</t>
        </is>
      </c>
      <c r="E883" s="10" t="inlineStr">
        <is>
          <t>SHOPEE</t>
        </is>
      </c>
      <c r="F883" s="10" t="inlineStr">
        <is>
          <t>Jawa Tengah</t>
        </is>
      </c>
      <c r="G883" s="10" t="inlineStr">
        <is>
          <t>Kecantikan</t>
        </is>
      </c>
      <c r="H883" s="10" t="inlineStr">
        <is>
          <t>Serum Vit C</t>
        </is>
      </c>
      <c r="I883" s="10" t="n">
        <v>1</v>
      </c>
      <c r="J883" s="10" t="n">
        <v>145000</v>
      </c>
      <c r="K883" s="10" t="n">
        <v>145000</v>
      </c>
    </row>
    <row r="884">
      <c r="A884" s="10" t="inlineStr">
        <is>
          <t>INV-71129</t>
        </is>
      </c>
      <c r="B884" s="10" t="inlineStr">
        <is>
          <t>2025-05-27</t>
        </is>
      </c>
      <c r="C884" s="10" t="inlineStr">
        <is>
          <t>C1320</t>
        </is>
      </c>
      <c r="D884" s="10" t="inlineStr">
        <is>
          <t>occasional</t>
        </is>
      </c>
      <c r="E884" s="10" t="inlineStr">
        <is>
          <t>TIKTOK SHOP</t>
        </is>
      </c>
      <c r="F884" s="10" t="inlineStr">
        <is>
          <t>Jawa Timur</t>
        </is>
      </c>
      <c r="G884" s="10" t="inlineStr">
        <is>
          <t>Kecantikan</t>
        </is>
      </c>
      <c r="H884" s="10" t="inlineStr">
        <is>
          <t>Masker Wajah (5s)</t>
        </is>
      </c>
      <c r="I884" s="10" t="n">
        <v>1</v>
      </c>
      <c r="J884" s="10" t="n">
        <v>55000</v>
      </c>
      <c r="K884" s="10" t="n">
        <v>55000</v>
      </c>
    </row>
    <row r="885">
      <c r="A885" s="10" t="inlineStr">
        <is>
          <t>INV-70210</t>
        </is>
      </c>
      <c r="B885" s="10" t="inlineStr">
        <is>
          <t>04 Apr 2026</t>
        </is>
      </c>
      <c r="C885" s="10" t="inlineStr">
        <is>
          <t>C1059</t>
        </is>
      </c>
      <c r="D885" s="10" t="inlineStr">
        <is>
          <t>regular</t>
        </is>
      </c>
      <c r="E885" s="10" t="inlineStr">
        <is>
          <t xml:space="preserve">Tokopedia </t>
        </is>
      </c>
      <c r="F885" s="10" t="inlineStr">
        <is>
          <t>Jawa Barat</t>
        </is>
      </c>
      <c r="G885" s="10" t="inlineStr">
        <is>
          <t>Rumah Tangga</t>
        </is>
      </c>
      <c r="H885" s="10" t="inlineStr">
        <is>
          <t>Organizer Laci</t>
        </is>
      </c>
      <c r="I885" s="10" t="n">
        <v>4</v>
      </c>
      <c r="J885" s="10" t="n">
        <v>78000</v>
      </c>
      <c r="K885" s="10" t="n">
        <v>312000</v>
      </c>
    </row>
    <row r="886">
      <c r="A886" s="10" t="inlineStr">
        <is>
          <t>INV-70823</t>
        </is>
      </c>
      <c r="B886" s="10" t="inlineStr">
        <is>
          <t>2026-01-13</t>
        </is>
      </c>
      <c r="C886" s="10" t="inlineStr">
        <is>
          <t>C1233</t>
        </is>
      </c>
      <c r="D886" s="10" t="inlineStr">
        <is>
          <t>regular</t>
        </is>
      </c>
      <c r="E886" s="10" t="inlineStr">
        <is>
          <t>Shopee</t>
        </is>
      </c>
      <c r="F886" s="10" t="inlineStr">
        <is>
          <t>Jawa Tengah</t>
        </is>
      </c>
      <c r="G886" s="10" t="inlineStr">
        <is>
          <t>Elektronik</t>
        </is>
      </c>
      <c r="H886" s="10" t="inlineStr">
        <is>
          <t>Webcam HD</t>
        </is>
      </c>
      <c r="I886" s="10" t="n">
        <v>1</v>
      </c>
      <c r="J886" s="10" t="n">
        <v>210000</v>
      </c>
      <c r="K886" s="10" t="n">
        <v>210000</v>
      </c>
    </row>
    <row r="887">
      <c r="A887" s="10" t="inlineStr">
        <is>
          <t>INV-70072</t>
        </is>
      </c>
      <c r="B887" s="10" t="inlineStr">
        <is>
          <t>2025-08-16</t>
        </is>
      </c>
      <c r="C887" s="10" t="inlineStr">
        <is>
          <t>C1021</t>
        </is>
      </c>
      <c r="D887" s="10" t="inlineStr">
        <is>
          <t>loyal</t>
        </is>
      </c>
      <c r="E887" s="10" t="inlineStr">
        <is>
          <t>Shopee</t>
        </is>
      </c>
      <c r="F887" s="10" t="inlineStr">
        <is>
          <t>Sumatera</t>
        </is>
      </c>
      <c r="G887" s="10" t="inlineStr">
        <is>
          <t>Makanan</t>
        </is>
      </c>
      <c r="H887" s="10" t="inlineStr">
        <is>
          <t>Granola 500g</t>
        </is>
      </c>
      <c r="I887" s="10" t="n">
        <v>1</v>
      </c>
      <c r="J887" s="10" t="n">
        <v>92000</v>
      </c>
      <c r="K887" s="10" t="n">
        <v>92000</v>
      </c>
    </row>
    <row r="888">
      <c r="A888" s="10" t="inlineStr">
        <is>
          <t>INV-71384</t>
        </is>
      </c>
      <c r="B888" s="10" t="inlineStr">
        <is>
          <t>20 Jun 2026</t>
        </is>
      </c>
      <c r="C888" s="10" t="inlineStr">
        <is>
          <t>C1383</t>
        </is>
      </c>
      <c r="D888" s="10" t="inlineStr">
        <is>
          <t>loyal</t>
        </is>
      </c>
      <c r="E888" s="10" t="inlineStr">
        <is>
          <t>TIKTOK SHOP</t>
        </is>
      </c>
      <c r="F888" s="10" t="inlineStr">
        <is>
          <t>Sumatera</t>
        </is>
      </c>
      <c r="G888" s="10" t="inlineStr">
        <is>
          <t>Rumah Tangga</t>
        </is>
      </c>
      <c r="H888" s="10" t="inlineStr">
        <is>
          <t>Karpet Bulu</t>
        </is>
      </c>
      <c r="I888" s="10" t="n">
        <v>4</v>
      </c>
      <c r="J888" s="10" t="n">
        <v>240000</v>
      </c>
      <c r="K888" s="10" t="n">
        <v>960000</v>
      </c>
    </row>
    <row r="889">
      <c r="A889" s="10" t="inlineStr">
        <is>
          <t>INV-70261</t>
        </is>
      </c>
      <c r="B889" s="10" t="inlineStr">
        <is>
          <t>2025-11-02</t>
        </is>
      </c>
      <c r="C889" s="10" t="inlineStr">
        <is>
          <t>C1073</t>
        </is>
      </c>
      <c r="D889" s="10" t="inlineStr">
        <is>
          <t>regular</t>
        </is>
      </c>
      <c r="E889" s="10" t="inlineStr">
        <is>
          <t>Offline Store</t>
        </is>
      </c>
      <c r="F889" s="10" t="inlineStr">
        <is>
          <t>Jawa Barat</t>
        </is>
      </c>
      <c r="G889" s="10" t="inlineStr">
        <is>
          <t>Rumah Tangga</t>
        </is>
      </c>
      <c r="H889" s="10" t="inlineStr">
        <is>
          <t>Set Wadah Kedap</t>
        </is>
      </c>
      <c r="I889" s="10" t="n">
        <v>4</v>
      </c>
      <c r="J889" s="10" t="n">
        <v>135000</v>
      </c>
      <c r="K889" s="10" t="n">
        <v>540000</v>
      </c>
    </row>
    <row r="890">
      <c r="A890" s="10" t="inlineStr">
        <is>
          <t>INV-71426</t>
        </is>
      </c>
      <c r="B890" s="10" t="inlineStr">
        <is>
          <t>2025-11-22</t>
        </is>
      </c>
      <c r="C890" s="10" t="inlineStr">
        <is>
          <t>C1393</t>
        </is>
      </c>
      <c r="D890" s="10" t="inlineStr">
        <is>
          <t>regular</t>
        </is>
      </c>
      <c r="E890" s="10" t="inlineStr">
        <is>
          <t>TikTok Shop</t>
        </is>
      </c>
      <c r="F890" s="10" t="inlineStr">
        <is>
          <t>Lainnya</t>
        </is>
      </c>
      <c r="G890" s="10" t="inlineStr">
        <is>
          <t>Rumah Tangga</t>
        </is>
      </c>
      <c r="H890" s="10" t="inlineStr">
        <is>
          <t>Set Wadah Kedap</t>
        </is>
      </c>
      <c r="I890" s="10" t="n">
        <v>1</v>
      </c>
      <c r="J890" s="10" t="n">
        <v>135000</v>
      </c>
      <c r="K890" s="10" t="n">
        <v>135000</v>
      </c>
    </row>
    <row r="891">
      <c r="A891" s="10" t="inlineStr">
        <is>
          <t>INV-70099</t>
        </is>
      </c>
      <c r="B891" s="10" t="inlineStr">
        <is>
          <t>2025-09-18</t>
        </is>
      </c>
      <c r="C891" s="10" t="inlineStr">
        <is>
          <t>C1029</t>
        </is>
      </c>
      <c r="D891" s="10" t="inlineStr">
        <is>
          <t>champion</t>
        </is>
      </c>
      <c r="E891" s="10" t="inlineStr">
        <is>
          <t>TikTok Shop</t>
        </is>
      </c>
      <c r="F891" s="10" t="inlineStr">
        <is>
          <t>Sumatera</t>
        </is>
      </c>
      <c r="G891" s="10" t="inlineStr">
        <is>
          <t>Rumah Tangga</t>
        </is>
      </c>
      <c r="H891" s="10" t="inlineStr">
        <is>
          <t>Set Wadah Kedap</t>
        </is>
      </c>
      <c r="I891" s="10" t="n">
        <v>1</v>
      </c>
      <c r="J891" s="10" t="n">
        <v>135000</v>
      </c>
      <c r="K891" s="10" t="n">
        <v>135000</v>
      </c>
    </row>
    <row r="892">
      <c r="A892" s="10" t="inlineStr">
        <is>
          <t>INV-70189</t>
        </is>
      </c>
      <c r="B892" s="10" t="inlineStr">
        <is>
          <t>2026-03-05</t>
        </is>
      </c>
      <c r="C892" s="10" t="inlineStr">
        <is>
          <t>C1053</t>
        </is>
      </c>
      <c r="D892" s="10" t="inlineStr">
        <is>
          <t>regular</t>
        </is>
      </c>
      <c r="E892" s="10" t="inlineStr">
        <is>
          <t>Tokopedia</t>
        </is>
      </c>
      <c r="F892" s="10" t="inlineStr">
        <is>
          <t>Lainnya</t>
        </is>
      </c>
      <c r="G892" s="10" t="inlineStr">
        <is>
          <t>rumah tangga</t>
        </is>
      </c>
      <c r="H892" s="10" t="inlineStr">
        <is>
          <t>Diffuser Aroma</t>
        </is>
      </c>
      <c r="I892" s="10" t="n">
        <v>1</v>
      </c>
      <c r="J892" s="10" t="n">
        <v>195000</v>
      </c>
      <c r="K892" s="10" t="n">
        <v>195000</v>
      </c>
    </row>
    <row r="893">
      <c r="A893" s="10" t="inlineStr">
        <is>
          <t>INV-70616</t>
        </is>
      </c>
      <c r="B893" s="10" t="inlineStr">
        <is>
          <t>2025-09-20</t>
        </is>
      </c>
      <c r="C893" s="10" t="inlineStr">
        <is>
          <t>C1167</t>
        </is>
      </c>
      <c r="D893" s="10" t="inlineStr">
        <is>
          <t>occasional</t>
        </is>
      </c>
      <c r="E893" s="10" t="inlineStr">
        <is>
          <t>TikTok Shop</t>
        </is>
      </c>
      <c r="F893" s="10" t="inlineStr">
        <is>
          <t>Jawa Tengah</t>
        </is>
      </c>
      <c r="G893" s="10" t="inlineStr">
        <is>
          <t>makanan</t>
        </is>
      </c>
      <c r="H893" s="10" t="inlineStr">
        <is>
          <t>Granola 500g</t>
        </is>
      </c>
      <c r="I893" s="10" t="n">
        <v>4</v>
      </c>
      <c r="J893" s="10" t="n">
        <v>92000</v>
      </c>
      <c r="K893" s="10" t="n">
        <v>368000</v>
      </c>
    </row>
    <row r="894">
      <c r="A894" s="10" t="inlineStr">
        <is>
          <t>INV-70904</t>
        </is>
      </c>
      <c r="B894" s="10" t="inlineStr">
        <is>
          <t>2026-03-08</t>
        </is>
      </c>
      <c r="C894" s="10" t="inlineStr">
        <is>
          <t>C1255</t>
        </is>
      </c>
      <c r="D894" s="10" t="inlineStr">
        <is>
          <t>onetime</t>
        </is>
      </c>
      <c r="E894" s="10" t="inlineStr">
        <is>
          <t>Tiktok Shop</t>
        </is>
      </c>
      <c r="F894" s="10" t="n"/>
      <c r="G894" s="10" t="inlineStr">
        <is>
          <t>Elektronik</t>
        </is>
      </c>
      <c r="H894" s="10" t="inlineStr">
        <is>
          <t>Power Bank 20K</t>
        </is>
      </c>
      <c r="I894" s="10" t="n">
        <v>1</v>
      </c>
      <c r="J894" s="10" t="n">
        <v>185000</v>
      </c>
      <c r="K894" s="10" t="n">
        <v>185000</v>
      </c>
    </row>
    <row r="895">
      <c r="A895" s="10" t="inlineStr">
        <is>
          <t>INV-70451</t>
        </is>
      </c>
      <c r="B895" s="10" t="inlineStr">
        <is>
          <t>2025-01-19</t>
        </is>
      </c>
      <c r="C895" s="10" t="inlineStr">
        <is>
          <t>C1129</t>
        </is>
      </c>
      <c r="D895" s="10" t="inlineStr">
        <is>
          <t>regular</t>
        </is>
      </c>
      <c r="E895" s="10" t="inlineStr">
        <is>
          <t>Shopee</t>
        </is>
      </c>
      <c r="F895" s="10" t="inlineStr">
        <is>
          <t>Jabodetabek</t>
        </is>
      </c>
      <c r="G895" s="10" t="inlineStr">
        <is>
          <t>Kecantikan</t>
        </is>
      </c>
      <c r="H895" s="10" t="inlineStr">
        <is>
          <t>Masker Wajah (5s)</t>
        </is>
      </c>
      <c r="I895" s="10" t="n">
        <v>1</v>
      </c>
      <c r="J895" s="10" t="n">
        <v>55000</v>
      </c>
      <c r="K895" s="10" t="n">
        <v>55000</v>
      </c>
    </row>
    <row r="896">
      <c r="A896" s="10" t="inlineStr">
        <is>
          <t>INV-71046</t>
        </is>
      </c>
      <c r="B896" s="10" t="inlineStr">
        <is>
          <t>2026-06-02</t>
        </is>
      </c>
      <c r="C896" s="10" t="inlineStr">
        <is>
          <t>C1296</t>
        </is>
      </c>
      <c r="D896" s="10" t="inlineStr">
        <is>
          <t>loyal</t>
        </is>
      </c>
      <c r="E896" s="10" t="inlineStr">
        <is>
          <t>Shopee</t>
        </is>
      </c>
      <c r="F896" s="10" t="inlineStr">
        <is>
          <t>Jawa Tengah</t>
        </is>
      </c>
      <c r="G896" s="10" t="inlineStr">
        <is>
          <t>Elektronik</t>
        </is>
      </c>
      <c r="H896" s="10" t="inlineStr">
        <is>
          <t>Webcam HD</t>
        </is>
      </c>
      <c r="I896" s="10" t="n">
        <v>4</v>
      </c>
      <c r="J896" s="10" t="n">
        <v>210000</v>
      </c>
      <c r="K896" s="10" t="inlineStr">
        <is>
          <t>Rp 840.000</t>
        </is>
      </c>
    </row>
    <row r="897">
      <c r="A897" s="10" t="inlineStr">
        <is>
          <t>INV-70116</t>
        </is>
      </c>
      <c r="B897" s="10" t="inlineStr">
        <is>
          <t>2025-02-08</t>
        </is>
      </c>
      <c r="C897" s="10" t="inlineStr">
        <is>
          <t>C1036</t>
        </is>
      </c>
      <c r="D897" s="10" t="inlineStr">
        <is>
          <t>onetime</t>
        </is>
      </c>
      <c r="E897" s="10" t="inlineStr">
        <is>
          <t>Shopee</t>
        </is>
      </c>
      <c r="F897" s="10" t="inlineStr">
        <is>
          <t>Jawa Barat</t>
        </is>
      </c>
      <c r="G897" s="10" t="inlineStr">
        <is>
          <t>Kecantikan</t>
        </is>
      </c>
      <c r="H897" s="10" t="inlineStr">
        <is>
          <t>Serum Vit C</t>
        </is>
      </c>
      <c r="I897" s="10" t="n">
        <v>4</v>
      </c>
      <c r="J897" s="10" t="n">
        <v>145000</v>
      </c>
      <c r="K897" s="10" t="n">
        <v>580000</v>
      </c>
    </row>
    <row r="898">
      <c r="A898" s="10" t="inlineStr">
        <is>
          <t>INV-71398</t>
        </is>
      </c>
      <c r="B898" s="10" t="inlineStr">
        <is>
          <t>2025-02-11</t>
        </is>
      </c>
      <c r="C898" s="10" t="inlineStr">
        <is>
          <t>C1386</t>
        </is>
      </c>
      <c r="D898" s="10" t="inlineStr">
        <is>
          <t>loyal</t>
        </is>
      </c>
      <c r="E898" s="10" t="inlineStr">
        <is>
          <t>SHOPEE</t>
        </is>
      </c>
      <c r="F898" s="10" t="inlineStr">
        <is>
          <t>Sumatera</t>
        </is>
      </c>
      <c r="G898" s="10" t="inlineStr">
        <is>
          <t>Kecantikan</t>
        </is>
      </c>
      <c r="H898" s="10" t="inlineStr">
        <is>
          <t>Masker Wajah (5s)</t>
        </is>
      </c>
      <c r="I898" s="10" t="n">
        <v>1</v>
      </c>
      <c r="J898" s="10" t="n">
        <v>55000</v>
      </c>
      <c r="K898" s="10" t="n">
        <v>55000</v>
      </c>
    </row>
    <row r="899">
      <c r="A899" s="10" t="inlineStr">
        <is>
          <t>INV-70348</t>
        </is>
      </c>
      <c r="B899" s="10" t="inlineStr">
        <is>
          <t>2025-01-24</t>
        </is>
      </c>
      <c r="C899" s="10" t="inlineStr">
        <is>
          <t>C1094</t>
        </is>
      </c>
      <c r="D899" s="10" t="inlineStr">
        <is>
          <t>regular</t>
        </is>
      </c>
      <c r="E899" s="10" t="inlineStr">
        <is>
          <t>Offline Store</t>
        </is>
      </c>
      <c r="F899" s="10" t="inlineStr">
        <is>
          <t>Jawa Timur</t>
        </is>
      </c>
      <c r="G899" s="10" t="inlineStr">
        <is>
          <t>Fashion</t>
        </is>
      </c>
      <c r="H899" s="10" t="inlineStr">
        <is>
          <t>Celana Chino</t>
        </is>
      </c>
      <c r="I899" s="10" t="n">
        <v>2</v>
      </c>
      <c r="J899" s="10" t="n">
        <v>195000</v>
      </c>
      <c r="K899" s="10" t="n">
        <v>390000</v>
      </c>
    </row>
    <row r="900">
      <c r="A900" s="10" t="inlineStr">
        <is>
          <t>INV-70073</t>
        </is>
      </c>
      <c r="B900" s="10" t="inlineStr">
        <is>
          <t>2026-02-08</t>
        </is>
      </c>
      <c r="C900" s="10" t="inlineStr">
        <is>
          <t>C1022</t>
        </is>
      </c>
      <c r="D900" s="10" t="inlineStr">
        <is>
          <t>onetime</t>
        </is>
      </c>
      <c r="E900" s="10" t="inlineStr">
        <is>
          <t>TikTok Shop</t>
        </is>
      </c>
      <c r="F900" s="10" t="inlineStr">
        <is>
          <t>Jawa Tengah</t>
        </is>
      </c>
      <c r="G900" s="10" t="inlineStr">
        <is>
          <t>Kecantikan</t>
        </is>
      </c>
      <c r="H900" s="10" t="inlineStr">
        <is>
          <t>Masker Wajah (5s)</t>
        </is>
      </c>
      <c r="I900" s="10" t="n">
        <v>2</v>
      </c>
      <c r="J900" s="10" t="n">
        <v>55000</v>
      </c>
      <c r="K900" s="10" t="inlineStr">
        <is>
          <t>Rp 110.000</t>
        </is>
      </c>
    </row>
    <row r="901">
      <c r="A901" s="10" t="inlineStr">
        <is>
          <t>INV-70397</t>
        </is>
      </c>
      <c r="B901" s="10" t="inlineStr">
        <is>
          <t>2025-06-27</t>
        </is>
      </c>
      <c r="C901" s="10" t="inlineStr">
        <is>
          <t>C1112</t>
        </is>
      </c>
      <c r="D901" s="10" t="inlineStr">
        <is>
          <t>loyal</t>
        </is>
      </c>
      <c r="E901" s="10" t="inlineStr">
        <is>
          <t>Shopee</t>
        </is>
      </c>
      <c r="F901" s="10" t="inlineStr">
        <is>
          <t>Jawa Barat</t>
        </is>
      </c>
      <c r="G901" s="10" t="inlineStr">
        <is>
          <t>Rumah Tangga</t>
        </is>
      </c>
      <c r="H901" s="10" t="inlineStr">
        <is>
          <t>Set Wadah Kedap</t>
        </is>
      </c>
      <c r="I901" s="10" t="n">
        <v>1</v>
      </c>
      <c r="J901" s="10" t="n">
        <v>135000</v>
      </c>
      <c r="K901" s="10" t="n">
        <v>135000</v>
      </c>
    </row>
    <row r="902">
      <c r="A902" s="10" t="inlineStr">
        <is>
          <t>INV-70392</t>
        </is>
      </c>
      <c r="B902" s="10" t="inlineStr">
        <is>
          <t>2025-09-09</t>
        </is>
      </c>
      <c r="C902" s="10" t="inlineStr">
        <is>
          <t>C1111</t>
        </is>
      </c>
      <c r="D902" s="10" t="inlineStr">
        <is>
          <t>champion</t>
        </is>
      </c>
      <c r="E902" s="10" t="inlineStr">
        <is>
          <t>Shopee</t>
        </is>
      </c>
      <c r="F902" s="10" t="inlineStr">
        <is>
          <t>Jawa Tengah</t>
        </is>
      </c>
      <c r="G902" s="10" t="inlineStr">
        <is>
          <t>Rumah Tangga</t>
        </is>
      </c>
      <c r="H902" s="10" t="inlineStr">
        <is>
          <t>Set Wadah Kedap</t>
        </is>
      </c>
      <c r="I902" s="10" t="n">
        <v>3</v>
      </c>
      <c r="J902" s="10" t="n">
        <v>135000</v>
      </c>
      <c r="K902" s="10" t="n">
        <v>405000</v>
      </c>
    </row>
    <row r="903">
      <c r="A903" s="10" t="inlineStr">
        <is>
          <t>INV-70449</t>
        </is>
      </c>
      <c r="B903" s="10" t="inlineStr">
        <is>
          <t>2026-05-25</t>
        </is>
      </c>
      <c r="C903" s="10" t="inlineStr">
        <is>
          <t>C1127</t>
        </is>
      </c>
      <c r="D903" s="10" t="inlineStr">
        <is>
          <t>occasional</t>
        </is>
      </c>
      <c r="E903" s="10" t="inlineStr">
        <is>
          <t>SHOPEE</t>
        </is>
      </c>
      <c r="F903" s="10" t="inlineStr">
        <is>
          <t>Jabodetabek</t>
        </is>
      </c>
      <c r="G903" s="10" t="inlineStr">
        <is>
          <t>Kecantikan</t>
        </is>
      </c>
      <c r="H903" s="10" t="inlineStr">
        <is>
          <t>Masker Wajah (5s)</t>
        </is>
      </c>
      <c r="I903" s="10" t="n">
        <v>1</v>
      </c>
      <c r="J903" s="10" t="n">
        <v>55000</v>
      </c>
      <c r="K903" s="10" t="n">
        <v>55000</v>
      </c>
    </row>
    <row r="904">
      <c r="A904" s="10" t="inlineStr">
        <is>
          <t>INV-70031</t>
        </is>
      </c>
      <c r="B904" s="10" t="inlineStr">
        <is>
          <t>2025-09-12</t>
        </is>
      </c>
      <c r="C904" s="10" t="inlineStr">
        <is>
          <t>C1006</t>
        </is>
      </c>
      <c r="D904" s="10" t="inlineStr">
        <is>
          <t>regular</t>
        </is>
      </c>
      <c r="E904" s="10" t="inlineStr">
        <is>
          <t>offline store</t>
        </is>
      </c>
      <c r="F904" s="10" t="inlineStr">
        <is>
          <t>Jawa Timur</t>
        </is>
      </c>
      <c r="G904" s="10" t="inlineStr">
        <is>
          <t>rumah tangga</t>
        </is>
      </c>
      <c r="H904" s="10" t="inlineStr">
        <is>
          <t>Set Wadah Kedap</t>
        </is>
      </c>
      <c r="I904" s="10" t="n">
        <v>1</v>
      </c>
      <c r="J904" s="10" t="n">
        <v>135000</v>
      </c>
      <c r="K904" s="10" t="n">
        <v>135000</v>
      </c>
    </row>
    <row r="905">
      <c r="A905" s="10" t="inlineStr">
        <is>
          <t>INV-70390</t>
        </is>
      </c>
      <c r="B905" s="10" t="inlineStr">
        <is>
          <t>2025-12-04</t>
        </is>
      </c>
      <c r="C905" s="10" t="inlineStr">
        <is>
          <t>C1111</t>
        </is>
      </c>
      <c r="D905" s="10" t="inlineStr">
        <is>
          <t>champion</t>
        </is>
      </c>
      <c r="E905" s="10" t="inlineStr">
        <is>
          <t>Shopee</t>
        </is>
      </c>
      <c r="F905" s="10" t="inlineStr">
        <is>
          <t>Sumatera</t>
        </is>
      </c>
      <c r="G905" s="10" t="inlineStr">
        <is>
          <t>Elektronik</t>
        </is>
      </c>
      <c r="H905" s="10" t="inlineStr">
        <is>
          <t>Smartwatch</t>
        </is>
      </c>
      <c r="I905" s="10" t="n">
        <v>1</v>
      </c>
      <c r="J905" s="10" t="n">
        <v>450000</v>
      </c>
      <c r="K905" s="10" t="n">
        <v>450000</v>
      </c>
    </row>
    <row r="906">
      <c r="A906" s="10" t="inlineStr">
        <is>
          <t>INV-70182</t>
        </is>
      </c>
      <c r="B906" s="10" t="inlineStr">
        <is>
          <t>2025-08-11</t>
        </is>
      </c>
      <c r="C906" s="10" t="inlineStr">
        <is>
          <t>C1051</t>
        </is>
      </c>
      <c r="D906" s="10" t="inlineStr">
        <is>
          <t>onetime</t>
        </is>
      </c>
      <c r="E906" s="10" t="inlineStr">
        <is>
          <t>Tokopedia</t>
        </is>
      </c>
      <c r="F906" s="10" t="inlineStr">
        <is>
          <t>Jawa Tengah</t>
        </is>
      </c>
      <c r="G906" s="10" t="inlineStr">
        <is>
          <t>Rumah Tangga</t>
        </is>
      </c>
      <c r="H906" s="10" t="inlineStr">
        <is>
          <t>Set Wadah Kedap</t>
        </is>
      </c>
      <c r="I906" s="10" t="n">
        <v>1</v>
      </c>
      <c r="J906" s="10" t="n">
        <v>135000</v>
      </c>
      <c r="K906" s="10" t="n">
        <v>135000</v>
      </c>
    </row>
    <row r="907">
      <c r="A907" s="10" t="inlineStr">
        <is>
          <t>INV-70028</t>
        </is>
      </c>
      <c r="B907" s="10" t="inlineStr">
        <is>
          <t>05 Apr 2025</t>
        </is>
      </c>
      <c r="C907" s="10" t="inlineStr">
        <is>
          <t>C1006</t>
        </is>
      </c>
      <c r="D907" s="10" t="inlineStr">
        <is>
          <t>regular</t>
        </is>
      </c>
      <c r="E907" s="10" t="inlineStr">
        <is>
          <t>shopee</t>
        </is>
      </c>
      <c r="F907" s="10" t="inlineStr">
        <is>
          <t>Jabodetabek</t>
        </is>
      </c>
      <c r="G907" s="10" t="inlineStr">
        <is>
          <t>Rumah Tangga</t>
        </is>
      </c>
      <c r="H907" s="10" t="inlineStr">
        <is>
          <t>Set Wadah Kedap</t>
        </is>
      </c>
      <c r="I907" s="10" t="n">
        <v>3</v>
      </c>
      <c r="J907" s="10" t="n">
        <v>135000</v>
      </c>
      <c r="K907" s="10" t="inlineStr">
        <is>
          <t>Rp 405.000</t>
        </is>
      </c>
    </row>
    <row r="908">
      <c r="A908" s="10" t="inlineStr">
        <is>
          <t>INV-71413</t>
        </is>
      </c>
      <c r="B908" s="10" t="inlineStr">
        <is>
          <t>22/05/2026</t>
        </is>
      </c>
      <c r="C908" s="10" t="inlineStr">
        <is>
          <t>C1391</t>
        </is>
      </c>
      <c r="D908" s="10" t="inlineStr">
        <is>
          <t>occasional</t>
        </is>
      </c>
      <c r="E908" s="10" t="inlineStr">
        <is>
          <t>Shopee</t>
        </is>
      </c>
      <c r="F908" s="10" t="inlineStr">
        <is>
          <t>Jawa Barat</t>
        </is>
      </c>
      <c r="G908" s="10" t="inlineStr">
        <is>
          <t>Makanan</t>
        </is>
      </c>
      <c r="H908" s="10" t="inlineStr">
        <is>
          <t>Granola 500g</t>
        </is>
      </c>
      <c r="I908" s="10" t="n">
        <v>1</v>
      </c>
      <c r="J908" s="10" t="n">
        <v>92000</v>
      </c>
      <c r="K908" s="10" t="n">
        <v>92000</v>
      </c>
    </row>
    <row r="909">
      <c r="A909" s="10" t="inlineStr">
        <is>
          <t>INV-70048</t>
        </is>
      </c>
      <c r="B909" s="10" t="inlineStr">
        <is>
          <t>03 May 2026</t>
        </is>
      </c>
      <c r="C909" s="10" t="inlineStr">
        <is>
          <t>C1012</t>
        </is>
      </c>
      <c r="D909" s="10" t="inlineStr">
        <is>
          <t>loyal</t>
        </is>
      </c>
      <c r="E909" s="10" t="inlineStr">
        <is>
          <t xml:space="preserve">Tokopedia </t>
        </is>
      </c>
      <c r="F909" s="10" t="inlineStr">
        <is>
          <t>Jabodetabek</t>
        </is>
      </c>
      <c r="G909" s="10" t="inlineStr">
        <is>
          <t>Makanan</t>
        </is>
      </c>
      <c r="H909" s="10" t="inlineStr">
        <is>
          <t>Granola 500g</t>
        </is>
      </c>
      <c r="I909" s="10" t="n">
        <v>1</v>
      </c>
      <c r="J909" s="10" t="n">
        <v>92000</v>
      </c>
      <c r="K909" s="10" t="n">
        <v>92000</v>
      </c>
    </row>
    <row r="910">
      <c r="A910" s="10" t="inlineStr">
        <is>
          <t>INV-70013</t>
        </is>
      </c>
      <c r="B910" s="10" t="inlineStr">
        <is>
          <t>2025-10-05</t>
        </is>
      </c>
      <c r="C910" s="10" t="inlineStr">
        <is>
          <t>C1002</t>
        </is>
      </c>
      <c r="D910" s="10" t="inlineStr">
        <is>
          <t>loyal</t>
        </is>
      </c>
      <c r="E910" s="10" t="inlineStr">
        <is>
          <t>Shopee</t>
        </is>
      </c>
      <c r="F910" s="10" t="inlineStr">
        <is>
          <t>Jabodetabek</t>
        </is>
      </c>
      <c r="G910" s="10" t="inlineStr">
        <is>
          <t>Rumah Tangga</t>
        </is>
      </c>
      <c r="H910" s="10" t="inlineStr">
        <is>
          <t>Set Wadah Kedap</t>
        </is>
      </c>
      <c r="I910" s="10" t="n">
        <v>1</v>
      </c>
      <c r="J910" s="10" t="n">
        <v>135000</v>
      </c>
      <c r="K910" s="10" t="n">
        <v>135000</v>
      </c>
    </row>
    <row r="911">
      <c r="A911" s="10" t="inlineStr">
        <is>
          <t>INV-70501</t>
        </is>
      </c>
      <c r="B911" s="10" t="inlineStr">
        <is>
          <t>01/04/2025</t>
        </is>
      </c>
      <c r="C911" s="10" t="inlineStr">
        <is>
          <t>C1141</t>
        </is>
      </c>
      <c r="D911" s="10" t="inlineStr">
        <is>
          <t>loyal</t>
        </is>
      </c>
      <c r="E911" s="10" t="inlineStr">
        <is>
          <t>TikTok Shop</t>
        </is>
      </c>
      <c r="F911" s="10" t="inlineStr">
        <is>
          <t>Jawa Tengah</t>
        </is>
      </c>
      <c r="G911" s="10" t="inlineStr">
        <is>
          <t>Kecantikan</t>
        </is>
      </c>
      <c r="H911" s="10" t="inlineStr">
        <is>
          <t>Serum Vit C</t>
        </is>
      </c>
      <c r="I911" s="10" t="n">
        <v>3</v>
      </c>
      <c r="J911" s="10" t="n">
        <v>145000</v>
      </c>
      <c r="K911" s="10" t="inlineStr">
        <is>
          <t>Rp 435.000</t>
        </is>
      </c>
    </row>
    <row r="912">
      <c r="A912" s="10" t="inlineStr">
        <is>
          <t>INV-70517</t>
        </is>
      </c>
      <c r="B912" s="10" t="inlineStr">
        <is>
          <t>2025-03-16</t>
        </is>
      </c>
      <c r="C912" s="10" t="inlineStr">
        <is>
          <t>C1142</t>
        </is>
      </c>
      <c r="D912" s="10" t="inlineStr">
        <is>
          <t>champion</t>
        </is>
      </c>
      <c r="E912" s="10" t="inlineStr">
        <is>
          <t>Tokopedia</t>
        </is>
      </c>
      <c r="F912" s="10" t="inlineStr">
        <is>
          <t>Jawa Barat</t>
        </is>
      </c>
      <c r="G912" s="10" t="inlineStr">
        <is>
          <t>Elektronik</t>
        </is>
      </c>
      <c r="H912" s="10" t="inlineStr">
        <is>
          <t>Power Bank 20K</t>
        </is>
      </c>
      <c r="I912" s="10" t="n">
        <v>2</v>
      </c>
      <c r="J912" s="10" t="n">
        <v>185000</v>
      </c>
      <c r="K912" s="10" t="n">
        <v>370000</v>
      </c>
    </row>
    <row r="913">
      <c r="A913" s="10" t="inlineStr">
        <is>
          <t>INV-70516</t>
        </is>
      </c>
      <c r="B913" s="10" t="inlineStr">
        <is>
          <t>2025-10-04</t>
        </is>
      </c>
      <c r="C913" s="10" t="inlineStr">
        <is>
          <t>C1142</t>
        </is>
      </c>
      <c r="D913" s="10" t="inlineStr">
        <is>
          <t>champion</t>
        </is>
      </c>
      <c r="E913" s="10" t="inlineStr">
        <is>
          <t xml:space="preserve">Shopee </t>
        </is>
      </c>
      <c r="F913" s="10" t="inlineStr">
        <is>
          <t>Jabodetabek</t>
        </is>
      </c>
      <c r="G913" s="10" t="inlineStr">
        <is>
          <t>Rumah Tangga</t>
        </is>
      </c>
      <c r="H913" s="10" t="inlineStr">
        <is>
          <t>Set Wadah Kedap</t>
        </is>
      </c>
      <c r="I913" s="10" t="n">
        <v>1</v>
      </c>
      <c r="J913" s="10" t="n">
        <v>135000</v>
      </c>
      <c r="K913" s="10" t="n">
        <v>135000</v>
      </c>
    </row>
    <row r="914">
      <c r="A914" s="10" t="inlineStr">
        <is>
          <t>INV-71519</t>
        </is>
      </c>
      <c r="B914" s="10" t="inlineStr">
        <is>
          <t>2026-03-20</t>
        </is>
      </c>
      <c r="C914" s="10" t="inlineStr">
        <is>
          <t>C1417</t>
        </is>
      </c>
      <c r="D914" s="10" t="inlineStr">
        <is>
          <t>occasional</t>
        </is>
      </c>
      <c r="E914" s="10" t="inlineStr">
        <is>
          <t>Tokopedia</t>
        </is>
      </c>
      <c r="F914" s="10" t="inlineStr">
        <is>
          <t>Jabodetabek</t>
        </is>
      </c>
      <c r="G914" s="10" t="inlineStr">
        <is>
          <t>Rumah Tangga</t>
        </is>
      </c>
      <c r="H914" s="10" t="inlineStr">
        <is>
          <t>Set Wadah Kedap</t>
        </is>
      </c>
      <c r="I914" s="10" t="n">
        <v>1</v>
      </c>
      <c r="J914" s="10" t="n">
        <v>135000</v>
      </c>
      <c r="K914" s="10" t="n">
        <v>135000</v>
      </c>
    </row>
    <row r="915">
      <c r="A915" s="10" t="inlineStr">
        <is>
          <t>INV-70257</t>
        </is>
      </c>
      <c r="B915" s="10" t="inlineStr">
        <is>
          <t>19/02/2025</t>
        </is>
      </c>
      <c r="C915" s="10" t="inlineStr">
        <is>
          <t>C1072</t>
        </is>
      </c>
      <c r="D915" s="10" t="inlineStr">
        <is>
          <t>champion</t>
        </is>
      </c>
      <c r="E915" s="10" t="inlineStr">
        <is>
          <t>Tokopedia</t>
        </is>
      </c>
      <c r="F915" s="10" t="inlineStr">
        <is>
          <t>Jabodetabek</t>
        </is>
      </c>
      <c r="G915" s="10" t="inlineStr">
        <is>
          <t>Rumah Tangga</t>
        </is>
      </c>
      <c r="H915" s="10" t="inlineStr">
        <is>
          <t>Set Wadah Kedap</t>
        </is>
      </c>
      <c r="I915" s="10" t="n">
        <v>3</v>
      </c>
      <c r="J915" s="10" t="n">
        <v>135000</v>
      </c>
      <c r="K915" s="10" t="inlineStr">
        <is>
          <t>Rp 405.000</t>
        </is>
      </c>
    </row>
    <row r="916">
      <c r="A916" s="10" t="inlineStr">
        <is>
          <t>INV-71540</t>
        </is>
      </c>
      <c r="B916" s="10" t="inlineStr">
        <is>
          <t>2025-12-18</t>
        </is>
      </c>
      <c r="C916" s="10" t="inlineStr">
        <is>
          <t>C1424</t>
        </is>
      </c>
      <c r="D916" s="10" t="inlineStr">
        <is>
          <t>loyal</t>
        </is>
      </c>
      <c r="E916" s="10" t="inlineStr">
        <is>
          <t>Shopee</t>
        </is>
      </c>
      <c r="F916" s="10" t="inlineStr">
        <is>
          <t>Jabodetabek</t>
        </is>
      </c>
      <c r="G916" s="10" t="inlineStr">
        <is>
          <t>Rumah Tangga</t>
        </is>
      </c>
      <c r="H916" s="10" t="inlineStr">
        <is>
          <t>Set Wadah Kedap</t>
        </is>
      </c>
      <c r="I916" s="10" t="n">
        <v>1</v>
      </c>
      <c r="J916" s="10" t="n">
        <v>135000</v>
      </c>
      <c r="K916" s="10" t="n">
        <v>135000</v>
      </c>
    </row>
    <row r="917">
      <c r="A917" s="10" t="inlineStr">
        <is>
          <t>INV-71123</t>
        </is>
      </c>
      <c r="B917" s="10" t="inlineStr">
        <is>
          <t>08/03/2026</t>
        </is>
      </c>
      <c r="C917" s="10" t="inlineStr">
        <is>
          <t>C1315</t>
        </is>
      </c>
      <c r="D917" s="10" t="inlineStr">
        <is>
          <t>regular</t>
        </is>
      </c>
      <c r="E917" s="10" t="inlineStr">
        <is>
          <t>Shopee</t>
        </is>
      </c>
      <c r="F917" s="10" t="inlineStr">
        <is>
          <t>Jawa Barat</t>
        </is>
      </c>
      <c r="G917" s="10" t="inlineStr">
        <is>
          <t>Rumah Tangga</t>
        </is>
      </c>
      <c r="H917" s="10" t="inlineStr">
        <is>
          <t>Set Wadah Kedap</t>
        </is>
      </c>
      <c r="I917" s="10" t="n">
        <v>2</v>
      </c>
      <c r="J917" s="10" t="n">
        <v>135000</v>
      </c>
      <c r="K917" s="10" t="n">
        <v>270000</v>
      </c>
    </row>
    <row r="918">
      <c r="A918" s="10" t="inlineStr">
        <is>
          <t>INV-70692</t>
        </is>
      </c>
      <c r="B918" s="10" t="inlineStr">
        <is>
          <t>27/02/2026</t>
        </is>
      </c>
      <c r="C918" s="10" t="inlineStr">
        <is>
          <t>C1191</t>
        </is>
      </c>
      <c r="D918" s="10" t="inlineStr">
        <is>
          <t>occasional</t>
        </is>
      </c>
      <c r="E918" s="10" t="inlineStr">
        <is>
          <t>SHOPEE</t>
        </is>
      </c>
      <c r="F918" s="10" t="inlineStr">
        <is>
          <t>Jabodetabek</t>
        </is>
      </c>
      <c r="G918" s="10" t="inlineStr">
        <is>
          <t>Rumah Tangga</t>
        </is>
      </c>
      <c r="H918" s="10" t="inlineStr">
        <is>
          <t>Set Wadah Kedap</t>
        </is>
      </c>
      <c r="I918" s="10" t="n">
        <v>3</v>
      </c>
      <c r="J918" s="10" t="n">
        <v>135000</v>
      </c>
      <c r="K918" s="10" t="n">
        <v>405000</v>
      </c>
    </row>
    <row r="919">
      <c r="A919" s="10" t="inlineStr">
        <is>
          <t>INV-70395</t>
        </is>
      </c>
      <c r="B919" s="10" t="inlineStr">
        <is>
          <t>2025-12-27</t>
        </is>
      </c>
      <c r="C919" s="10" t="inlineStr">
        <is>
          <t>C1111</t>
        </is>
      </c>
      <c r="D919" s="10" t="inlineStr">
        <is>
          <t>champion</t>
        </is>
      </c>
      <c r="E919" s="10" t="inlineStr">
        <is>
          <t>Offline Store</t>
        </is>
      </c>
      <c r="F919" s="10" t="inlineStr">
        <is>
          <t>Jabodetabek</t>
        </is>
      </c>
      <c r="G919" s="10" t="inlineStr">
        <is>
          <t>rumah tangga</t>
        </is>
      </c>
      <c r="H919" s="10" t="inlineStr">
        <is>
          <t>Set Wadah Kedap</t>
        </is>
      </c>
      <c r="I919" s="10" t="n">
        <v>1</v>
      </c>
      <c r="J919" s="10" t="n">
        <v>135000</v>
      </c>
      <c r="K919" s="10" t="n">
        <v>135000</v>
      </c>
    </row>
    <row r="920">
      <c r="A920" s="10" t="inlineStr">
        <is>
          <t>INV-71372</t>
        </is>
      </c>
      <c r="B920" s="10" t="inlineStr">
        <is>
          <t>2025-08-14</t>
        </is>
      </c>
      <c r="C920" s="10" t="inlineStr">
        <is>
          <t>C1378</t>
        </is>
      </c>
      <c r="D920" s="10" t="inlineStr">
        <is>
          <t>regular</t>
        </is>
      </c>
      <c r="E920" s="10" t="inlineStr">
        <is>
          <t xml:space="preserve"> tokopedia</t>
        </is>
      </c>
      <c r="F920" s="10" t="inlineStr">
        <is>
          <t>Jawa Timur</t>
        </is>
      </c>
      <c r="G920" s="10" t="inlineStr">
        <is>
          <t>Elektronik</t>
        </is>
      </c>
      <c r="H920" s="10" t="inlineStr">
        <is>
          <t>Power Bank 20K</t>
        </is>
      </c>
      <c r="I920" s="10" t="n">
        <v>1</v>
      </c>
      <c r="J920" s="10" t="n">
        <v>185000</v>
      </c>
      <c r="K920" s="10" t="n">
        <v>185000</v>
      </c>
    </row>
    <row r="921">
      <c r="A921" s="10" t="inlineStr">
        <is>
          <t>INV-70406</t>
        </is>
      </c>
      <c r="B921" s="10" t="inlineStr">
        <is>
          <t>2025-02-18</t>
        </is>
      </c>
      <c r="C921" s="10" t="inlineStr">
        <is>
          <t>C1113</t>
        </is>
      </c>
      <c r="D921" s="10" t="inlineStr">
        <is>
          <t>loyal</t>
        </is>
      </c>
      <c r="E921" s="10" t="inlineStr">
        <is>
          <t>Offline Store</t>
        </is>
      </c>
      <c r="F921" s="10" t="inlineStr">
        <is>
          <t>Jawa Tengah</t>
        </is>
      </c>
      <c r="G921" s="10" t="inlineStr">
        <is>
          <t>Fashion</t>
        </is>
      </c>
      <c r="H921" s="10" t="inlineStr">
        <is>
          <t>Kaos Premium</t>
        </is>
      </c>
      <c r="I921" s="10" t="n">
        <v>3</v>
      </c>
      <c r="J921" s="10" t="n">
        <v>95000</v>
      </c>
      <c r="K921" s="10" t="n">
        <v>285000</v>
      </c>
    </row>
    <row r="922">
      <c r="A922" s="10" t="inlineStr">
        <is>
          <t>INV-71050</t>
        </is>
      </c>
      <c r="B922" s="10" t="inlineStr">
        <is>
          <t>2026-04-04</t>
        </is>
      </c>
      <c r="C922" s="10" t="inlineStr">
        <is>
          <t>C1297</t>
        </is>
      </c>
      <c r="D922" s="10" t="inlineStr">
        <is>
          <t>occasional</t>
        </is>
      </c>
      <c r="E922" s="10" t="inlineStr">
        <is>
          <t>TikTok Shop</t>
        </is>
      </c>
      <c r="F922" s="10" t="inlineStr">
        <is>
          <t>Lainnya</t>
        </is>
      </c>
      <c r="G922" s="10" t="inlineStr">
        <is>
          <t>Elektronik</t>
        </is>
      </c>
      <c r="H922" s="10" t="inlineStr">
        <is>
          <t>Power Bank 20K</t>
        </is>
      </c>
      <c r="I922" s="10" t="n">
        <v>1</v>
      </c>
      <c r="J922" s="10" t="n">
        <v>185000</v>
      </c>
      <c r="K922" s="10" t="inlineStr">
        <is>
          <t>Rp 185.000</t>
        </is>
      </c>
    </row>
    <row r="923">
      <c r="A923" s="10" t="inlineStr">
        <is>
          <t>INV-71058</t>
        </is>
      </c>
      <c r="B923" s="10" t="inlineStr">
        <is>
          <t>16/05/2026</t>
        </is>
      </c>
      <c r="C923" s="10" t="inlineStr">
        <is>
          <t>C1300</t>
        </is>
      </c>
      <c r="D923" s="10" t="inlineStr">
        <is>
          <t>regular</t>
        </is>
      </c>
      <c r="E923" s="10" t="inlineStr">
        <is>
          <t>Offline Store</t>
        </is>
      </c>
      <c r="F923" s="10" t="inlineStr">
        <is>
          <t>Jabodetabek</t>
        </is>
      </c>
      <c r="G923" s="10" t="inlineStr">
        <is>
          <t>Rumah Tangga</t>
        </is>
      </c>
      <c r="H923" s="10" t="inlineStr">
        <is>
          <t>Set Wadah Kedap</t>
        </is>
      </c>
      <c r="I923" s="10" t="n">
        <v>2</v>
      </c>
      <c r="J923" s="10" t="n">
        <v>135000</v>
      </c>
      <c r="K923" s="10" t="n">
        <v>270000</v>
      </c>
    </row>
    <row r="924">
      <c r="A924" s="10" t="inlineStr">
        <is>
          <t>INV-70446</t>
        </is>
      </c>
      <c r="B924" s="10" t="inlineStr">
        <is>
          <t>2026-02-21</t>
        </is>
      </c>
      <c r="C924" s="10" t="inlineStr">
        <is>
          <t>C1126</t>
        </is>
      </c>
      <c r="D924" s="10" t="inlineStr">
        <is>
          <t>occasional</t>
        </is>
      </c>
      <c r="E924" s="10" t="inlineStr">
        <is>
          <t>Tiktok Shop</t>
        </is>
      </c>
      <c r="F924" s="10" t="inlineStr">
        <is>
          <t>Jabodetabek</t>
        </is>
      </c>
      <c r="G924" s="10" t="inlineStr">
        <is>
          <t>rumah tangga</t>
        </is>
      </c>
      <c r="H924" s="10" t="inlineStr">
        <is>
          <t>Set Wadah Kedap</t>
        </is>
      </c>
      <c r="I924" s="10" t="n">
        <v>1</v>
      </c>
      <c r="J924" s="10" t="n">
        <v>135000</v>
      </c>
      <c r="K924" s="10" t="n">
        <v>135000</v>
      </c>
    </row>
    <row r="925">
      <c r="A925" s="10" t="inlineStr">
        <is>
          <t>INV-70979</t>
        </is>
      </c>
      <c r="B925" s="10" t="inlineStr">
        <is>
          <t>22/03/2025</t>
        </is>
      </c>
      <c r="C925" s="10" t="inlineStr">
        <is>
          <t>C1280</t>
        </is>
      </c>
      <c r="D925" s="10" t="inlineStr">
        <is>
          <t>regular</t>
        </is>
      </c>
      <c r="E925" s="10" t="inlineStr">
        <is>
          <t>Offline Store</t>
        </is>
      </c>
      <c r="F925" s="10" t="inlineStr">
        <is>
          <t>Jabodetabek</t>
        </is>
      </c>
      <c r="G925" s="10" t="inlineStr">
        <is>
          <t>kecantikan</t>
        </is>
      </c>
      <c r="H925" s="10" t="inlineStr">
        <is>
          <t>Masker Wajah (5s)</t>
        </is>
      </c>
      <c r="I925" s="10" t="n">
        <v>1</v>
      </c>
      <c r="J925" s="10" t="n">
        <v>55000</v>
      </c>
      <c r="K925" s="10" t="n">
        <v>55000</v>
      </c>
    </row>
    <row r="926">
      <c r="A926" s="10" t="inlineStr">
        <is>
          <t>INV-70553</t>
        </is>
      </c>
      <c r="B926" s="10" t="inlineStr">
        <is>
          <t>2026-05-13</t>
        </is>
      </c>
      <c r="C926" s="10" t="inlineStr">
        <is>
          <t>C1151</t>
        </is>
      </c>
      <c r="D926" s="10" t="inlineStr">
        <is>
          <t>regular</t>
        </is>
      </c>
      <c r="E926" s="10" t="inlineStr">
        <is>
          <t>Shopee</t>
        </is>
      </c>
      <c r="F926" s="10" t="inlineStr">
        <is>
          <t>Jawa Barat</t>
        </is>
      </c>
      <c r="G926" s="10" t="inlineStr">
        <is>
          <t>Fashion</t>
        </is>
      </c>
      <c r="H926" s="10" t="inlineStr">
        <is>
          <t>Dress Casual</t>
        </is>
      </c>
      <c r="I926" s="10" t="n">
        <v>1</v>
      </c>
      <c r="J926" s="10" t="n">
        <v>225000</v>
      </c>
      <c r="K926" s="10" t="inlineStr">
        <is>
          <t>Rp 225.000</t>
        </is>
      </c>
    </row>
    <row r="927">
      <c r="A927" s="10" t="inlineStr">
        <is>
          <t>INV-70418</t>
        </is>
      </c>
      <c r="B927" s="10" t="inlineStr">
        <is>
          <t>09/02/2026</t>
        </is>
      </c>
      <c r="C927" s="10" t="inlineStr">
        <is>
          <t>C1117</t>
        </is>
      </c>
      <c r="D927" s="10" t="inlineStr">
        <is>
          <t>regular</t>
        </is>
      </c>
      <c r="E927" s="10" t="inlineStr">
        <is>
          <t>Shopee</t>
        </is>
      </c>
      <c r="F927" s="10" t="inlineStr">
        <is>
          <t>Jabodetabek</t>
        </is>
      </c>
      <c r="G927" s="10" t="inlineStr">
        <is>
          <t>Rumah Tangga</t>
        </is>
      </c>
      <c r="H927" s="10" t="inlineStr">
        <is>
          <t>Set Wadah Kedap</t>
        </is>
      </c>
      <c r="I927" s="10" t="n">
        <v>1</v>
      </c>
      <c r="J927" s="10" t="n">
        <v>135000</v>
      </c>
      <c r="K927" s="10" t="n">
        <v>135000</v>
      </c>
    </row>
    <row r="928">
      <c r="A928" s="10" t="inlineStr">
        <is>
          <t>INV-70052</t>
        </is>
      </c>
      <c r="B928" s="10" t="inlineStr">
        <is>
          <t>2025-06-01</t>
        </is>
      </c>
      <c r="C928" s="10" t="inlineStr">
        <is>
          <t>C1012</t>
        </is>
      </c>
      <c r="D928" s="10" t="inlineStr">
        <is>
          <t>loyal</t>
        </is>
      </c>
      <c r="E928" s="10" t="inlineStr">
        <is>
          <t>Shopee</t>
        </is>
      </c>
      <c r="F928" s="10" t="inlineStr">
        <is>
          <t>Jawa Timur</t>
        </is>
      </c>
      <c r="G928" s="10" t="inlineStr">
        <is>
          <t>Kecantikan</t>
        </is>
      </c>
      <c r="H928" s="10" t="inlineStr">
        <is>
          <t>Masker Wajah (5s)</t>
        </is>
      </c>
      <c r="I928" s="10" t="n">
        <v>1</v>
      </c>
      <c r="J928" s="10" t="n">
        <v>55000</v>
      </c>
      <c r="K928" s="10" t="n">
        <v>55000</v>
      </c>
    </row>
    <row r="929">
      <c r="A929" s="10" t="inlineStr">
        <is>
          <t>INV-70482</t>
        </is>
      </c>
      <c r="B929" s="10" t="inlineStr">
        <is>
          <t>2026-03-02</t>
        </is>
      </c>
      <c r="C929" s="10" t="inlineStr">
        <is>
          <t>C1138</t>
        </is>
      </c>
      <c r="D929" s="10" t="inlineStr">
        <is>
          <t>regular</t>
        </is>
      </c>
      <c r="E929" s="10" t="inlineStr">
        <is>
          <t>Offline Store</t>
        </is>
      </c>
      <c r="F929" s="10" t="inlineStr">
        <is>
          <t>Jawa Timur</t>
        </is>
      </c>
      <c r="G929" s="10" t="inlineStr">
        <is>
          <t>Rumah Tangga</t>
        </is>
      </c>
      <c r="H929" s="10" t="inlineStr">
        <is>
          <t>Set Wadah Kedap</t>
        </is>
      </c>
      <c r="I929" s="10" t="n">
        <v>3</v>
      </c>
      <c r="J929" s="10" t="n">
        <v>135000</v>
      </c>
      <c r="K929" s="10" t="n">
        <v>405000</v>
      </c>
    </row>
    <row r="930">
      <c r="A930" s="10" t="inlineStr">
        <is>
          <t>INV-71217</t>
        </is>
      </c>
      <c r="B930" s="10" t="inlineStr">
        <is>
          <t>2025-01-19</t>
        </is>
      </c>
      <c r="C930" s="10" t="inlineStr">
        <is>
          <t>C1346</t>
        </is>
      </c>
      <c r="D930" s="10" t="inlineStr">
        <is>
          <t>regular</t>
        </is>
      </c>
      <c r="E930" s="10" t="inlineStr">
        <is>
          <t>TikTok Shop</t>
        </is>
      </c>
      <c r="F930" s="10" t="n"/>
      <c r="G930" s="10" t="inlineStr">
        <is>
          <t>Kecantikan</t>
        </is>
      </c>
      <c r="H930" s="10" t="inlineStr">
        <is>
          <t>Masker Wajah (5s)</t>
        </is>
      </c>
      <c r="I930" s="10" t="n">
        <v>2</v>
      </c>
      <c r="J930" s="10" t="n">
        <v>55000</v>
      </c>
      <c r="K930" s="10" t="n">
        <v>110000</v>
      </c>
    </row>
    <row r="931">
      <c r="A931" s="10" t="inlineStr">
        <is>
          <t>INV-70827</t>
        </is>
      </c>
      <c r="B931" s="10" t="inlineStr">
        <is>
          <t>2025-09-26</t>
        </is>
      </c>
      <c r="C931" s="10" t="inlineStr">
        <is>
          <t>C1234</t>
        </is>
      </c>
      <c r="D931" s="10" t="inlineStr">
        <is>
          <t>loyal</t>
        </is>
      </c>
      <c r="E931" s="10" t="inlineStr">
        <is>
          <t>Offline Store</t>
        </is>
      </c>
      <c r="F931" s="10" t="inlineStr">
        <is>
          <t>Jabodetabek</t>
        </is>
      </c>
      <c r="G931" s="10" t="inlineStr">
        <is>
          <t>Rumah Tangga</t>
        </is>
      </c>
      <c r="H931" s="10" t="inlineStr">
        <is>
          <t>Karpet Bulu</t>
        </is>
      </c>
      <c r="I931" s="10" t="n">
        <v>3</v>
      </c>
      <c r="J931" s="10" t="n">
        <v>240000</v>
      </c>
      <c r="K931" s="10" t="n">
        <v>720000</v>
      </c>
    </row>
    <row r="932">
      <c r="A932" s="10" t="inlineStr">
        <is>
          <t>INV-71338</t>
        </is>
      </c>
      <c r="B932" s="10" t="inlineStr">
        <is>
          <t>2025-01-26</t>
        </is>
      </c>
      <c r="C932" s="10" t="inlineStr">
        <is>
          <t>C1369</t>
        </is>
      </c>
      <c r="D932" s="10" t="inlineStr">
        <is>
          <t>loyal</t>
        </is>
      </c>
      <c r="E932" s="10" t="inlineStr">
        <is>
          <t>Shopee</t>
        </is>
      </c>
      <c r="F932" s="10" t="inlineStr">
        <is>
          <t>Jabodetabek</t>
        </is>
      </c>
      <c r="G932" s="10" t="inlineStr">
        <is>
          <t>makanan</t>
        </is>
      </c>
      <c r="H932" s="10" t="inlineStr">
        <is>
          <t>Madu Hutan 250ml</t>
        </is>
      </c>
      <c r="I932" s="10" t="n">
        <v>4</v>
      </c>
      <c r="J932" s="10" t="n">
        <v>110000</v>
      </c>
      <c r="K932" s="10" t="n">
        <v>440000</v>
      </c>
    </row>
    <row r="933">
      <c r="A933" s="10" t="inlineStr">
        <is>
          <t>INV-70790</t>
        </is>
      </c>
      <c r="B933" s="10" t="inlineStr">
        <is>
          <t>13/03/2026</t>
        </is>
      </c>
      <c r="C933" s="10" t="inlineStr">
        <is>
          <t>C1222</t>
        </is>
      </c>
      <c r="D933" s="10" t="inlineStr">
        <is>
          <t>loyal</t>
        </is>
      </c>
      <c r="E933" s="10" t="inlineStr">
        <is>
          <t xml:space="preserve">Offline store </t>
        </is>
      </c>
      <c r="F933" s="10" t="inlineStr">
        <is>
          <t>Jawa Barat</t>
        </is>
      </c>
      <c r="G933" s="10" t="inlineStr">
        <is>
          <t>Elektronik</t>
        </is>
      </c>
      <c r="H933" s="10" t="inlineStr">
        <is>
          <t>Smartwatch</t>
        </is>
      </c>
      <c r="I933" s="10" t="n">
        <v>1</v>
      </c>
      <c r="J933" s="10" t="n">
        <v>450000</v>
      </c>
      <c r="K933" s="10" t="n">
        <v>450000</v>
      </c>
    </row>
    <row r="934">
      <c r="A934" s="10" t="inlineStr">
        <is>
          <t>INV-70637</t>
        </is>
      </c>
      <c r="B934" s="10" t="inlineStr">
        <is>
          <t>08/02/2025</t>
        </is>
      </c>
      <c r="C934" s="10" t="inlineStr">
        <is>
          <t>C1174</t>
        </is>
      </c>
      <c r="D934" s="10" t="inlineStr">
        <is>
          <t>loyal</t>
        </is>
      </c>
      <c r="E934" s="10" t="inlineStr">
        <is>
          <t>Shopee</t>
        </is>
      </c>
      <c r="F934" s="10" t="inlineStr">
        <is>
          <t>Jawa Barat</t>
        </is>
      </c>
      <c r="G934" s="10" t="inlineStr">
        <is>
          <t>Rumah Tangga</t>
        </is>
      </c>
      <c r="H934" s="10" t="inlineStr">
        <is>
          <t>Set Wadah Kedap</t>
        </is>
      </c>
      <c r="I934" s="10" t="n">
        <v>1</v>
      </c>
      <c r="J934" s="10" t="n">
        <v>135000</v>
      </c>
      <c r="K934" s="10" t="n">
        <v>135000</v>
      </c>
    </row>
    <row r="935">
      <c r="A935" s="10" t="inlineStr">
        <is>
          <t>INV-70409</t>
        </is>
      </c>
      <c r="B935" s="10" t="inlineStr">
        <is>
          <t>04 Mar 2025</t>
        </is>
      </c>
      <c r="C935" s="10" t="inlineStr">
        <is>
          <t>C1113</t>
        </is>
      </c>
      <c r="D935" s="10" t="inlineStr">
        <is>
          <t>loyal</t>
        </is>
      </c>
      <c r="E935" s="10" t="inlineStr">
        <is>
          <t>Tokopedia</t>
        </is>
      </c>
      <c r="F935" s="10" t="inlineStr">
        <is>
          <t>Lainnya</t>
        </is>
      </c>
      <c r="G935" s="10" t="inlineStr">
        <is>
          <t>Rumah Tangga</t>
        </is>
      </c>
      <c r="H935" s="10" t="inlineStr">
        <is>
          <t>Organizer Laci</t>
        </is>
      </c>
      <c r="I935" s="10" t="n">
        <v>1</v>
      </c>
      <c r="J935" s="10" t="n">
        <v>78000</v>
      </c>
      <c r="K935" s="10" t="inlineStr">
        <is>
          <t>Rp 78.000</t>
        </is>
      </c>
    </row>
    <row r="936">
      <c r="A936" s="10" t="inlineStr">
        <is>
          <t>INV-70188</t>
        </is>
      </c>
      <c r="B936" s="10" t="inlineStr">
        <is>
          <t>13 Feb 2026</t>
        </is>
      </c>
      <c r="C936" s="10" t="inlineStr">
        <is>
          <t>C1053</t>
        </is>
      </c>
      <c r="D936" s="10" t="inlineStr">
        <is>
          <t>regular</t>
        </is>
      </c>
      <c r="E936" s="10" t="inlineStr">
        <is>
          <t xml:space="preserve">Tokopedia </t>
        </is>
      </c>
      <c r="F936" s="10" t="inlineStr">
        <is>
          <t>Jawa Barat</t>
        </is>
      </c>
      <c r="G936" s="10" t="inlineStr">
        <is>
          <t>Makanan</t>
        </is>
      </c>
      <c r="H936" s="10" t="inlineStr">
        <is>
          <t>Teh Herbal (15s)</t>
        </is>
      </c>
      <c r="I936" s="10" t="n">
        <v>1</v>
      </c>
      <c r="J936" s="10" t="n">
        <v>58000</v>
      </c>
      <c r="K936" s="10" t="n">
        <v>58000</v>
      </c>
    </row>
    <row r="937">
      <c r="A937" s="10" t="inlineStr">
        <is>
          <t>INV-70492</t>
        </is>
      </c>
      <c r="B937" s="10" t="inlineStr">
        <is>
          <t>2025-12-19</t>
        </is>
      </c>
      <c r="C937" s="10" t="inlineStr">
        <is>
          <t>C1139</t>
        </is>
      </c>
      <c r="D937" s="10" t="inlineStr">
        <is>
          <t>champion</t>
        </is>
      </c>
      <c r="E937" s="10" t="inlineStr">
        <is>
          <t>Shopee</t>
        </is>
      </c>
      <c r="F937" s="10" t="inlineStr">
        <is>
          <t>Jawa Barat</t>
        </is>
      </c>
      <c r="G937" s="10" t="inlineStr">
        <is>
          <t>Rumah Tangga</t>
        </is>
      </c>
      <c r="H937" s="10" t="inlineStr">
        <is>
          <t>Set Wadah Kedap</t>
        </is>
      </c>
      <c r="I937" s="10" t="n">
        <v>2</v>
      </c>
      <c r="J937" s="10" t="n">
        <v>135000</v>
      </c>
      <c r="K937" s="10" t="inlineStr">
        <is>
          <t>Rp 270.000</t>
        </is>
      </c>
    </row>
    <row r="938">
      <c r="A938" s="10" t="inlineStr">
        <is>
          <t>INV-71227</t>
        </is>
      </c>
      <c r="B938" s="10" t="inlineStr">
        <is>
          <t>2025-06-02</t>
        </is>
      </c>
      <c r="C938" s="10" t="inlineStr">
        <is>
          <t>C1348</t>
        </is>
      </c>
      <c r="D938" s="10" t="inlineStr">
        <is>
          <t>loyal</t>
        </is>
      </c>
      <c r="E938" s="10" t="inlineStr">
        <is>
          <t xml:space="preserve">Tokopedia </t>
        </is>
      </c>
      <c r="F938" s="10" t="inlineStr">
        <is>
          <t>Jabodetabek</t>
        </is>
      </c>
      <c r="G938" s="10" t="inlineStr">
        <is>
          <t>Rumah Tangga</t>
        </is>
      </c>
      <c r="H938" s="10" t="inlineStr">
        <is>
          <t>Set Wadah Kedap</t>
        </is>
      </c>
      <c r="I938" s="10" t="n">
        <v>1</v>
      </c>
      <c r="J938" s="10" t="n">
        <v>135000</v>
      </c>
      <c r="K938" s="10" t="inlineStr">
        <is>
          <t>Rp 135.000</t>
        </is>
      </c>
    </row>
    <row r="939">
      <c r="A939" s="10" t="inlineStr">
        <is>
          <t>INV-71116</t>
        </is>
      </c>
      <c r="B939" s="10" t="inlineStr">
        <is>
          <t>2026-01-22</t>
        </is>
      </c>
      <c r="C939" s="10" t="inlineStr">
        <is>
          <t>C1312</t>
        </is>
      </c>
      <c r="D939" s="10" t="inlineStr">
        <is>
          <t>champion</t>
        </is>
      </c>
      <c r="E939" s="10" t="inlineStr">
        <is>
          <t>Shopee</t>
        </is>
      </c>
      <c r="F939" s="10" t="inlineStr">
        <is>
          <t>Jabodetabek</t>
        </is>
      </c>
      <c r="G939" s="10" t="inlineStr">
        <is>
          <t>Rumah Tangga</t>
        </is>
      </c>
      <c r="H939" s="10" t="inlineStr">
        <is>
          <t>Set Wadah Kedap</t>
        </is>
      </c>
      <c r="I939" s="10" t="n">
        <v>1</v>
      </c>
      <c r="J939" s="10" t="n">
        <v>135000</v>
      </c>
      <c r="K939" s="10" t="n">
        <v>135000</v>
      </c>
    </row>
    <row r="940">
      <c r="A940" s="10" t="inlineStr">
        <is>
          <t>INV-70066</t>
        </is>
      </c>
      <c r="B940" s="10" t="inlineStr">
        <is>
          <t>2025-08-08</t>
        </is>
      </c>
      <c r="C940" s="10" t="inlineStr">
        <is>
          <t>C1019</t>
        </is>
      </c>
      <c r="D940" s="10" t="inlineStr">
        <is>
          <t>occasional</t>
        </is>
      </c>
      <c r="E940" s="10" t="inlineStr">
        <is>
          <t>Tokopedia</t>
        </is>
      </c>
      <c r="F940" s="10" t="inlineStr">
        <is>
          <t>Jabodetabek</t>
        </is>
      </c>
      <c r="G940" s="10" t="inlineStr">
        <is>
          <t>Kecantikan</t>
        </is>
      </c>
      <c r="H940" s="10" t="inlineStr">
        <is>
          <t>Toner Glow</t>
        </is>
      </c>
      <c r="I940" s="10" t="n">
        <v>1</v>
      </c>
      <c r="J940" s="10" t="n">
        <v>88000</v>
      </c>
      <c r="K940" s="10" t="n">
        <v>88000</v>
      </c>
    </row>
    <row r="941">
      <c r="A941" s="10" t="inlineStr">
        <is>
          <t>INV-70142</t>
        </is>
      </c>
      <c r="B941" s="10" t="inlineStr">
        <is>
          <t>2026-04-15</t>
        </is>
      </c>
      <c r="C941" s="10" t="inlineStr">
        <is>
          <t>C1040</t>
        </is>
      </c>
      <c r="D941" s="10" t="inlineStr">
        <is>
          <t>occasional</t>
        </is>
      </c>
      <c r="E941" s="10" t="inlineStr">
        <is>
          <t>Shopee</t>
        </is>
      </c>
      <c r="F941" s="10" t="inlineStr">
        <is>
          <t>Jabodetabek</t>
        </is>
      </c>
      <c r="G941" s="10" t="inlineStr">
        <is>
          <t>rumah tangga</t>
        </is>
      </c>
      <c r="H941" s="10" t="inlineStr">
        <is>
          <t>Set Wadah Kedap</t>
        </is>
      </c>
      <c r="I941" s="10" t="n">
        <v>4</v>
      </c>
      <c r="J941" s="10" t="n">
        <v>135000</v>
      </c>
      <c r="K941" s="10" t="n">
        <v>540000</v>
      </c>
    </row>
    <row r="942">
      <c r="A942" s="10" t="inlineStr">
        <is>
          <t>INV-71517</t>
        </is>
      </c>
      <c r="B942" s="10" t="inlineStr">
        <is>
          <t>2025-03-10</t>
        </is>
      </c>
      <c r="C942" s="10" t="inlineStr">
        <is>
          <t>C1417</t>
        </is>
      </c>
      <c r="D942" s="10" t="inlineStr">
        <is>
          <t>occasional</t>
        </is>
      </c>
      <c r="E942" s="10" t="inlineStr">
        <is>
          <t>Offline Store</t>
        </is>
      </c>
      <c r="F942" s="10" t="inlineStr">
        <is>
          <t>Jawa Barat</t>
        </is>
      </c>
      <c r="G942" s="10" t="inlineStr">
        <is>
          <t>rumah tangga</t>
        </is>
      </c>
      <c r="H942" s="10" t="inlineStr">
        <is>
          <t>Set Wadah Kedap</t>
        </is>
      </c>
      <c r="I942" s="10" t="n">
        <v>1</v>
      </c>
      <c r="J942" s="10" t="n">
        <v>135000</v>
      </c>
      <c r="K942" s="10" t="n">
        <v>135000</v>
      </c>
    </row>
    <row r="943">
      <c r="A943" s="10" t="inlineStr">
        <is>
          <t>INV-71508</t>
        </is>
      </c>
      <c r="B943" s="10" t="inlineStr">
        <is>
          <t>2026-03-16</t>
        </is>
      </c>
      <c r="C943" s="10" t="inlineStr">
        <is>
          <t>C1413</t>
        </is>
      </c>
      <c r="D943" s="10" t="inlineStr">
        <is>
          <t>occasional</t>
        </is>
      </c>
      <c r="E943" s="10" t="inlineStr">
        <is>
          <t>Offline Store</t>
        </is>
      </c>
      <c r="F943" s="10" t="n"/>
      <c r="G943" s="10" t="inlineStr">
        <is>
          <t>Rumah Tangga</t>
        </is>
      </c>
      <c r="H943" s="10" t="inlineStr">
        <is>
          <t>Set Wadah Kedap</t>
        </is>
      </c>
      <c r="I943" s="10" t="n">
        <v>1</v>
      </c>
      <c r="J943" s="10" t="n">
        <v>135000</v>
      </c>
      <c r="K943" s="10" t="n">
        <v>135000</v>
      </c>
    </row>
    <row r="944">
      <c r="A944" s="10" t="inlineStr">
        <is>
          <t>INV-71198</t>
        </is>
      </c>
      <c r="B944" s="10" t="inlineStr">
        <is>
          <t>2025-06-21</t>
        </is>
      </c>
      <c r="C944" s="10" t="inlineStr">
        <is>
          <t>C1338</t>
        </is>
      </c>
      <c r="D944" s="10" t="inlineStr">
        <is>
          <t>regular</t>
        </is>
      </c>
      <c r="E944" s="10" t="inlineStr">
        <is>
          <t xml:space="preserve">Offline store </t>
        </is>
      </c>
      <c r="F944" s="10" t="inlineStr">
        <is>
          <t>Jabodetabek</t>
        </is>
      </c>
      <c r="G944" s="10" t="inlineStr">
        <is>
          <t>Elektronik</t>
        </is>
      </c>
      <c r="H944" s="10" t="inlineStr">
        <is>
          <t>Power Bank 20K</t>
        </is>
      </c>
      <c r="I944" s="10" t="n">
        <v>4</v>
      </c>
      <c r="J944" s="10" t="n">
        <v>185000</v>
      </c>
      <c r="K944" s="10" t="n">
        <v>740000</v>
      </c>
    </row>
    <row r="945">
      <c r="A945" s="10" t="inlineStr">
        <is>
          <t>INV-70487</t>
        </is>
      </c>
      <c r="B945" s="10" t="inlineStr">
        <is>
          <t>2026-05-23</t>
        </is>
      </c>
      <c r="C945" s="10" t="inlineStr">
        <is>
          <t>C1139</t>
        </is>
      </c>
      <c r="D945" s="10" t="inlineStr">
        <is>
          <t>champion</t>
        </is>
      </c>
      <c r="E945" s="10" t="inlineStr">
        <is>
          <t>TikTok Shop</t>
        </is>
      </c>
      <c r="F945" s="10" t="inlineStr">
        <is>
          <t>Jawa Barat</t>
        </is>
      </c>
      <c r="G945" s="10" t="inlineStr">
        <is>
          <t>Elektronik</t>
        </is>
      </c>
      <c r="H945" s="10" t="inlineStr">
        <is>
          <t>Webcam HD</t>
        </is>
      </c>
      <c r="I945" s="10" t="n">
        <v>1</v>
      </c>
      <c r="J945" s="10" t="n">
        <v>210000</v>
      </c>
      <c r="K945" s="10" t="n">
        <v>210000</v>
      </c>
    </row>
    <row r="946">
      <c r="A946" s="10" t="inlineStr">
        <is>
          <t>INV-70857</t>
        </is>
      </c>
      <c r="B946" s="10" t="inlineStr">
        <is>
          <t>2025-07-19</t>
        </is>
      </c>
      <c r="C946" s="10" t="inlineStr">
        <is>
          <t>C1240</t>
        </is>
      </c>
      <c r="D946" s="10" t="inlineStr">
        <is>
          <t>loyal</t>
        </is>
      </c>
      <c r="E946" s="10" t="inlineStr">
        <is>
          <t>Tokopedia</t>
        </is>
      </c>
      <c r="F946" s="10" t="inlineStr">
        <is>
          <t>Jawa Timur</t>
        </is>
      </c>
      <c r="G946" s="10" t="inlineStr">
        <is>
          <t>Rumah Tangga</t>
        </is>
      </c>
      <c r="H946" s="10" t="inlineStr">
        <is>
          <t>Set Wadah Kedap</t>
        </is>
      </c>
      <c r="I946" s="10" t="n">
        <v>3</v>
      </c>
      <c r="J946" s="10" t="n">
        <v>135000</v>
      </c>
      <c r="K946" s="10" t="n">
        <v>405000</v>
      </c>
    </row>
    <row r="947">
      <c r="A947" s="10" t="inlineStr">
        <is>
          <t>INV-71527</t>
        </is>
      </c>
      <c r="B947" s="10" t="inlineStr">
        <is>
          <t>2026-03-03</t>
        </is>
      </c>
      <c r="C947" s="10" t="inlineStr">
        <is>
          <t>C1419</t>
        </is>
      </c>
      <c r="D947" s="10" t="inlineStr">
        <is>
          <t>loyal</t>
        </is>
      </c>
      <c r="E947" s="10" t="inlineStr">
        <is>
          <t>TikTok Shop</t>
        </is>
      </c>
      <c r="F947" s="10" t="inlineStr">
        <is>
          <t>Jabodetabek</t>
        </is>
      </c>
      <c r="G947" s="10" t="inlineStr">
        <is>
          <t>Elektronik</t>
        </is>
      </c>
      <c r="H947" s="10" t="inlineStr">
        <is>
          <t>Webcam HD</t>
        </is>
      </c>
      <c r="I947" s="10" t="n">
        <v>2</v>
      </c>
      <c r="J947" s="10" t="n">
        <v>210000</v>
      </c>
      <c r="K947" s="10" t="n">
        <v>420000</v>
      </c>
    </row>
    <row r="948">
      <c r="A948" s="10" t="inlineStr">
        <is>
          <t>INV-70792</t>
        </is>
      </c>
      <c r="B948" s="10" t="inlineStr">
        <is>
          <t>2025-11-17</t>
        </is>
      </c>
      <c r="C948" s="10" t="inlineStr">
        <is>
          <t>C1222</t>
        </is>
      </c>
      <c r="D948" s="10" t="inlineStr">
        <is>
          <t>loyal</t>
        </is>
      </c>
      <c r="E948" s="10" t="inlineStr">
        <is>
          <t>TikTok Shop</t>
        </is>
      </c>
      <c r="F948" s="10" t="inlineStr">
        <is>
          <t>Jabodetabek</t>
        </is>
      </c>
      <c r="G948" s="10" t="inlineStr">
        <is>
          <t>Kecantikan</t>
        </is>
      </c>
      <c r="H948" s="10" t="inlineStr">
        <is>
          <t>Masker Wajah (5s)</t>
        </is>
      </c>
      <c r="I948" s="10" t="n">
        <v>3</v>
      </c>
      <c r="J948" s="10" t="n">
        <v>55000</v>
      </c>
      <c r="K948" s="10" t="n">
        <v>165000</v>
      </c>
    </row>
    <row r="949">
      <c r="A949" s="10" t="inlineStr">
        <is>
          <t>INV-70704</t>
        </is>
      </c>
      <c r="B949" s="10" t="inlineStr">
        <is>
          <t>2025-03-21</t>
        </is>
      </c>
      <c r="C949" s="10" t="inlineStr">
        <is>
          <t>C1195</t>
        </is>
      </c>
      <c r="D949" s="10" t="inlineStr">
        <is>
          <t>champion</t>
        </is>
      </c>
      <c r="E949" s="10" t="inlineStr">
        <is>
          <t>TikTok Shop</t>
        </is>
      </c>
      <c r="F949" s="10" t="inlineStr">
        <is>
          <t>Jabodetabek</t>
        </is>
      </c>
      <c r="G949" s="10" t="inlineStr">
        <is>
          <t>Makanan</t>
        </is>
      </c>
      <c r="H949" s="10" t="inlineStr">
        <is>
          <t>Granola 500g</t>
        </is>
      </c>
      <c r="I949" s="10" t="n">
        <v>3</v>
      </c>
      <c r="J949" s="10" t="n">
        <v>92000</v>
      </c>
      <c r="K949" s="10" t="n">
        <v>276000</v>
      </c>
    </row>
    <row r="950">
      <c r="A950" s="10" t="inlineStr">
        <is>
          <t>INV-71060</t>
        </is>
      </c>
      <c r="B950" s="10" t="inlineStr">
        <is>
          <t>2025-09-26</t>
        </is>
      </c>
      <c r="C950" s="10" t="inlineStr">
        <is>
          <t>C1300</t>
        </is>
      </c>
      <c r="D950" s="10" t="inlineStr">
        <is>
          <t>regular</t>
        </is>
      </c>
      <c r="E950" s="10" t="inlineStr">
        <is>
          <t>Shopee</t>
        </is>
      </c>
      <c r="F950" s="10" t="inlineStr">
        <is>
          <t>Sumatera</t>
        </is>
      </c>
      <c r="G950" s="10" t="inlineStr">
        <is>
          <t>Elektronik</t>
        </is>
      </c>
      <c r="H950" s="10" t="inlineStr">
        <is>
          <t>Power Bank 20K</t>
        </is>
      </c>
      <c r="I950" s="10" t="n">
        <v>1</v>
      </c>
      <c r="J950" s="10" t="n">
        <v>185000</v>
      </c>
      <c r="K950" s="10" t="n">
        <v>185000</v>
      </c>
    </row>
    <row r="951">
      <c r="A951" s="10" t="inlineStr">
        <is>
          <t>INV-70552</t>
        </is>
      </c>
      <c r="B951" s="10" t="inlineStr">
        <is>
          <t>2025-05-18</t>
        </is>
      </c>
      <c r="C951" s="10" t="inlineStr">
        <is>
          <t>C1151</t>
        </is>
      </c>
      <c r="D951" s="10" t="inlineStr">
        <is>
          <t>regular</t>
        </is>
      </c>
      <c r="E951" s="10" t="inlineStr">
        <is>
          <t>Tokopedia</t>
        </is>
      </c>
      <c r="F951" s="10" t="n"/>
      <c r="G951" s="10" t="inlineStr">
        <is>
          <t>Kecantikan</t>
        </is>
      </c>
      <c r="H951" s="10" t="inlineStr">
        <is>
          <t>Serum Vit C</t>
        </is>
      </c>
      <c r="I951" s="10" t="n">
        <v>2</v>
      </c>
      <c r="J951" s="10" t="n">
        <v>145000</v>
      </c>
      <c r="K951" s="10" t="n">
        <v>290000</v>
      </c>
    </row>
    <row r="952">
      <c r="A952" s="10" t="inlineStr">
        <is>
          <t>INV-71179</t>
        </is>
      </c>
      <c r="B952" s="10" t="inlineStr">
        <is>
          <t>2026-05-27</t>
        </is>
      </c>
      <c r="C952" s="10" t="inlineStr">
        <is>
          <t>C1334</t>
        </is>
      </c>
      <c r="D952" s="10" t="inlineStr">
        <is>
          <t>champion</t>
        </is>
      </c>
      <c r="E952" s="10" t="inlineStr">
        <is>
          <t>Shopee</t>
        </is>
      </c>
      <c r="F952" s="10" t="inlineStr">
        <is>
          <t>Jawa Tengah</t>
        </is>
      </c>
      <c r="G952" s="10" t="inlineStr">
        <is>
          <t>Rumah Tangga</t>
        </is>
      </c>
      <c r="H952" s="10" t="inlineStr">
        <is>
          <t>Set Wadah Kedap</t>
        </is>
      </c>
      <c r="I952" s="10" t="n">
        <v>2</v>
      </c>
      <c r="J952" s="10" t="n">
        <v>135000</v>
      </c>
      <c r="K952" s="10" t="n">
        <v>270000</v>
      </c>
    </row>
    <row r="953">
      <c r="A953" s="10" t="inlineStr">
        <is>
          <t>INV-71213</t>
        </is>
      </c>
      <c r="B953" s="10" t="inlineStr">
        <is>
          <t>2025-07-03</t>
        </is>
      </c>
      <c r="C953" s="10" t="inlineStr">
        <is>
          <t>C1344</t>
        </is>
      </c>
      <c r="D953" s="10" t="inlineStr">
        <is>
          <t>loyal</t>
        </is>
      </c>
      <c r="E953" s="10" t="inlineStr">
        <is>
          <t xml:space="preserve">Tokopedia </t>
        </is>
      </c>
      <c r="F953" s="10" t="inlineStr">
        <is>
          <t>Jabodetabek</t>
        </is>
      </c>
      <c r="G953" s="10" t="inlineStr">
        <is>
          <t>Rumah Tangga</t>
        </is>
      </c>
      <c r="H953" s="10" t="inlineStr">
        <is>
          <t>Set Wadah Kedap</t>
        </is>
      </c>
      <c r="I953" s="10" t="n">
        <v>2</v>
      </c>
      <c r="J953" s="10" t="n">
        <v>135000</v>
      </c>
      <c r="K953" s="10" t="n">
        <v>270000</v>
      </c>
    </row>
    <row r="954">
      <c r="A954" s="10" t="inlineStr">
        <is>
          <t>INV-70798</t>
        </is>
      </c>
      <c r="B954" s="10" t="inlineStr">
        <is>
          <t>2025-06-27</t>
        </is>
      </c>
      <c r="C954" s="10" t="inlineStr">
        <is>
          <t>C1224</t>
        </is>
      </c>
      <c r="D954" s="10" t="inlineStr">
        <is>
          <t>regular</t>
        </is>
      </c>
      <c r="E954" s="10" t="inlineStr">
        <is>
          <t xml:space="preserve"> tokopedia</t>
        </is>
      </c>
      <c r="F954" s="10" t="n"/>
      <c r="G954" s="10" t="inlineStr">
        <is>
          <t>Fashion</t>
        </is>
      </c>
      <c r="H954" s="10" t="inlineStr">
        <is>
          <t>Celana Chino</t>
        </is>
      </c>
      <c r="I954" s="10" t="n">
        <v>1</v>
      </c>
      <c r="J954" s="10" t="n">
        <v>195000</v>
      </c>
      <c r="K954" s="10" t="inlineStr">
        <is>
          <t>Rp 195.000</t>
        </is>
      </c>
    </row>
    <row r="955">
      <c r="A955" s="10" t="inlineStr">
        <is>
          <t>INV-70889</t>
        </is>
      </c>
      <c r="B955" s="10" t="inlineStr">
        <is>
          <t>09 May 2026</t>
        </is>
      </c>
      <c r="C955" s="10" t="inlineStr">
        <is>
          <t>C1249</t>
        </is>
      </c>
      <c r="D955" s="10" t="inlineStr">
        <is>
          <t>regular</t>
        </is>
      </c>
      <c r="E955" s="10" t="inlineStr">
        <is>
          <t>Offline Store</t>
        </is>
      </c>
      <c r="F955" s="10" t="inlineStr">
        <is>
          <t>Jawa Timur</t>
        </is>
      </c>
      <c r="G955" s="10" t="inlineStr">
        <is>
          <t>Elektronik</t>
        </is>
      </c>
      <c r="H955" s="10" t="inlineStr">
        <is>
          <t>Webcam HD</t>
        </is>
      </c>
      <c r="I955" s="10" t="n">
        <v>1</v>
      </c>
      <c r="J955" s="10" t="n">
        <v>210000</v>
      </c>
      <c r="K955" s="10" t="n">
        <v>210000</v>
      </c>
    </row>
    <row r="956">
      <c r="A956" s="10" t="inlineStr">
        <is>
          <t>INV-70389</t>
        </is>
      </c>
      <c r="B956" s="10" t="inlineStr">
        <is>
          <t>25/06/2025</t>
        </is>
      </c>
      <c r="C956" s="10" t="inlineStr">
        <is>
          <t>C1111</t>
        </is>
      </c>
      <c r="D956" s="10" t="inlineStr">
        <is>
          <t>champion</t>
        </is>
      </c>
      <c r="E956" s="10" t="inlineStr">
        <is>
          <t>Offline Store</t>
        </is>
      </c>
      <c r="F956" s="10" t="inlineStr">
        <is>
          <t>Jabodetabek</t>
        </is>
      </c>
      <c r="G956" s="10" t="inlineStr">
        <is>
          <t>Rumah Tangga</t>
        </is>
      </c>
      <c r="H956" s="10" t="inlineStr">
        <is>
          <t>Set Wadah Kedap</t>
        </is>
      </c>
      <c r="I956" s="10" t="n">
        <v>1</v>
      </c>
      <c r="J956" s="10" t="n">
        <v>135000</v>
      </c>
      <c r="K956" s="10" t="n">
        <v>135000</v>
      </c>
    </row>
    <row r="957">
      <c r="A957" s="10" t="inlineStr">
        <is>
          <t>INV-71195</t>
        </is>
      </c>
      <c r="B957" s="10" t="inlineStr">
        <is>
          <t>10 Jan 2026</t>
        </is>
      </c>
      <c r="C957" s="10" t="inlineStr">
        <is>
          <t>C1336</t>
        </is>
      </c>
      <c r="D957" s="10" t="inlineStr">
        <is>
          <t>regular</t>
        </is>
      </c>
      <c r="E957" s="10" t="inlineStr">
        <is>
          <t>SHOPEE</t>
        </is>
      </c>
      <c r="F957" s="10" t="inlineStr">
        <is>
          <t>Sumatera</t>
        </is>
      </c>
      <c r="G957" s="10" t="inlineStr">
        <is>
          <t>Rumah Tangga</t>
        </is>
      </c>
      <c r="H957" s="10" t="inlineStr">
        <is>
          <t>Organizer Laci</t>
        </is>
      </c>
      <c r="I957" s="10" t="n">
        <v>1</v>
      </c>
      <c r="J957" s="10" t="n">
        <v>78000</v>
      </c>
      <c r="K957" s="10" t="n">
        <v>78000</v>
      </c>
    </row>
    <row r="958">
      <c r="A958" s="10" t="inlineStr">
        <is>
          <t>INV-71112</t>
        </is>
      </c>
      <c r="B958" s="10" t="inlineStr">
        <is>
          <t>08 Dec 2025</t>
        </is>
      </c>
      <c r="C958" s="10" t="inlineStr">
        <is>
          <t>C1312</t>
        </is>
      </c>
      <c r="D958" s="10" t="inlineStr">
        <is>
          <t>champion</t>
        </is>
      </c>
      <c r="E958" s="10" t="inlineStr">
        <is>
          <t xml:space="preserve"> tokopedia</t>
        </is>
      </c>
      <c r="F958" s="10" t="inlineStr">
        <is>
          <t>Jawa Timur</t>
        </is>
      </c>
      <c r="G958" s="10" t="inlineStr">
        <is>
          <t>kecantikan</t>
        </is>
      </c>
      <c r="H958" s="10" t="inlineStr">
        <is>
          <t>Masker Wajah (5s)</t>
        </is>
      </c>
      <c r="I958" s="10" t="n">
        <v>2</v>
      </c>
      <c r="J958" s="10" t="n">
        <v>55000</v>
      </c>
      <c r="K958" s="10" t="n">
        <v>110000</v>
      </c>
    </row>
    <row r="959">
      <c r="A959" s="10" t="inlineStr">
        <is>
          <t>INV-70455</t>
        </is>
      </c>
      <c r="B959" s="10" t="inlineStr">
        <is>
          <t>12/05/2026</t>
        </is>
      </c>
      <c r="C959" s="10" t="inlineStr">
        <is>
          <t>C1130</t>
        </is>
      </c>
      <c r="D959" s="10" t="inlineStr">
        <is>
          <t>loyal</t>
        </is>
      </c>
      <c r="E959" s="10" t="inlineStr">
        <is>
          <t>Offline Store</t>
        </is>
      </c>
      <c r="F959" s="10" t="inlineStr">
        <is>
          <t>Jawa Tengah</t>
        </is>
      </c>
      <c r="G959" s="10" t="inlineStr">
        <is>
          <t>Rumah Tangga</t>
        </is>
      </c>
      <c r="H959" s="10" t="inlineStr">
        <is>
          <t>Set Wadah Kedap</t>
        </is>
      </c>
      <c r="I959" s="10" t="n">
        <v>2</v>
      </c>
      <c r="J959" s="10" t="n">
        <v>135000</v>
      </c>
      <c r="K959" s="10" t="n">
        <v>270000</v>
      </c>
    </row>
    <row r="960">
      <c r="A960" s="10" t="inlineStr">
        <is>
          <t>INV-71336</t>
        </is>
      </c>
      <c r="B960" s="10" t="inlineStr">
        <is>
          <t>2026-04-25</t>
        </is>
      </c>
      <c r="C960" s="10" t="inlineStr">
        <is>
          <t>C1369</t>
        </is>
      </c>
      <c r="D960" s="10" t="inlineStr">
        <is>
          <t>loyal</t>
        </is>
      </c>
      <c r="E960" s="10" t="inlineStr">
        <is>
          <t>TikTok Shop</t>
        </is>
      </c>
      <c r="F960" s="10" t="inlineStr">
        <is>
          <t>Jabodetabek</t>
        </is>
      </c>
      <c r="G960" s="10" t="inlineStr">
        <is>
          <t>Rumah Tangga</t>
        </is>
      </c>
      <c r="H960" s="10" t="inlineStr">
        <is>
          <t>Organizer Laci</t>
        </is>
      </c>
      <c r="I960" s="10" t="n">
        <v>1</v>
      </c>
      <c r="J960" s="10" t="n">
        <v>78000</v>
      </c>
      <c r="K960" s="10" t="n">
        <v>78000</v>
      </c>
    </row>
    <row r="961">
      <c r="A961" s="10" t="inlineStr">
        <is>
          <t>INV-70909</t>
        </is>
      </c>
      <c r="B961" s="10" t="inlineStr">
        <is>
          <t>2025-08-04</t>
        </is>
      </c>
      <c r="C961" s="10" t="inlineStr">
        <is>
          <t>C1257</t>
        </is>
      </c>
      <c r="D961" s="10" t="inlineStr">
        <is>
          <t>regular</t>
        </is>
      </c>
      <c r="E961" s="10" t="inlineStr">
        <is>
          <t>Offline Store</t>
        </is>
      </c>
      <c r="F961" s="10" t="inlineStr">
        <is>
          <t>Jawa Tengah</t>
        </is>
      </c>
      <c r="G961" s="10" t="inlineStr">
        <is>
          <t>Elektronik</t>
        </is>
      </c>
      <c r="H961" s="10" t="inlineStr">
        <is>
          <t>Webcam HD</t>
        </is>
      </c>
      <c r="I961" s="10" t="n">
        <v>3</v>
      </c>
      <c r="J961" s="10" t="n">
        <v>210000</v>
      </c>
      <c r="K961" s="10" t="n">
        <v>630000</v>
      </c>
    </row>
    <row r="962">
      <c r="A962" s="10" t="inlineStr">
        <is>
          <t>INV-70721</t>
        </is>
      </c>
      <c r="B962" s="10" t="inlineStr">
        <is>
          <t>2025-05-16</t>
        </is>
      </c>
      <c r="C962" s="10" t="inlineStr">
        <is>
          <t>C1200</t>
        </is>
      </c>
      <c r="D962" s="10" t="inlineStr">
        <is>
          <t>regular</t>
        </is>
      </c>
      <c r="E962" s="10" t="inlineStr">
        <is>
          <t>TIKTOK SHOP</t>
        </is>
      </c>
      <c r="F962" s="10" t="inlineStr">
        <is>
          <t>Jawa Tengah</t>
        </is>
      </c>
      <c r="G962" s="10" t="inlineStr">
        <is>
          <t>Makanan</t>
        </is>
      </c>
      <c r="H962" s="10" t="inlineStr">
        <is>
          <t>Madu Hutan 250ml</t>
        </is>
      </c>
      <c r="I962" s="10" t="n">
        <v>2</v>
      </c>
      <c r="J962" s="10" t="n">
        <v>110000</v>
      </c>
      <c r="K962" s="10" t="n">
        <v>220000</v>
      </c>
    </row>
    <row r="963">
      <c r="A963" s="10" t="inlineStr">
        <is>
          <t>INV-70346</t>
        </is>
      </c>
      <c r="B963" s="10" t="inlineStr">
        <is>
          <t>2026-04-24</t>
        </is>
      </c>
      <c r="C963" s="10" t="inlineStr">
        <is>
          <t>C1093</t>
        </is>
      </c>
      <c r="D963" s="10" t="inlineStr">
        <is>
          <t>champion</t>
        </is>
      </c>
      <c r="E963" s="10" t="inlineStr">
        <is>
          <t xml:space="preserve">Shopee </t>
        </is>
      </c>
      <c r="F963" s="10" t="inlineStr">
        <is>
          <t>Jabodetabek</t>
        </is>
      </c>
      <c r="G963" s="10" t="inlineStr">
        <is>
          <t>kecantikan</t>
        </is>
      </c>
      <c r="H963" s="10" t="inlineStr">
        <is>
          <t>Masker Wajah (5s)</t>
        </is>
      </c>
      <c r="I963" s="10" t="n">
        <v>1</v>
      </c>
      <c r="J963" s="10" t="n">
        <v>55000</v>
      </c>
      <c r="K963" s="10" t="n">
        <v>55000</v>
      </c>
    </row>
    <row r="964">
      <c r="A964" s="10" t="inlineStr">
        <is>
          <t>INV-70194</t>
        </is>
      </c>
      <c r="B964" s="10" t="inlineStr">
        <is>
          <t>10/08/2025</t>
        </is>
      </c>
      <c r="C964" s="10" t="inlineStr">
        <is>
          <t>C1056</t>
        </is>
      </c>
      <c r="D964" s="10" t="inlineStr">
        <is>
          <t>loyal</t>
        </is>
      </c>
      <c r="E964" s="10" t="inlineStr">
        <is>
          <t>Tokopedia</t>
        </is>
      </c>
      <c r="F964" s="10" t="inlineStr">
        <is>
          <t>Jawa Timur</t>
        </is>
      </c>
      <c r="G964" s="10" t="inlineStr">
        <is>
          <t>Kecantikan</t>
        </is>
      </c>
      <c r="H964" s="10" t="inlineStr">
        <is>
          <t>Lip Tint</t>
        </is>
      </c>
      <c r="I964" s="10" t="n">
        <v>2</v>
      </c>
      <c r="J964" s="10" t="n">
        <v>65000</v>
      </c>
      <c r="K964" s="10" t="inlineStr">
        <is>
          <t>Rp 130.000</t>
        </is>
      </c>
    </row>
    <row r="965">
      <c r="A965" s="10" t="inlineStr">
        <is>
          <t>INV-70240</t>
        </is>
      </c>
      <c r="B965" s="10" t="inlineStr">
        <is>
          <t>2025-10-26</t>
        </is>
      </c>
      <c r="C965" s="10" t="inlineStr">
        <is>
          <t>C1068</t>
        </is>
      </c>
      <c r="D965" s="10" t="inlineStr">
        <is>
          <t>onetime</t>
        </is>
      </c>
      <c r="E965" s="10" t="inlineStr">
        <is>
          <t>Tokopedia</t>
        </is>
      </c>
      <c r="F965" s="10" t="inlineStr">
        <is>
          <t>Jawa Timur</t>
        </is>
      </c>
      <c r="G965" s="10" t="inlineStr">
        <is>
          <t>Rumah Tangga</t>
        </is>
      </c>
      <c r="H965" s="10" t="inlineStr">
        <is>
          <t>Set Wadah Kedap</t>
        </is>
      </c>
      <c r="I965" s="10" t="n">
        <v>4</v>
      </c>
      <c r="J965" s="10" t="n">
        <v>135000</v>
      </c>
      <c r="K965" s="10" t="inlineStr">
        <is>
          <t>Rp 540.000</t>
        </is>
      </c>
    </row>
    <row r="966">
      <c r="A966" s="10" t="inlineStr">
        <is>
          <t>INV-70738</t>
        </is>
      </c>
      <c r="B966" s="10" t="inlineStr">
        <is>
          <t>2025-07-21</t>
        </is>
      </c>
      <c r="C966" s="10" t="inlineStr">
        <is>
          <t>C1207</t>
        </is>
      </c>
      <c r="D966" s="10" t="inlineStr">
        <is>
          <t>loyal</t>
        </is>
      </c>
      <c r="E966" s="10" t="inlineStr">
        <is>
          <t>SHOPEE</t>
        </is>
      </c>
      <c r="F966" s="10" t="n"/>
      <c r="G966" s="10" t="inlineStr">
        <is>
          <t>Rumah Tangga</t>
        </is>
      </c>
      <c r="H966" s="10" t="inlineStr">
        <is>
          <t>Set Wadah Kedap</t>
        </is>
      </c>
      <c r="I966" s="10" t="n">
        <v>2</v>
      </c>
      <c r="J966" s="10" t="n">
        <v>135000</v>
      </c>
      <c r="K966" s="10" t="n">
        <v>270000</v>
      </c>
    </row>
    <row r="967">
      <c r="A967" s="10" t="inlineStr">
        <is>
          <t>INV-70146</t>
        </is>
      </c>
      <c r="B967" s="10" t="inlineStr">
        <is>
          <t>25 Mar 2026</t>
        </is>
      </c>
      <c r="C967" s="10" t="inlineStr">
        <is>
          <t>C1042</t>
        </is>
      </c>
      <c r="D967" s="10" t="inlineStr">
        <is>
          <t>loyal</t>
        </is>
      </c>
      <c r="E967" s="10" t="inlineStr">
        <is>
          <t>Tokopedia</t>
        </is>
      </c>
      <c r="F967" s="10" t="inlineStr">
        <is>
          <t>Jabodetabek</t>
        </is>
      </c>
      <c r="G967" s="10" t="inlineStr">
        <is>
          <t>Kecantikan</t>
        </is>
      </c>
      <c r="H967" s="10" t="inlineStr">
        <is>
          <t>Masker Wajah (5s)</t>
        </is>
      </c>
      <c r="I967" s="10" t="n">
        <v>1</v>
      </c>
      <c r="J967" s="10" t="n">
        <v>55000</v>
      </c>
      <c r="K967" s="10" t="inlineStr">
        <is>
          <t>Rp 55.000</t>
        </is>
      </c>
    </row>
    <row r="968">
      <c r="A968" s="10" t="inlineStr">
        <is>
          <t>INV-70120</t>
        </is>
      </c>
      <c r="B968" s="10" t="inlineStr">
        <is>
          <t>2025-11-25</t>
        </is>
      </c>
      <c r="C968" s="10" t="inlineStr">
        <is>
          <t>C1038</t>
        </is>
      </c>
      <c r="D968" s="10" t="inlineStr">
        <is>
          <t>champion</t>
        </is>
      </c>
      <c r="E968" s="10" t="inlineStr">
        <is>
          <t>SHOPEE</t>
        </is>
      </c>
      <c r="F968" s="10" t="inlineStr">
        <is>
          <t>Jawa Barat</t>
        </is>
      </c>
      <c r="G968" s="10" t="inlineStr">
        <is>
          <t>elektronik</t>
        </is>
      </c>
      <c r="H968" s="10" t="inlineStr">
        <is>
          <t>Earbuds TWS</t>
        </is>
      </c>
      <c r="I968" s="10" t="n">
        <v>3</v>
      </c>
      <c r="J968" s="10" t="n">
        <v>265000</v>
      </c>
      <c r="K968" s="10" t="inlineStr">
        <is>
          <t>Rp 795.000</t>
        </is>
      </c>
    </row>
    <row r="969">
      <c r="A969" s="10" t="inlineStr">
        <is>
          <t>INV-71433</t>
        </is>
      </c>
      <c r="B969" s="10" t="inlineStr">
        <is>
          <t>2025-05-25</t>
        </is>
      </c>
      <c r="C969" s="10" t="inlineStr">
        <is>
          <t>C1394</t>
        </is>
      </c>
      <c r="D969" s="10" t="inlineStr">
        <is>
          <t>loyal</t>
        </is>
      </c>
      <c r="E969" s="10" t="inlineStr">
        <is>
          <t>TikTok Shop</t>
        </is>
      </c>
      <c r="F969" s="10" t="inlineStr">
        <is>
          <t>Lainnya</t>
        </is>
      </c>
      <c r="G969" s="10" t="inlineStr">
        <is>
          <t>Elektronik</t>
        </is>
      </c>
      <c r="H969" s="10" t="inlineStr">
        <is>
          <t>Power Bank 20K</t>
        </is>
      </c>
      <c r="I969" s="10" t="n">
        <v>1</v>
      </c>
      <c r="J969" s="10" t="n">
        <v>185000</v>
      </c>
      <c r="K969" s="10" t="n">
        <v>185000</v>
      </c>
    </row>
    <row r="970">
      <c r="A970" s="10" t="inlineStr">
        <is>
          <t>INV-70702</t>
        </is>
      </c>
      <c r="B970" s="10" t="inlineStr">
        <is>
          <t>2025-08-17</t>
        </is>
      </c>
      <c r="C970" s="10" t="inlineStr">
        <is>
          <t>C1195</t>
        </is>
      </c>
      <c r="D970" s="10" t="inlineStr">
        <is>
          <t>champion</t>
        </is>
      </c>
      <c r="E970" s="10" t="inlineStr">
        <is>
          <t>Tokopedia</t>
        </is>
      </c>
      <c r="F970" s="10" t="inlineStr">
        <is>
          <t>Jawa Timur</t>
        </is>
      </c>
      <c r="G970" s="10" t="inlineStr">
        <is>
          <t>Elektronik</t>
        </is>
      </c>
      <c r="H970" s="10" t="inlineStr">
        <is>
          <t>Power Bank 20K</t>
        </is>
      </c>
      <c r="I970" s="10" t="n">
        <v>1</v>
      </c>
      <c r="J970" s="10" t="n">
        <v>185000</v>
      </c>
      <c r="K970" s="10" t="n">
        <v>185000</v>
      </c>
    </row>
    <row r="971">
      <c r="A971" s="10" t="inlineStr">
        <is>
          <t>INV-71434</t>
        </is>
      </c>
      <c r="B971" s="10" t="inlineStr">
        <is>
          <t>2026-01-13</t>
        </is>
      </c>
      <c r="C971" s="10" t="inlineStr">
        <is>
          <t>C1394</t>
        </is>
      </c>
      <c r="D971" s="10" t="inlineStr">
        <is>
          <t>loyal</t>
        </is>
      </c>
      <c r="E971" s="10" t="inlineStr">
        <is>
          <t>Tokopedia</t>
        </is>
      </c>
      <c r="F971" s="10" t="inlineStr">
        <is>
          <t>Sumatera</t>
        </is>
      </c>
      <c r="G971" s="10" t="inlineStr">
        <is>
          <t>rumah tangga</t>
        </is>
      </c>
      <c r="H971" s="10" t="inlineStr">
        <is>
          <t>Set Wadah Kedap</t>
        </is>
      </c>
      <c r="I971" s="10" t="n">
        <v>1</v>
      </c>
      <c r="J971" s="10" t="n">
        <v>135000</v>
      </c>
      <c r="K971" s="10" t="inlineStr">
        <is>
          <t>Rp 135.000</t>
        </is>
      </c>
    </row>
    <row r="972">
      <c r="A972" s="10" t="inlineStr">
        <is>
          <t>INV-70554</t>
        </is>
      </c>
      <c r="B972" s="10" t="inlineStr">
        <is>
          <t>2026-01-03</t>
        </is>
      </c>
      <c r="C972" s="10" t="inlineStr">
        <is>
          <t>C1152</t>
        </is>
      </c>
      <c r="D972" s="10" t="inlineStr">
        <is>
          <t>regular</t>
        </is>
      </c>
      <c r="E972" s="10" t="inlineStr">
        <is>
          <t>shopee</t>
        </is>
      </c>
      <c r="F972" s="10" t="inlineStr">
        <is>
          <t>Jabodetabek</t>
        </is>
      </c>
      <c r="G972" s="10" t="inlineStr">
        <is>
          <t>Rumah Tangga</t>
        </is>
      </c>
      <c r="H972" s="10" t="inlineStr">
        <is>
          <t>Set Wadah Kedap</t>
        </is>
      </c>
      <c r="I972" s="10" t="n">
        <v>1</v>
      </c>
      <c r="J972" s="10" t="n">
        <v>135000</v>
      </c>
      <c r="K972" s="10" t="n">
        <v>135000</v>
      </c>
    </row>
    <row r="973">
      <c r="A973" s="10" t="inlineStr">
        <is>
          <t>INV-71531</t>
        </is>
      </c>
      <c r="B973" s="10" t="inlineStr">
        <is>
          <t>27/09/2025</t>
        </is>
      </c>
      <c r="C973" s="10" t="inlineStr">
        <is>
          <t>C1421</t>
        </is>
      </c>
      <c r="D973" s="10" t="inlineStr">
        <is>
          <t>occasional</t>
        </is>
      </c>
      <c r="E973" s="10" t="inlineStr">
        <is>
          <t>Offline Store</t>
        </is>
      </c>
      <c r="F973" s="10" t="inlineStr">
        <is>
          <t>Jawa Tengah</t>
        </is>
      </c>
      <c r="G973" s="10" t="inlineStr">
        <is>
          <t>Fashion</t>
        </is>
      </c>
      <c r="H973" s="10" t="inlineStr">
        <is>
          <t>Dress Casual</t>
        </is>
      </c>
      <c r="I973" s="10" t="n">
        <v>1</v>
      </c>
      <c r="J973" s="10" t="n">
        <v>225000</v>
      </c>
      <c r="K973" s="10" t="n">
        <v>225000</v>
      </c>
    </row>
    <row r="974">
      <c r="A974" s="10" t="inlineStr">
        <is>
          <t>INV-70101</t>
        </is>
      </c>
      <c r="B974" s="10" t="inlineStr">
        <is>
          <t>08 Jun 2025</t>
        </is>
      </c>
      <c r="C974" s="10" t="inlineStr">
        <is>
          <t>C1029</t>
        </is>
      </c>
      <c r="D974" s="10" t="inlineStr">
        <is>
          <t>champion</t>
        </is>
      </c>
      <c r="E974" s="10" t="inlineStr">
        <is>
          <t>Tokopedia</t>
        </is>
      </c>
      <c r="F974" s="10" t="inlineStr">
        <is>
          <t>Jawa Timur</t>
        </is>
      </c>
      <c r="G974" s="10" t="inlineStr">
        <is>
          <t>Rumah Tangga</t>
        </is>
      </c>
      <c r="H974" s="10" t="inlineStr">
        <is>
          <t>Set Wadah Kedap</t>
        </is>
      </c>
      <c r="I974" s="10" t="n">
        <v>1</v>
      </c>
      <c r="J974" s="10" t="n">
        <v>135000</v>
      </c>
      <c r="K974" s="10" t="inlineStr">
        <is>
          <t>Rp 135.000</t>
        </is>
      </c>
    </row>
    <row r="975">
      <c r="A975" s="10" t="inlineStr">
        <is>
          <t>INV-71411</t>
        </is>
      </c>
      <c r="B975" s="10" t="inlineStr">
        <is>
          <t>10 Feb 2026</t>
        </is>
      </c>
      <c r="C975" s="10" t="inlineStr">
        <is>
          <t>C1389</t>
        </is>
      </c>
      <c r="D975" s="10" t="inlineStr">
        <is>
          <t>regular</t>
        </is>
      </c>
      <c r="E975" s="10" t="inlineStr">
        <is>
          <t>Tokopedia</t>
        </is>
      </c>
      <c r="F975" s="10" t="inlineStr">
        <is>
          <t>Jawa Timur</t>
        </is>
      </c>
      <c r="G975" s="10" t="inlineStr">
        <is>
          <t>Elektronik</t>
        </is>
      </c>
      <c r="H975" s="10" t="inlineStr">
        <is>
          <t>Power Bank 20K</t>
        </is>
      </c>
      <c r="I975" s="10" t="n">
        <v>1</v>
      </c>
      <c r="J975" s="10" t="n">
        <v>185000</v>
      </c>
      <c r="K975" s="10" t="n">
        <v>185000</v>
      </c>
    </row>
    <row r="976">
      <c r="A976" s="10" t="inlineStr">
        <is>
          <t>INV-70472</t>
        </is>
      </c>
      <c r="B976" s="10" t="inlineStr">
        <is>
          <t>15 Jul 2025</t>
        </is>
      </c>
      <c r="C976" s="10" t="inlineStr">
        <is>
          <t>C1135</t>
        </is>
      </c>
      <c r="D976" s="10" t="inlineStr">
        <is>
          <t>regular</t>
        </is>
      </c>
      <c r="E976" s="10" t="inlineStr">
        <is>
          <t>TikTok Shop</t>
        </is>
      </c>
      <c r="F976" s="10" t="inlineStr">
        <is>
          <t>Jawa Timur</t>
        </is>
      </c>
      <c r="G976" s="10" t="inlineStr">
        <is>
          <t>Rumah Tangga</t>
        </is>
      </c>
      <c r="H976" s="10" t="inlineStr">
        <is>
          <t>Organizer Laci</t>
        </is>
      </c>
      <c r="I976" s="10" t="n">
        <v>3</v>
      </c>
      <c r="J976" s="10" t="n">
        <v>78000</v>
      </c>
      <c r="K976" s="10" t="inlineStr">
        <is>
          <t>Rp 234.000</t>
        </is>
      </c>
    </row>
    <row r="977">
      <c r="A977" s="10" t="inlineStr">
        <is>
          <t>INV-71500</t>
        </is>
      </c>
      <c r="B977" s="10" t="inlineStr">
        <is>
          <t>03/05/2026</t>
        </is>
      </c>
      <c r="C977" s="10" t="inlineStr">
        <is>
          <t>C1412</t>
        </is>
      </c>
      <c r="D977" s="10" t="inlineStr">
        <is>
          <t>champion</t>
        </is>
      </c>
      <c r="E977" s="10" t="inlineStr">
        <is>
          <t>Tokopedia</t>
        </is>
      </c>
      <c r="F977" s="10" t="inlineStr">
        <is>
          <t>Jabodetabek</t>
        </is>
      </c>
      <c r="G977" s="10" t="inlineStr">
        <is>
          <t>elektronik</t>
        </is>
      </c>
      <c r="H977" s="10" t="inlineStr">
        <is>
          <t>Earbuds TWS</t>
        </is>
      </c>
      <c r="I977" s="10" t="n">
        <v>1</v>
      </c>
      <c r="J977" s="10" t="n">
        <v>265000</v>
      </c>
      <c r="K977" s="10" t="inlineStr">
        <is>
          <t>Rp 265.000</t>
        </is>
      </c>
    </row>
    <row r="978">
      <c r="A978" s="10" t="inlineStr">
        <is>
          <t>INV-71380</t>
        </is>
      </c>
      <c r="B978" s="10" t="inlineStr">
        <is>
          <t>2025-04-03</t>
        </is>
      </c>
      <c r="C978" s="10" t="inlineStr">
        <is>
          <t>C1382</t>
        </is>
      </c>
      <c r="D978" s="10" t="inlineStr">
        <is>
          <t>regular</t>
        </is>
      </c>
      <c r="E978" s="10" t="inlineStr">
        <is>
          <t>Shopee</t>
        </is>
      </c>
      <c r="F978" s="10" t="inlineStr">
        <is>
          <t>Jawa Tengah</t>
        </is>
      </c>
      <c r="G978" s="10" t="inlineStr">
        <is>
          <t>Rumah Tangga</t>
        </is>
      </c>
      <c r="H978" s="10" t="inlineStr">
        <is>
          <t>Diffuser Aroma</t>
        </is>
      </c>
      <c r="I978" s="10" t="n">
        <v>2</v>
      </c>
      <c r="J978" s="10" t="n">
        <v>195000</v>
      </c>
      <c r="K978" s="10" t="n">
        <v>390000</v>
      </c>
    </row>
    <row r="979">
      <c r="A979" s="10" t="inlineStr">
        <is>
          <t>INV-70763</t>
        </is>
      </c>
      <c r="B979" s="10" t="inlineStr">
        <is>
          <t>10 Apr 2025</t>
        </is>
      </c>
      <c r="C979" s="10" t="inlineStr">
        <is>
          <t>C1214</t>
        </is>
      </c>
      <c r="D979" s="10" t="inlineStr">
        <is>
          <t>regular</t>
        </is>
      </c>
      <c r="E979" s="10" t="inlineStr">
        <is>
          <t xml:space="preserve">Offline store </t>
        </is>
      </c>
      <c r="F979" s="10" t="inlineStr">
        <is>
          <t>Lainnya</t>
        </is>
      </c>
      <c r="G979" s="10" t="inlineStr">
        <is>
          <t>Elektronik</t>
        </is>
      </c>
      <c r="H979" s="10" t="inlineStr">
        <is>
          <t>Webcam HD</t>
        </is>
      </c>
      <c r="I979" s="10" t="n">
        <v>1</v>
      </c>
      <c r="J979" s="10" t="n">
        <v>210000</v>
      </c>
      <c r="K979" s="10" t="n">
        <v>210000</v>
      </c>
    </row>
    <row r="980">
      <c r="A980" s="10" t="inlineStr">
        <is>
          <t>INV-71069</t>
        </is>
      </c>
      <c r="B980" s="10" t="inlineStr">
        <is>
          <t>10/09/2025</t>
        </is>
      </c>
      <c r="C980" s="10" t="inlineStr">
        <is>
          <t>C1302</t>
        </is>
      </c>
      <c r="D980" s="10" t="inlineStr">
        <is>
          <t>champion</t>
        </is>
      </c>
      <c r="E980" s="10" t="inlineStr">
        <is>
          <t>Shopee</t>
        </is>
      </c>
      <c r="F980" s="10" t="inlineStr">
        <is>
          <t>Lainnya</t>
        </is>
      </c>
      <c r="G980" s="10" t="inlineStr">
        <is>
          <t>Rumah Tangga</t>
        </is>
      </c>
      <c r="H980" s="10" t="inlineStr">
        <is>
          <t>Set Wadah Kedap</t>
        </is>
      </c>
      <c r="I980" s="10" t="n">
        <v>1</v>
      </c>
      <c r="J980" s="10" t="n">
        <v>135000</v>
      </c>
      <c r="K980" s="10" t="n">
        <v>135000</v>
      </c>
    </row>
    <row r="981">
      <c r="A981" s="10" t="inlineStr">
        <is>
          <t>INV-70854</t>
        </is>
      </c>
      <c r="B981" s="10" t="inlineStr">
        <is>
          <t>10/12/2025</t>
        </is>
      </c>
      <c r="C981" s="10" t="inlineStr">
        <is>
          <t>C1240</t>
        </is>
      </c>
      <c r="D981" s="10" t="inlineStr">
        <is>
          <t>loyal</t>
        </is>
      </c>
      <c r="E981" s="10" t="inlineStr">
        <is>
          <t>offline store</t>
        </is>
      </c>
      <c r="F981" s="10" t="inlineStr">
        <is>
          <t>Jabodetabek</t>
        </is>
      </c>
      <c r="G981" s="10" t="inlineStr">
        <is>
          <t>Rumah Tangga</t>
        </is>
      </c>
      <c r="H981" s="10" t="inlineStr">
        <is>
          <t>Organizer Laci</t>
        </is>
      </c>
      <c r="I981" s="10" t="n">
        <v>1</v>
      </c>
      <c r="J981" s="10" t="n">
        <v>78000</v>
      </c>
      <c r="K981" s="10" t="n">
        <v>78000</v>
      </c>
    </row>
    <row r="982">
      <c r="A982" s="10" t="inlineStr">
        <is>
          <t>INV-71327</t>
        </is>
      </c>
      <c r="B982" s="10" t="inlineStr">
        <is>
          <t>2026-03-18</t>
        </is>
      </c>
      <c r="C982" s="10" t="inlineStr">
        <is>
          <t>C1365</t>
        </is>
      </c>
      <c r="D982" s="10" t="inlineStr">
        <is>
          <t>regular</t>
        </is>
      </c>
      <c r="E982" s="10" t="inlineStr">
        <is>
          <t>TikTok Shop</t>
        </is>
      </c>
      <c r="F982" s="10" t="inlineStr">
        <is>
          <t>Sumatera</t>
        </is>
      </c>
      <c r="G982" s="10" t="inlineStr">
        <is>
          <t>fashion</t>
        </is>
      </c>
      <c r="H982" s="10" t="inlineStr">
        <is>
          <t>Celana Chino</t>
        </is>
      </c>
      <c r="I982" s="10" t="n">
        <v>3</v>
      </c>
      <c r="J982" s="10" t="n">
        <v>195000</v>
      </c>
      <c r="K982" s="10" t="n">
        <v>585000</v>
      </c>
    </row>
    <row r="983">
      <c r="A983" s="10" t="inlineStr">
        <is>
          <t>INV-70998</t>
        </is>
      </c>
      <c r="B983" s="10" t="inlineStr">
        <is>
          <t>2025-12-01</t>
        </is>
      </c>
      <c r="C983" s="10" t="inlineStr">
        <is>
          <t>C1287</t>
        </is>
      </c>
      <c r="D983" s="10" t="inlineStr">
        <is>
          <t>champion</t>
        </is>
      </c>
      <c r="E983" s="10" t="inlineStr">
        <is>
          <t>TikTok Shop</t>
        </is>
      </c>
      <c r="F983" s="10" t="inlineStr">
        <is>
          <t>Jabodetabek</t>
        </is>
      </c>
      <c r="G983" s="10" t="inlineStr">
        <is>
          <t>Fashion</t>
        </is>
      </c>
      <c r="H983" s="10" t="inlineStr">
        <is>
          <t>Dress Casual</t>
        </is>
      </c>
      <c r="I983" s="10" t="n"/>
      <c r="J983" s="10" t="n">
        <v>225000</v>
      </c>
      <c r="K983" s="10" t="n">
        <v>675000</v>
      </c>
    </row>
    <row r="984">
      <c r="A984" s="10" t="inlineStr">
        <is>
          <t>INV-70275</t>
        </is>
      </c>
      <c r="B984" s="10" t="inlineStr">
        <is>
          <t>09/01/2026</t>
        </is>
      </c>
      <c r="C984" s="10" t="inlineStr">
        <is>
          <t>C1077</t>
        </is>
      </c>
      <c r="D984" s="10" t="inlineStr">
        <is>
          <t>regular</t>
        </is>
      </c>
      <c r="E984" s="10" t="inlineStr">
        <is>
          <t>Offline Store</t>
        </is>
      </c>
      <c r="F984" s="10" t="inlineStr">
        <is>
          <t>Sumatera</t>
        </is>
      </c>
      <c r="G984" s="10" t="inlineStr">
        <is>
          <t>Fashion</t>
        </is>
      </c>
      <c r="H984" s="10" t="inlineStr">
        <is>
          <t>Kemeja Linen</t>
        </is>
      </c>
      <c r="I984" s="10" t="n">
        <v>3</v>
      </c>
      <c r="J984" s="10" t="n">
        <v>185000</v>
      </c>
      <c r="K984" s="10" t="n">
        <v>555000</v>
      </c>
    </row>
    <row r="985">
      <c r="A985" s="10" t="inlineStr">
        <is>
          <t>INV-71246</t>
        </is>
      </c>
      <c r="B985" s="10" t="inlineStr">
        <is>
          <t>20/12/2025</t>
        </is>
      </c>
      <c r="C985" s="10" t="inlineStr">
        <is>
          <t>C1351</t>
        </is>
      </c>
      <c r="D985" s="10" t="inlineStr">
        <is>
          <t>loyal</t>
        </is>
      </c>
      <c r="E985" s="10" t="inlineStr">
        <is>
          <t>offline store</t>
        </is>
      </c>
      <c r="F985" s="10" t="inlineStr">
        <is>
          <t>Lainnya</t>
        </is>
      </c>
      <c r="G985" s="10" t="inlineStr">
        <is>
          <t>Elektronik</t>
        </is>
      </c>
      <c r="H985" s="10" t="inlineStr">
        <is>
          <t>Webcam HD</t>
        </is>
      </c>
      <c r="I985" s="10" t="n">
        <v>1</v>
      </c>
      <c r="J985" s="10" t="n">
        <v>210000</v>
      </c>
      <c r="K985" s="10" t="n">
        <v>210000</v>
      </c>
    </row>
    <row r="986">
      <c r="A986" s="10" t="inlineStr">
        <is>
          <t>INV-70964</t>
        </is>
      </c>
      <c r="B986" s="10" t="inlineStr">
        <is>
          <t>2026-01-12</t>
        </is>
      </c>
      <c r="C986" s="10" t="inlineStr">
        <is>
          <t>C1274</t>
        </is>
      </c>
      <c r="D986" s="10" t="inlineStr">
        <is>
          <t>regular</t>
        </is>
      </c>
      <c r="E986" s="10" t="inlineStr">
        <is>
          <t>TikTok Shop</t>
        </is>
      </c>
      <c r="F986" s="10" t="inlineStr">
        <is>
          <t>Jabodetabek</t>
        </is>
      </c>
      <c r="G986" s="10" t="inlineStr">
        <is>
          <t>Rumah Tangga</t>
        </is>
      </c>
      <c r="H986" s="10" t="inlineStr">
        <is>
          <t>Set Wadah Kedap</t>
        </is>
      </c>
      <c r="I986" s="10" t="n">
        <v>1</v>
      </c>
      <c r="J986" s="10" t="n">
        <v>135000</v>
      </c>
      <c r="K986" s="10" t="n">
        <v>135000</v>
      </c>
    </row>
    <row r="987">
      <c r="A987" s="10" t="inlineStr">
        <is>
          <t>INV-71412</t>
        </is>
      </c>
      <c r="B987" s="10" t="inlineStr">
        <is>
          <t>2025-03-02</t>
        </is>
      </c>
      <c r="C987" s="10" t="inlineStr">
        <is>
          <t>C1390</t>
        </is>
      </c>
      <c r="D987" s="10" t="inlineStr">
        <is>
          <t>regular</t>
        </is>
      </c>
      <c r="E987" s="10" t="inlineStr">
        <is>
          <t>Offline Store</t>
        </is>
      </c>
      <c r="F987" s="10" t="inlineStr">
        <is>
          <t>Jabodetabek</t>
        </is>
      </c>
      <c r="G987" s="10" t="inlineStr">
        <is>
          <t>Rumah Tangga</t>
        </is>
      </c>
      <c r="H987" s="10" t="inlineStr">
        <is>
          <t>Set Wadah Kedap</t>
        </is>
      </c>
      <c r="I987" s="10" t="n">
        <v>4</v>
      </c>
      <c r="J987" s="10" t="n">
        <v>135000</v>
      </c>
      <c r="K987" s="10" t="inlineStr">
        <is>
          <t>Rp 540.000</t>
        </is>
      </c>
    </row>
    <row r="988">
      <c r="A988" s="10" t="inlineStr">
        <is>
          <t>INV-71404</t>
        </is>
      </c>
      <c r="B988" s="10" t="inlineStr">
        <is>
          <t>2026-05-16</t>
        </is>
      </c>
      <c r="C988" s="10" t="inlineStr">
        <is>
          <t>C1386</t>
        </is>
      </c>
      <c r="D988" s="10" t="inlineStr">
        <is>
          <t>loyal</t>
        </is>
      </c>
      <c r="E988" s="10" t="inlineStr">
        <is>
          <t>TikTok Shop</t>
        </is>
      </c>
      <c r="F988" s="10" t="inlineStr">
        <is>
          <t>Jabodetabek</t>
        </is>
      </c>
      <c r="G988" s="10" t="inlineStr">
        <is>
          <t>Rumah Tangga</t>
        </is>
      </c>
      <c r="H988" s="10" t="inlineStr">
        <is>
          <t>Set Wadah Kedap</t>
        </is>
      </c>
      <c r="I988" s="10" t="n">
        <v>1</v>
      </c>
      <c r="J988" s="10" t="n">
        <v>135000</v>
      </c>
      <c r="K988" s="10" t="n">
        <v>135000</v>
      </c>
    </row>
    <row r="989">
      <c r="A989" s="10" t="inlineStr">
        <is>
          <t>INV-70963</t>
        </is>
      </c>
      <c r="B989" s="10" t="inlineStr">
        <is>
          <t>2025-08-11</t>
        </is>
      </c>
      <c r="C989" s="10" t="inlineStr">
        <is>
          <t>C1273</t>
        </is>
      </c>
      <c r="D989" s="10" t="inlineStr">
        <is>
          <t>loyal</t>
        </is>
      </c>
      <c r="E989" s="10" t="inlineStr">
        <is>
          <t>TikTok Shop</t>
        </is>
      </c>
      <c r="F989" s="10" t="inlineStr">
        <is>
          <t>Jabodetabek</t>
        </is>
      </c>
      <c r="G989" s="10" t="inlineStr">
        <is>
          <t>Elektronik</t>
        </is>
      </c>
      <c r="H989" s="10" t="inlineStr">
        <is>
          <t>Webcam HD</t>
        </is>
      </c>
      <c r="I989" s="10" t="n">
        <v>4</v>
      </c>
      <c r="J989" s="10" t="n">
        <v>210000</v>
      </c>
      <c r="K989" s="10" t="inlineStr">
        <is>
          <t>Rp 840.000</t>
        </is>
      </c>
    </row>
    <row r="990">
      <c r="A990" s="10" t="inlineStr">
        <is>
          <t>INV-70198</t>
        </is>
      </c>
      <c r="B990" s="10" t="inlineStr">
        <is>
          <t>2025-07-25</t>
        </is>
      </c>
      <c r="C990" s="10" t="inlineStr">
        <is>
          <t>C1056</t>
        </is>
      </c>
      <c r="D990" s="10" t="inlineStr">
        <is>
          <t>loyal</t>
        </is>
      </c>
      <c r="E990" s="10" t="inlineStr">
        <is>
          <t>Tokopedia</t>
        </is>
      </c>
      <c r="F990" s="10" t="inlineStr">
        <is>
          <t>Lainnya</t>
        </is>
      </c>
      <c r="G990" s="10" t="inlineStr">
        <is>
          <t>Rumah Tangga</t>
        </is>
      </c>
      <c r="H990" s="10" t="inlineStr">
        <is>
          <t>Set Wadah Kedap</t>
        </is>
      </c>
      <c r="I990" s="10" t="n">
        <v>1</v>
      </c>
      <c r="J990" s="10" t="n">
        <v>135000</v>
      </c>
      <c r="K990" s="10" t="n">
        <v>135000</v>
      </c>
    </row>
    <row r="991">
      <c r="A991" s="10" t="inlineStr">
        <is>
          <t>INV-70154</t>
        </is>
      </c>
      <c r="B991" s="10" t="inlineStr">
        <is>
          <t>2026-06-07</t>
        </is>
      </c>
      <c r="C991" s="10" t="inlineStr">
        <is>
          <t>C1045</t>
        </is>
      </c>
      <c r="D991" s="10" t="inlineStr">
        <is>
          <t>regular</t>
        </is>
      </c>
      <c r="E991" s="10" t="inlineStr">
        <is>
          <t>Tokopedia</t>
        </is>
      </c>
      <c r="F991" s="10" t="inlineStr">
        <is>
          <t>Jabodetabek</t>
        </is>
      </c>
      <c r="G991" s="10" t="inlineStr">
        <is>
          <t>Rumah Tangga</t>
        </is>
      </c>
      <c r="H991" s="10" t="inlineStr">
        <is>
          <t>Organizer Laci</t>
        </is>
      </c>
      <c r="I991" s="10" t="n">
        <v>1</v>
      </c>
      <c r="J991" s="10" t="n">
        <v>78000</v>
      </c>
      <c r="K991" s="10" t="n">
        <v>78000</v>
      </c>
    </row>
    <row r="992">
      <c r="A992" s="10" t="inlineStr">
        <is>
          <t>INV-70604</t>
        </is>
      </c>
      <c r="B992" s="10" t="inlineStr">
        <is>
          <t>2025-04-21</t>
        </is>
      </c>
      <c r="C992" s="10" t="inlineStr">
        <is>
          <t>C1162</t>
        </is>
      </c>
      <c r="D992" s="10" t="inlineStr">
        <is>
          <t>regular</t>
        </is>
      </c>
      <c r="E992" s="10" t="inlineStr">
        <is>
          <t>SHOPEE</t>
        </is>
      </c>
      <c r="F992" s="10" t="inlineStr">
        <is>
          <t>Lainnya</t>
        </is>
      </c>
      <c r="G992" s="10" t="inlineStr">
        <is>
          <t>Elektronik</t>
        </is>
      </c>
      <c r="H992" s="10" t="inlineStr">
        <is>
          <t>Webcam HD</t>
        </is>
      </c>
      <c r="I992" s="10" t="n">
        <v>2</v>
      </c>
      <c r="J992" s="10" t="n">
        <v>210000</v>
      </c>
      <c r="K992" s="10" t="n">
        <v>420000</v>
      </c>
    </row>
    <row r="993">
      <c r="A993" s="10" t="inlineStr">
        <is>
          <t>INV-70108</t>
        </is>
      </c>
      <c r="B993" s="10" t="inlineStr">
        <is>
          <t>2025-09-01</t>
        </is>
      </c>
      <c r="C993" s="10" t="inlineStr">
        <is>
          <t>C1031</t>
        </is>
      </c>
      <c r="D993" s="10" t="inlineStr">
        <is>
          <t>regular</t>
        </is>
      </c>
      <c r="E993" s="10" t="inlineStr">
        <is>
          <t>Shopee</t>
        </is>
      </c>
      <c r="F993" s="10" t="inlineStr">
        <is>
          <t>Jawa Barat</t>
        </is>
      </c>
      <c r="G993" s="10" t="inlineStr">
        <is>
          <t>Elektronik</t>
        </is>
      </c>
      <c r="H993" s="10" t="inlineStr">
        <is>
          <t>Power Bank 20K</t>
        </is>
      </c>
      <c r="I993" s="10" t="n">
        <v>4</v>
      </c>
      <c r="J993" s="10" t="n">
        <v>185000</v>
      </c>
      <c r="K993" s="10" t="n">
        <v>740000</v>
      </c>
    </row>
    <row r="994">
      <c r="A994" s="10" t="inlineStr">
        <is>
          <t>INV-71194</t>
        </is>
      </c>
      <c r="B994" s="10" t="inlineStr">
        <is>
          <t>2025-11-11</t>
        </is>
      </c>
      <c r="C994" s="10" t="inlineStr">
        <is>
          <t>C1336</t>
        </is>
      </c>
      <c r="D994" s="10" t="inlineStr">
        <is>
          <t>regular</t>
        </is>
      </c>
      <c r="E994" s="10" t="inlineStr">
        <is>
          <t>offline store</t>
        </is>
      </c>
      <c r="F994" s="10" t="inlineStr">
        <is>
          <t>Jabodetabek</t>
        </is>
      </c>
      <c r="G994" s="10" t="inlineStr">
        <is>
          <t>Makanan</t>
        </is>
      </c>
      <c r="H994" s="10" t="inlineStr">
        <is>
          <t>Madu Hutan 250ml</t>
        </is>
      </c>
      <c r="I994" s="10" t="n">
        <v>1</v>
      </c>
      <c r="J994" s="10" t="n">
        <v>110000</v>
      </c>
      <c r="K994" s="10" t="n">
        <v>110000</v>
      </c>
    </row>
    <row r="995">
      <c r="A995" s="10" t="inlineStr">
        <is>
          <t>INV-70722</t>
        </is>
      </c>
      <c r="B995" s="10" t="inlineStr">
        <is>
          <t>07 Apr 2025</t>
        </is>
      </c>
      <c r="C995" s="10" t="inlineStr">
        <is>
          <t>C1200</t>
        </is>
      </c>
      <c r="D995" s="10" t="inlineStr">
        <is>
          <t>regular</t>
        </is>
      </c>
      <c r="E995" s="10" t="inlineStr">
        <is>
          <t>Tokopedia</t>
        </is>
      </c>
      <c r="F995" s="10" t="inlineStr">
        <is>
          <t>Jawa Barat</t>
        </is>
      </c>
      <c r="G995" s="10" t="inlineStr">
        <is>
          <t>Rumah Tangga</t>
        </is>
      </c>
      <c r="H995" s="10" t="inlineStr">
        <is>
          <t>Set Wadah Kedap</t>
        </is>
      </c>
      <c r="I995" s="10" t="n">
        <v>1</v>
      </c>
      <c r="J995" s="10" t="n">
        <v>135000</v>
      </c>
      <c r="K995" s="10" t="inlineStr">
        <is>
          <t>Rp 135.000</t>
        </is>
      </c>
    </row>
    <row r="996">
      <c r="A996" s="10" t="inlineStr">
        <is>
          <t>INV-71363</t>
        </is>
      </c>
      <c r="B996" s="10" t="inlineStr">
        <is>
          <t>2026-01-06</t>
        </is>
      </c>
      <c r="C996" s="10" t="inlineStr">
        <is>
          <t>C1377</t>
        </is>
      </c>
      <c r="D996" s="10" t="inlineStr">
        <is>
          <t>champion</t>
        </is>
      </c>
      <c r="E996" s="10" t="inlineStr">
        <is>
          <t>Shopee</t>
        </is>
      </c>
      <c r="F996" s="10" t="inlineStr">
        <is>
          <t>Sumatera</t>
        </is>
      </c>
      <c r="G996" s="10" t="inlineStr">
        <is>
          <t>Elektronik</t>
        </is>
      </c>
      <c r="H996" s="10" t="inlineStr">
        <is>
          <t>Earbuds TWS</t>
        </is>
      </c>
      <c r="I996" s="10" t="n">
        <v>2</v>
      </c>
      <c r="J996" s="10" t="n">
        <v>265000</v>
      </c>
      <c r="K996" s="10" t="n">
        <v>530000</v>
      </c>
    </row>
    <row r="997">
      <c r="A997" s="10" t="inlineStr">
        <is>
          <t>INV-71021</t>
        </is>
      </c>
      <c r="B997" s="10" t="inlineStr">
        <is>
          <t>2025-09-03</t>
        </is>
      </c>
      <c r="C997" s="10" t="inlineStr">
        <is>
          <t>C1290</t>
        </is>
      </c>
      <c r="D997" s="10" t="inlineStr">
        <is>
          <t>loyal</t>
        </is>
      </c>
      <c r="E997" s="10" t="inlineStr">
        <is>
          <t xml:space="preserve">Offline store </t>
        </is>
      </c>
      <c r="F997" s="10" t="inlineStr">
        <is>
          <t>Jawa Timur</t>
        </is>
      </c>
      <c r="G997" s="10" t="inlineStr">
        <is>
          <t>kecantikan</t>
        </is>
      </c>
      <c r="H997" s="10" t="inlineStr">
        <is>
          <t>Masker Wajah (5s)</t>
        </is>
      </c>
      <c r="I997" s="10" t="n">
        <v>1</v>
      </c>
      <c r="J997" s="10" t="n">
        <v>55000</v>
      </c>
      <c r="K997" s="10" t="n">
        <v>55000</v>
      </c>
    </row>
    <row r="998">
      <c r="A998" s="10" t="inlineStr">
        <is>
          <t>INV-71429</t>
        </is>
      </c>
      <c r="B998" s="10" t="inlineStr">
        <is>
          <t>2026-06-18</t>
        </is>
      </c>
      <c r="C998" s="10" t="inlineStr">
        <is>
          <t>C1394</t>
        </is>
      </c>
      <c r="D998" s="10" t="inlineStr">
        <is>
          <t>loyal</t>
        </is>
      </c>
      <c r="E998" s="10" t="inlineStr">
        <is>
          <t>Shopee</t>
        </is>
      </c>
      <c r="F998" s="10" t="inlineStr">
        <is>
          <t>Lainnya</t>
        </is>
      </c>
      <c r="G998" s="10" t="inlineStr">
        <is>
          <t>rumah tangga</t>
        </is>
      </c>
      <c r="H998" s="10" t="inlineStr">
        <is>
          <t>Set Wadah Kedap</t>
        </is>
      </c>
      <c r="I998" s="10" t="n">
        <v>2</v>
      </c>
      <c r="J998" s="10" t="n">
        <v>135000</v>
      </c>
      <c r="K998" s="10" t="n">
        <v>270000</v>
      </c>
    </row>
    <row r="999">
      <c r="A999" s="10" t="inlineStr">
        <is>
          <t>INV-71056</t>
        </is>
      </c>
      <c r="B999" s="10" t="inlineStr">
        <is>
          <t>27/10/2025</t>
        </is>
      </c>
      <c r="C999" s="10" t="inlineStr">
        <is>
          <t>C1299</t>
        </is>
      </c>
      <c r="D999" s="10" t="inlineStr">
        <is>
          <t>occasional</t>
        </is>
      </c>
      <c r="E999" s="10" t="inlineStr">
        <is>
          <t>Tokopedia</t>
        </is>
      </c>
      <c r="F999" s="10" t="inlineStr">
        <is>
          <t>Jawa Tengah</t>
        </is>
      </c>
      <c r="G999" s="10" t="inlineStr">
        <is>
          <t>Rumah Tangga</t>
        </is>
      </c>
      <c r="H999" s="10" t="inlineStr">
        <is>
          <t>Set Wadah Kedap</t>
        </is>
      </c>
      <c r="I999" s="10" t="n">
        <v>2</v>
      </c>
      <c r="J999" s="10" t="n">
        <v>135000</v>
      </c>
      <c r="K999" s="10" t="n">
        <v>270000</v>
      </c>
    </row>
    <row r="1000">
      <c r="A1000" s="10" t="inlineStr">
        <is>
          <t>INV-70115</t>
        </is>
      </c>
      <c r="B1000" s="10" t="inlineStr">
        <is>
          <t>2025-08-06</t>
        </is>
      </c>
      <c r="C1000" s="10" t="inlineStr">
        <is>
          <t>C1035</t>
        </is>
      </c>
      <c r="D1000" s="10" t="inlineStr">
        <is>
          <t>onetime</t>
        </is>
      </c>
      <c r="E1000" s="10" t="inlineStr">
        <is>
          <t>TikTok Shop</t>
        </is>
      </c>
      <c r="F1000" s="10" t="inlineStr">
        <is>
          <t>Jabodetabek</t>
        </is>
      </c>
      <c r="G1000" s="10" t="inlineStr">
        <is>
          <t>Elektronik</t>
        </is>
      </c>
      <c r="H1000" s="10" t="inlineStr">
        <is>
          <t>Power Bank 20K</t>
        </is>
      </c>
      <c r="I1000" s="10" t="n">
        <v>1</v>
      </c>
      <c r="J1000" s="10" t="n">
        <v>185000</v>
      </c>
      <c r="K1000" s="10" t="n">
        <v>185000</v>
      </c>
    </row>
    <row r="1001">
      <c r="A1001" s="10" t="inlineStr">
        <is>
          <t>INV-70262</t>
        </is>
      </c>
      <c r="B1001" s="10" t="inlineStr">
        <is>
          <t>2025-06-25</t>
        </is>
      </c>
      <c r="C1001" s="10" t="inlineStr">
        <is>
          <t>C1074</t>
        </is>
      </c>
      <c r="D1001" s="10" t="inlineStr">
        <is>
          <t>regular</t>
        </is>
      </c>
      <c r="E1001" s="10" t="inlineStr">
        <is>
          <t>tiktok shop</t>
        </is>
      </c>
      <c r="F1001" s="10" t="inlineStr">
        <is>
          <t>Jabodetabek</t>
        </is>
      </c>
      <c r="G1001" s="10" t="inlineStr">
        <is>
          <t>Elektronik</t>
        </is>
      </c>
      <c r="H1001" s="10" t="inlineStr">
        <is>
          <t>Webcam HD</t>
        </is>
      </c>
      <c r="I1001" s="10" t="n">
        <v>4</v>
      </c>
      <c r="J1001" s="10" t="n">
        <v>210000</v>
      </c>
      <c r="K1001" s="10" t="n">
        <v>840000</v>
      </c>
    </row>
    <row r="1002">
      <c r="A1002" s="10" t="inlineStr">
        <is>
          <t>INV-70438</t>
        </is>
      </c>
      <c r="B1002" s="10" t="inlineStr">
        <is>
          <t>15 Apr 2026</t>
        </is>
      </c>
      <c r="C1002" s="10" t="inlineStr">
        <is>
          <t>C1123</t>
        </is>
      </c>
      <c r="D1002" s="10" t="inlineStr">
        <is>
          <t>regular</t>
        </is>
      </c>
      <c r="E1002" s="10" t="inlineStr">
        <is>
          <t>Tokopedia</t>
        </is>
      </c>
      <c r="F1002" s="10" t="inlineStr">
        <is>
          <t>Jabodetabek</t>
        </is>
      </c>
      <c r="G1002" s="10" t="inlineStr">
        <is>
          <t>Rumah Tangga</t>
        </is>
      </c>
      <c r="H1002" s="10" t="inlineStr">
        <is>
          <t>Set Wadah Kedap</t>
        </is>
      </c>
      <c r="I1002" s="10" t="n">
        <v>1</v>
      </c>
      <c r="J1002" s="10" t="n">
        <v>135000</v>
      </c>
      <c r="K1002" s="10" t="n">
        <v>135000</v>
      </c>
    </row>
    <row r="1003">
      <c r="A1003" s="10" t="inlineStr">
        <is>
          <t>INV-71436</t>
        </is>
      </c>
      <c r="B1003" s="10" t="inlineStr">
        <is>
          <t>16/09/2025</t>
        </is>
      </c>
      <c r="C1003" s="10" t="inlineStr">
        <is>
          <t>C1396</t>
        </is>
      </c>
      <c r="D1003" s="10" t="inlineStr">
        <is>
          <t>loyal</t>
        </is>
      </c>
      <c r="E1003" s="10" t="inlineStr">
        <is>
          <t>Shopee</t>
        </is>
      </c>
      <c r="F1003" s="10" t="inlineStr">
        <is>
          <t>Jawa Barat</t>
        </is>
      </c>
      <c r="G1003" s="10" t="inlineStr">
        <is>
          <t>Rumah Tangga</t>
        </is>
      </c>
      <c r="H1003" s="10" t="inlineStr">
        <is>
          <t>Set Wadah Kedap</t>
        </is>
      </c>
      <c r="I1003" s="10" t="n">
        <v>2</v>
      </c>
      <c r="J1003" s="10" t="n">
        <v>135000</v>
      </c>
      <c r="K1003" s="10" t="n">
        <v>270000</v>
      </c>
    </row>
    <row r="1004">
      <c r="A1004" s="10" t="inlineStr">
        <is>
          <t>INV-71079</t>
        </is>
      </c>
      <c r="B1004" s="10" t="inlineStr">
        <is>
          <t>05/01/2025</t>
        </is>
      </c>
      <c r="C1004" s="10" t="inlineStr">
        <is>
          <t>C1303</t>
        </is>
      </c>
      <c r="D1004" s="10" t="inlineStr">
        <is>
          <t>onetime</t>
        </is>
      </c>
      <c r="E1004" s="10" t="inlineStr">
        <is>
          <t>Shopee</t>
        </is>
      </c>
      <c r="F1004" s="10" t="inlineStr">
        <is>
          <t>Sumatera</t>
        </is>
      </c>
      <c r="G1004" s="10" t="inlineStr">
        <is>
          <t>Rumah Tangga</t>
        </is>
      </c>
      <c r="H1004" s="10" t="inlineStr">
        <is>
          <t>Set Wadah Kedap</t>
        </is>
      </c>
      <c r="I1004" s="10" t="n">
        <v>1</v>
      </c>
      <c r="J1004" s="10" t="n">
        <v>135000</v>
      </c>
      <c r="K1004" s="10" t="n">
        <v>135000</v>
      </c>
    </row>
    <row r="1005">
      <c r="A1005" s="10" t="inlineStr">
        <is>
          <t>INV-70551</t>
        </is>
      </c>
      <c r="B1005" s="10" t="inlineStr">
        <is>
          <t>2025-12-02</t>
        </is>
      </c>
      <c r="C1005" s="10" t="inlineStr">
        <is>
          <t>C1151</t>
        </is>
      </c>
      <c r="D1005" s="10" t="inlineStr">
        <is>
          <t>regular</t>
        </is>
      </c>
      <c r="E1005" s="10" t="inlineStr">
        <is>
          <t>shopee</t>
        </is>
      </c>
      <c r="F1005" s="10" t="inlineStr">
        <is>
          <t>Jawa Timur</t>
        </is>
      </c>
      <c r="G1005" s="10" t="inlineStr">
        <is>
          <t>Elektronik</t>
        </is>
      </c>
      <c r="H1005" s="10" t="inlineStr">
        <is>
          <t>Earbuds TWS</t>
        </is>
      </c>
      <c r="I1005" s="10" t="n">
        <v>4</v>
      </c>
      <c r="J1005" s="10" t="n">
        <v>265000</v>
      </c>
      <c r="K1005" s="10" t="n">
        <v>1060000</v>
      </c>
    </row>
    <row r="1006">
      <c r="A1006" s="10" t="inlineStr">
        <is>
          <t>INV-71464</t>
        </is>
      </c>
      <c r="B1006" s="10" t="inlineStr">
        <is>
          <t>2025-08-24</t>
        </is>
      </c>
      <c r="C1006" s="10" t="inlineStr">
        <is>
          <t>C1404</t>
        </is>
      </c>
      <c r="D1006" s="10" t="inlineStr">
        <is>
          <t>loyal</t>
        </is>
      </c>
      <c r="E1006" s="10" t="inlineStr">
        <is>
          <t xml:space="preserve">Shopee </t>
        </is>
      </c>
      <c r="F1006" s="10" t="inlineStr">
        <is>
          <t>Lainnya</t>
        </is>
      </c>
      <c r="G1006" s="10" t="inlineStr">
        <is>
          <t>Elektronik</t>
        </is>
      </c>
      <c r="H1006" s="10" t="inlineStr">
        <is>
          <t>Webcam HD</t>
        </is>
      </c>
      <c r="I1006" s="10" t="n">
        <v>4</v>
      </c>
      <c r="J1006" s="10" t="n">
        <v>210000</v>
      </c>
      <c r="K1006" s="10" t="n">
        <v>840000</v>
      </c>
    </row>
    <row r="1007">
      <c r="A1007" s="10" t="inlineStr">
        <is>
          <t>INV-70887</t>
        </is>
      </c>
      <c r="B1007" s="10" t="inlineStr">
        <is>
          <t>2025-03-08</t>
        </is>
      </c>
      <c r="C1007" s="10" t="inlineStr">
        <is>
          <t>C1249</t>
        </is>
      </c>
      <c r="D1007" s="10" t="inlineStr">
        <is>
          <t>regular</t>
        </is>
      </c>
      <c r="E1007" s="10" t="inlineStr">
        <is>
          <t xml:space="preserve"> tokopedia</t>
        </is>
      </c>
      <c r="F1007" s="10" t="inlineStr">
        <is>
          <t>Jabodetabek</t>
        </is>
      </c>
      <c r="G1007" s="10" t="inlineStr">
        <is>
          <t>rumah tangga</t>
        </is>
      </c>
      <c r="H1007" s="10" t="inlineStr">
        <is>
          <t>Set Wadah Kedap</t>
        </is>
      </c>
      <c r="I1007" s="10" t="n">
        <v>2</v>
      </c>
      <c r="J1007" s="10" t="n">
        <v>135000</v>
      </c>
      <c r="K1007" s="10" t="n">
        <v>270000</v>
      </c>
    </row>
    <row r="1008">
      <c r="A1008" s="10" t="inlineStr">
        <is>
          <t>INV-70590</t>
        </is>
      </c>
      <c r="B1008" s="10" t="inlineStr">
        <is>
          <t>09 May 2025</t>
        </is>
      </c>
      <c r="C1008" s="10" t="inlineStr">
        <is>
          <t>C1160</t>
        </is>
      </c>
      <c r="D1008" s="10" t="inlineStr">
        <is>
          <t>occasional</t>
        </is>
      </c>
      <c r="E1008" s="10" t="inlineStr">
        <is>
          <t>shopee</t>
        </is>
      </c>
      <c r="F1008" s="10" t="inlineStr">
        <is>
          <t>Jawa Barat</t>
        </is>
      </c>
      <c r="G1008" s="10" t="inlineStr">
        <is>
          <t>Rumah Tangga</t>
        </is>
      </c>
      <c r="H1008" s="10" t="inlineStr">
        <is>
          <t>Set Wadah Kedap</t>
        </is>
      </c>
      <c r="I1008" s="10" t="n">
        <v>1</v>
      </c>
      <c r="J1008" s="10" t="n">
        <v>135000</v>
      </c>
      <c r="K1008" s="10" t="inlineStr">
        <is>
          <t>Rp 135.000</t>
        </is>
      </c>
    </row>
    <row r="1009">
      <c r="A1009" s="10" t="inlineStr">
        <is>
          <t>INV-70164</t>
        </is>
      </c>
      <c r="B1009" s="10" t="inlineStr">
        <is>
          <t>2025-05-19</t>
        </is>
      </c>
      <c r="C1009" s="10" t="inlineStr">
        <is>
          <t>C1049</t>
        </is>
      </c>
      <c r="D1009" s="10" t="inlineStr">
        <is>
          <t>champion</t>
        </is>
      </c>
      <c r="E1009" s="10" t="inlineStr">
        <is>
          <t>Shopee</t>
        </is>
      </c>
      <c r="F1009" s="10" t="inlineStr">
        <is>
          <t>Jawa Timur</t>
        </is>
      </c>
      <c r="G1009" s="10" t="inlineStr">
        <is>
          <t>Makanan</t>
        </is>
      </c>
      <c r="H1009" s="10" t="inlineStr">
        <is>
          <t>Granola 500g</t>
        </is>
      </c>
      <c r="I1009" s="10" t="n">
        <v>1</v>
      </c>
      <c r="J1009" s="10" t="n">
        <v>92000</v>
      </c>
      <c r="K1009" s="10" t="n">
        <v>92000</v>
      </c>
    </row>
    <row r="1010">
      <c r="A1010" s="10" t="inlineStr">
        <is>
          <t>INV-71525</t>
        </is>
      </c>
      <c r="B1010" s="10" t="inlineStr">
        <is>
          <t>2026-04-17</t>
        </is>
      </c>
      <c r="C1010" s="10" t="inlineStr">
        <is>
          <t>C1419</t>
        </is>
      </c>
      <c r="D1010" s="10" t="inlineStr">
        <is>
          <t>loyal</t>
        </is>
      </c>
      <c r="E1010" s="10" t="inlineStr">
        <is>
          <t xml:space="preserve">Tokopedia </t>
        </is>
      </c>
      <c r="F1010" s="10" t="inlineStr">
        <is>
          <t>Sumatera</t>
        </is>
      </c>
      <c r="G1010" s="10" t="inlineStr">
        <is>
          <t>Makanan</t>
        </is>
      </c>
      <c r="H1010" s="10" t="inlineStr">
        <is>
          <t>Granola 500g</t>
        </is>
      </c>
      <c r="I1010" s="10" t="n">
        <v>3</v>
      </c>
      <c r="J1010" s="10" t="n">
        <v>92000</v>
      </c>
      <c r="K1010" s="10" t="n">
        <v>276000</v>
      </c>
    </row>
    <row r="1011">
      <c r="A1011" s="10" t="inlineStr">
        <is>
          <t>INV-71100</t>
        </is>
      </c>
      <c r="B1011" s="10" t="inlineStr">
        <is>
          <t>2025-06-03</t>
        </is>
      </c>
      <c r="C1011" s="10" t="inlineStr">
        <is>
          <t>C1309</t>
        </is>
      </c>
      <c r="D1011" s="10" t="inlineStr">
        <is>
          <t>regular</t>
        </is>
      </c>
      <c r="E1011" s="10" t="inlineStr">
        <is>
          <t>TikTok Shop</t>
        </is>
      </c>
      <c r="F1011" s="10" t="inlineStr">
        <is>
          <t>Jawa Barat</t>
        </is>
      </c>
      <c r="G1011" s="10" t="inlineStr">
        <is>
          <t>Fashion</t>
        </is>
      </c>
      <c r="H1011" s="10" t="inlineStr">
        <is>
          <t>Dress Casual</t>
        </is>
      </c>
      <c r="I1011" s="10" t="n">
        <v>1</v>
      </c>
      <c r="J1011" s="10" t="n">
        <v>225000</v>
      </c>
      <c r="K1011" s="10" t="inlineStr">
        <is>
          <t>Rp 225.000</t>
        </is>
      </c>
    </row>
    <row r="1012">
      <c r="A1012" s="10" t="inlineStr">
        <is>
          <t>INV-70466</t>
        </is>
      </c>
      <c r="B1012" s="10" t="inlineStr">
        <is>
          <t>16 Apr 2026</t>
        </is>
      </c>
      <c r="C1012" s="10" t="inlineStr">
        <is>
          <t>C1133</t>
        </is>
      </c>
      <c r="D1012" s="10" t="inlineStr">
        <is>
          <t>regular</t>
        </is>
      </c>
      <c r="E1012" s="10" t="inlineStr">
        <is>
          <t>TikTok Shop</t>
        </is>
      </c>
      <c r="F1012" s="10" t="inlineStr">
        <is>
          <t>Lainnya</t>
        </is>
      </c>
      <c r="G1012" s="10" t="inlineStr">
        <is>
          <t>Rumah Tangga</t>
        </is>
      </c>
      <c r="H1012" s="10" t="inlineStr">
        <is>
          <t>Set Wadah Kedap</t>
        </is>
      </c>
      <c r="I1012" s="10" t="n">
        <v>1</v>
      </c>
      <c r="J1012" s="10" t="n">
        <v>135000</v>
      </c>
      <c r="K1012" s="10" t="n">
        <v>135000</v>
      </c>
    </row>
    <row r="1013">
      <c r="A1013" s="10" t="inlineStr">
        <is>
          <t>INV-70354</t>
        </is>
      </c>
      <c r="B1013" s="10" t="inlineStr">
        <is>
          <t>25 Dec 2025</t>
        </is>
      </c>
      <c r="C1013" s="10" t="inlineStr">
        <is>
          <t>C1096</t>
        </is>
      </c>
      <c r="D1013" s="10" t="inlineStr">
        <is>
          <t>occasional</t>
        </is>
      </c>
      <c r="E1013" s="10" t="inlineStr">
        <is>
          <t>Offline Store</t>
        </is>
      </c>
      <c r="F1013" s="10" t="inlineStr">
        <is>
          <t>Jabodetabek</t>
        </is>
      </c>
      <c r="G1013" s="10" t="inlineStr">
        <is>
          <t>Kecantikan</t>
        </is>
      </c>
      <c r="H1013" s="10" t="inlineStr">
        <is>
          <t>Masker Wajah (5s)</t>
        </is>
      </c>
      <c r="I1013" s="10" t="n">
        <v>2</v>
      </c>
      <c r="J1013" s="10" t="n">
        <v>55000</v>
      </c>
      <c r="K1013" s="10" t="n">
        <v>110000</v>
      </c>
    </row>
    <row r="1014">
      <c r="A1014" s="10" t="inlineStr">
        <is>
          <t>INV-70423</t>
        </is>
      </c>
      <c r="B1014" s="10" t="inlineStr">
        <is>
          <t>2026-04-06</t>
        </is>
      </c>
      <c r="C1014" s="10" t="inlineStr">
        <is>
          <t>C1119</t>
        </is>
      </c>
      <c r="D1014" s="10" t="inlineStr">
        <is>
          <t>regular</t>
        </is>
      </c>
      <c r="E1014" s="10" t="inlineStr">
        <is>
          <t>TikTok Shop</t>
        </is>
      </c>
      <c r="F1014" s="10" t="inlineStr">
        <is>
          <t>Lainnya</t>
        </is>
      </c>
      <c r="G1014" s="10" t="inlineStr">
        <is>
          <t>Rumah Tangga</t>
        </is>
      </c>
      <c r="H1014" s="10" t="inlineStr">
        <is>
          <t>Set Wadah Kedap</t>
        </is>
      </c>
      <c r="I1014" s="10" t="n">
        <v>4</v>
      </c>
      <c r="J1014" s="10" t="n">
        <v>135000</v>
      </c>
      <c r="K1014" s="10" t="n">
        <v>540000</v>
      </c>
    </row>
    <row r="1015">
      <c r="A1015" s="10" t="inlineStr">
        <is>
          <t>INV-71127</t>
        </is>
      </c>
      <c r="B1015" s="10" t="inlineStr">
        <is>
          <t>2025-10-09</t>
        </is>
      </c>
      <c r="C1015" s="10" t="inlineStr">
        <is>
          <t>C1318</t>
        </is>
      </c>
      <c r="D1015" s="10" t="inlineStr">
        <is>
          <t>occasional</t>
        </is>
      </c>
      <c r="E1015" s="10" t="inlineStr">
        <is>
          <t>Tiktok Shop</t>
        </is>
      </c>
      <c r="F1015" s="10" t="inlineStr">
        <is>
          <t>Jawa Timur</t>
        </is>
      </c>
      <c r="G1015" s="10" t="inlineStr">
        <is>
          <t>Elektronik</t>
        </is>
      </c>
      <c r="H1015" s="10" t="inlineStr">
        <is>
          <t>Power Bank 20K</t>
        </is>
      </c>
      <c r="I1015" s="10" t="n">
        <v>2</v>
      </c>
      <c r="J1015" s="10" t="n">
        <v>185000</v>
      </c>
      <c r="K1015" s="10" t="n">
        <v>370000</v>
      </c>
    </row>
    <row r="1016">
      <c r="A1016" s="10" t="inlineStr">
        <is>
          <t>INV-70888</t>
        </is>
      </c>
      <c r="B1016" s="10" t="inlineStr">
        <is>
          <t>2026-05-04</t>
        </is>
      </c>
      <c r="C1016" s="10" t="inlineStr">
        <is>
          <t>C1249</t>
        </is>
      </c>
      <c r="D1016" s="10" t="inlineStr">
        <is>
          <t>regular</t>
        </is>
      </c>
      <c r="E1016" s="10" t="inlineStr">
        <is>
          <t>Offline Store</t>
        </is>
      </c>
      <c r="F1016" s="10" t="inlineStr">
        <is>
          <t>Jabodetabek</t>
        </is>
      </c>
      <c r="G1016" s="10" t="inlineStr">
        <is>
          <t>Rumah Tangga</t>
        </is>
      </c>
      <c r="H1016" s="10" t="inlineStr">
        <is>
          <t>Set Wadah Kedap</t>
        </is>
      </c>
      <c r="I1016" s="10" t="n">
        <v>4</v>
      </c>
      <c r="J1016" s="10" t="n">
        <v>135000</v>
      </c>
      <c r="K1016" s="10" t="n">
        <v>540000</v>
      </c>
    </row>
    <row r="1017">
      <c r="A1017" s="10" t="inlineStr">
        <is>
          <t>INV-71168</t>
        </is>
      </c>
      <c r="B1017" s="10" t="inlineStr">
        <is>
          <t>2026-01-15</t>
        </is>
      </c>
      <c r="C1017" s="10" t="inlineStr">
        <is>
          <t>C1330</t>
        </is>
      </c>
      <c r="D1017" s="10" t="inlineStr">
        <is>
          <t>regular</t>
        </is>
      </c>
      <c r="E1017" s="10" t="inlineStr">
        <is>
          <t xml:space="preserve">Shopee </t>
        </is>
      </c>
      <c r="F1017" s="10" t="inlineStr">
        <is>
          <t>Sumatera</t>
        </is>
      </c>
      <c r="G1017" s="10" t="inlineStr">
        <is>
          <t>Rumah Tangga</t>
        </is>
      </c>
      <c r="H1017" s="10" t="inlineStr">
        <is>
          <t>Set Wadah Kedap</t>
        </is>
      </c>
      <c r="I1017" s="10" t="n">
        <v>1</v>
      </c>
      <c r="J1017" s="10" t="n">
        <v>135000</v>
      </c>
      <c r="K1017" s="10" t="n">
        <v>135000</v>
      </c>
    </row>
    <row r="1018">
      <c r="A1018" s="10" t="inlineStr">
        <is>
          <t>INV-70481</t>
        </is>
      </c>
      <c r="B1018" s="10" t="inlineStr">
        <is>
          <t>20 Mar 2026</t>
        </is>
      </c>
      <c r="C1018" s="10" t="inlineStr">
        <is>
          <t>C1138</t>
        </is>
      </c>
      <c r="D1018" s="10" t="inlineStr">
        <is>
          <t>regular</t>
        </is>
      </c>
      <c r="E1018" s="10" t="inlineStr">
        <is>
          <t xml:space="preserve">Tokopedia </t>
        </is>
      </c>
      <c r="F1018" s="10" t="inlineStr">
        <is>
          <t>Jabodetabek</t>
        </is>
      </c>
      <c r="G1018" s="10" t="inlineStr">
        <is>
          <t>Elektronik</t>
        </is>
      </c>
      <c r="H1018" s="10" t="inlineStr">
        <is>
          <t>Smartwatch</t>
        </is>
      </c>
      <c r="I1018" s="10" t="n">
        <v>1</v>
      </c>
      <c r="J1018" s="10" t="n">
        <v>450000</v>
      </c>
      <c r="K1018" s="10" t="n">
        <v>450000</v>
      </c>
    </row>
    <row r="1019">
      <c r="A1019" s="10" t="inlineStr">
        <is>
          <t>INV-70020</t>
        </is>
      </c>
      <c r="B1019" s="10" t="inlineStr">
        <is>
          <t>2025-11-10</t>
        </is>
      </c>
      <c r="C1019" s="10" t="inlineStr">
        <is>
          <t>C1003</t>
        </is>
      </c>
      <c r="D1019" s="10" t="inlineStr">
        <is>
          <t>regular</t>
        </is>
      </c>
      <c r="E1019" s="10" t="inlineStr">
        <is>
          <t xml:space="preserve">Tokopedia </t>
        </is>
      </c>
      <c r="F1019" s="10" t="inlineStr">
        <is>
          <t>Jawa Barat</t>
        </is>
      </c>
      <c r="G1019" s="10" t="inlineStr">
        <is>
          <t>Kecantikan</t>
        </is>
      </c>
      <c r="H1019" s="10" t="inlineStr">
        <is>
          <t>Masker Wajah (5s)</t>
        </is>
      </c>
      <c r="I1019" s="10" t="n">
        <v>4</v>
      </c>
      <c r="J1019" s="10" t="n">
        <v>55000</v>
      </c>
      <c r="K1019" s="10" t="n">
        <v>220000</v>
      </c>
    </row>
    <row r="1020">
      <c r="A1020" s="10" t="inlineStr">
        <is>
          <t>INV-70329</t>
        </is>
      </c>
      <c r="B1020" s="10" t="inlineStr">
        <is>
          <t>2025-08-02</t>
        </is>
      </c>
      <c r="C1020" s="10" t="inlineStr">
        <is>
          <t>C1090</t>
        </is>
      </c>
      <c r="D1020" s="10" t="inlineStr">
        <is>
          <t>champion</t>
        </is>
      </c>
      <c r="E1020" s="10" t="inlineStr">
        <is>
          <t xml:space="preserve"> tokopedia</t>
        </is>
      </c>
      <c r="F1020" s="10" t="inlineStr">
        <is>
          <t>Jabodetabek</t>
        </is>
      </c>
      <c r="G1020" s="10" t="inlineStr">
        <is>
          <t>Fashion</t>
        </is>
      </c>
      <c r="H1020" s="10" t="inlineStr">
        <is>
          <t>Celana Chino</t>
        </is>
      </c>
      <c r="I1020" s="10" t="n">
        <v>2</v>
      </c>
      <c r="J1020" s="10" t="n">
        <v>195000</v>
      </c>
      <c r="K1020" s="10" t="inlineStr">
        <is>
          <t>Rp 390.000</t>
        </is>
      </c>
    </row>
    <row r="1021">
      <c r="A1021" s="10" t="inlineStr">
        <is>
          <t>INV-70427</t>
        </is>
      </c>
      <c r="B1021" s="10" t="inlineStr">
        <is>
          <t>2026-03-14</t>
        </is>
      </c>
      <c r="C1021" s="10" t="inlineStr">
        <is>
          <t>C1121</t>
        </is>
      </c>
      <c r="D1021" s="10" t="inlineStr">
        <is>
          <t>onetime</t>
        </is>
      </c>
      <c r="E1021" s="10" t="inlineStr">
        <is>
          <t>TikTok Shop</t>
        </is>
      </c>
      <c r="F1021" s="10" t="inlineStr">
        <is>
          <t>Jawa Barat</t>
        </is>
      </c>
      <c r="G1021" s="10" t="inlineStr">
        <is>
          <t>rumah tangga</t>
        </is>
      </c>
      <c r="H1021" s="10" t="inlineStr">
        <is>
          <t>Set Wadah Kedap</t>
        </is>
      </c>
      <c r="I1021" s="10" t="n">
        <v>2</v>
      </c>
      <c r="J1021" s="10" t="n">
        <v>135000</v>
      </c>
      <c r="K1021" s="10" t="inlineStr">
        <is>
          <t>Rp 270.000</t>
        </is>
      </c>
    </row>
    <row r="1022">
      <c r="A1022" s="10" t="inlineStr">
        <is>
          <t>INV-71499</t>
        </is>
      </c>
      <c r="B1022" s="10" t="inlineStr">
        <is>
          <t>11 Feb 2026</t>
        </is>
      </c>
      <c r="C1022" s="10" t="inlineStr">
        <is>
          <t>C1412</t>
        </is>
      </c>
      <c r="D1022" s="10" t="inlineStr">
        <is>
          <t>champion</t>
        </is>
      </c>
      <c r="E1022" s="10" t="inlineStr">
        <is>
          <t>Shopee</t>
        </is>
      </c>
      <c r="F1022" s="10" t="inlineStr">
        <is>
          <t>Jawa Barat</t>
        </is>
      </c>
      <c r="G1022" s="10" t="inlineStr">
        <is>
          <t>Rumah Tangga</t>
        </is>
      </c>
      <c r="H1022" s="10" t="inlineStr">
        <is>
          <t>Set Wadah Kedap</t>
        </is>
      </c>
      <c r="I1022" s="10" t="n">
        <v>1</v>
      </c>
      <c r="J1022" s="10" t="n">
        <v>135000</v>
      </c>
      <c r="K1022" s="10" t="n">
        <v>135000</v>
      </c>
    </row>
    <row r="1023">
      <c r="A1023" s="10" t="inlineStr">
        <is>
          <t>INV-71262</t>
        </is>
      </c>
      <c r="B1023" s="10" t="inlineStr">
        <is>
          <t>2025-03-22</t>
        </is>
      </c>
      <c r="C1023" s="10" t="inlineStr">
        <is>
          <t>C1358</t>
        </is>
      </c>
      <c r="D1023" s="10" t="inlineStr">
        <is>
          <t>champion</t>
        </is>
      </c>
      <c r="E1023" s="10" t="inlineStr">
        <is>
          <t>Tokopedia</t>
        </is>
      </c>
      <c r="F1023" s="10" t="inlineStr">
        <is>
          <t>Sumatera</t>
        </is>
      </c>
      <c r="G1023" s="10" t="inlineStr">
        <is>
          <t>kecantikan</t>
        </is>
      </c>
      <c r="H1023" s="10" t="inlineStr">
        <is>
          <t>Toner Glow</t>
        </is>
      </c>
      <c r="I1023" s="10" t="n">
        <v>2</v>
      </c>
      <c r="J1023" s="10" t="n">
        <v>88000</v>
      </c>
      <c r="K1023" s="10" t="n">
        <v>176000</v>
      </c>
    </row>
    <row r="1024">
      <c r="A1024" s="10" t="inlineStr">
        <is>
          <t>INV-70008</t>
        </is>
      </c>
      <c r="B1024" s="10" t="inlineStr">
        <is>
          <t>2025-10-25</t>
        </is>
      </c>
      <c r="C1024" s="10" t="inlineStr">
        <is>
          <t>C1002</t>
        </is>
      </c>
      <c r="D1024" s="10" t="inlineStr">
        <is>
          <t>loyal</t>
        </is>
      </c>
      <c r="E1024" s="10" t="inlineStr">
        <is>
          <t>offline store</t>
        </is>
      </c>
      <c r="F1024" s="10" t="inlineStr">
        <is>
          <t>Sumatera</t>
        </is>
      </c>
      <c r="G1024" s="10" t="inlineStr">
        <is>
          <t>Kecantikan</t>
        </is>
      </c>
      <c r="H1024" s="10" t="inlineStr">
        <is>
          <t>Lip Tint</t>
        </is>
      </c>
      <c r="I1024" s="10" t="n">
        <v>1</v>
      </c>
      <c r="J1024" s="10" t="n">
        <v>65000</v>
      </c>
      <c r="K1024" s="10" t="n">
        <v>65000</v>
      </c>
    </row>
    <row r="1025">
      <c r="A1025" s="10" t="inlineStr">
        <is>
          <t>INV-70282</t>
        </is>
      </c>
      <c r="B1025" s="10" t="inlineStr">
        <is>
          <t>2025-11-01</t>
        </is>
      </c>
      <c r="C1025" s="10" t="inlineStr">
        <is>
          <t>C1079</t>
        </is>
      </c>
      <c r="D1025" s="10" t="inlineStr">
        <is>
          <t>regular</t>
        </is>
      </c>
      <c r="E1025" s="10" t="inlineStr">
        <is>
          <t>Offline Store</t>
        </is>
      </c>
      <c r="F1025" s="10" t="inlineStr">
        <is>
          <t>Jabodetabek</t>
        </is>
      </c>
      <c r="G1025" s="10" t="inlineStr">
        <is>
          <t>Elektronik</t>
        </is>
      </c>
      <c r="H1025" s="10" t="inlineStr">
        <is>
          <t>Earbuds TWS</t>
        </is>
      </c>
      <c r="I1025" s="10" t="n">
        <v>4</v>
      </c>
      <c r="J1025" s="10" t="n">
        <v>265000</v>
      </c>
      <c r="K1025" s="10" t="n">
        <v>1060000</v>
      </c>
    </row>
    <row r="1026">
      <c r="A1026" s="10" t="inlineStr">
        <is>
          <t>INV-70183</t>
        </is>
      </c>
      <c r="B1026" s="10" t="inlineStr">
        <is>
          <t>2025-06-04</t>
        </is>
      </c>
      <c r="C1026" s="10" t="inlineStr">
        <is>
          <t>C1052</t>
        </is>
      </c>
      <c r="D1026" s="10" t="inlineStr">
        <is>
          <t>regular</t>
        </is>
      </c>
      <c r="E1026" s="10" t="inlineStr">
        <is>
          <t>Shopee</t>
        </is>
      </c>
      <c r="F1026" s="10" t="inlineStr">
        <is>
          <t>Jabodetabek</t>
        </is>
      </c>
      <c r="G1026" s="10" t="inlineStr">
        <is>
          <t>Rumah Tangga</t>
        </is>
      </c>
      <c r="H1026" s="10" t="inlineStr">
        <is>
          <t>Set Wadah Kedap</t>
        </is>
      </c>
      <c r="I1026" s="10" t="n">
        <v>1</v>
      </c>
      <c r="J1026" s="10" t="n">
        <v>135000</v>
      </c>
      <c r="K1026" s="10" t="n">
        <v>135000</v>
      </c>
    </row>
    <row r="1027">
      <c r="A1027" s="10" t="inlineStr">
        <is>
          <t>INV-71417</t>
        </is>
      </c>
      <c r="B1027" s="10" t="inlineStr">
        <is>
          <t>2026-01-22</t>
        </is>
      </c>
      <c r="C1027" s="10" t="inlineStr">
        <is>
          <t>C1392</t>
        </is>
      </c>
      <c r="D1027" s="10" t="inlineStr">
        <is>
          <t>loyal</t>
        </is>
      </c>
      <c r="E1027" s="10" t="inlineStr">
        <is>
          <t>Offline Store</t>
        </is>
      </c>
      <c r="F1027" s="10" t="inlineStr">
        <is>
          <t>Jawa Tengah</t>
        </is>
      </c>
      <c r="G1027" s="10" t="inlineStr">
        <is>
          <t>Rumah Tangga</t>
        </is>
      </c>
      <c r="H1027" s="10" t="inlineStr">
        <is>
          <t>Organizer Laci</t>
        </is>
      </c>
      <c r="I1027" s="10" t="n">
        <v>2</v>
      </c>
      <c r="J1027" s="10" t="n">
        <v>78000</v>
      </c>
      <c r="K1027" s="10" t="n">
        <v>156000</v>
      </c>
    </row>
    <row r="1028">
      <c r="A1028" s="10" t="inlineStr">
        <is>
          <t>INV-70970</t>
        </is>
      </c>
      <c r="B1028" s="10" t="inlineStr">
        <is>
          <t>2025-09-19</t>
        </is>
      </c>
      <c r="C1028" s="10" t="inlineStr">
        <is>
          <t>C1278</t>
        </is>
      </c>
      <c r="D1028" s="10" t="inlineStr">
        <is>
          <t>occasional</t>
        </is>
      </c>
      <c r="E1028" s="10" t="inlineStr">
        <is>
          <t>Shopee</t>
        </is>
      </c>
      <c r="F1028" s="10" t="inlineStr">
        <is>
          <t>Jawa Timur</t>
        </is>
      </c>
      <c r="G1028" s="10" t="inlineStr">
        <is>
          <t>Makanan</t>
        </is>
      </c>
      <c r="H1028" s="10" t="inlineStr">
        <is>
          <t>Granola 500g</t>
        </is>
      </c>
      <c r="I1028" s="10" t="n">
        <v>1</v>
      </c>
      <c r="J1028" s="10" t="n">
        <v>92000</v>
      </c>
      <c r="K1028" s="10" t="n">
        <v>92000</v>
      </c>
    </row>
    <row r="1029">
      <c r="A1029" s="10" t="inlineStr">
        <is>
          <t>INV-70658</t>
        </is>
      </c>
      <c r="B1029" s="10" t="inlineStr">
        <is>
          <t>04/03/2026</t>
        </is>
      </c>
      <c r="C1029" s="10" t="inlineStr">
        <is>
          <t>C1179</t>
        </is>
      </c>
      <c r="D1029" s="10" t="inlineStr">
        <is>
          <t>loyal</t>
        </is>
      </c>
      <c r="E1029" s="10" t="inlineStr">
        <is>
          <t>TikTok Shop</t>
        </is>
      </c>
      <c r="F1029" s="10" t="inlineStr">
        <is>
          <t>Jabodetabek</t>
        </is>
      </c>
      <c r="G1029" s="10" t="inlineStr">
        <is>
          <t>Kecantikan</t>
        </is>
      </c>
      <c r="H1029" s="10" t="inlineStr">
        <is>
          <t>Serum Vit C</t>
        </is>
      </c>
      <c r="I1029" s="10" t="n">
        <v>2</v>
      </c>
      <c r="J1029" s="10" t="n">
        <v>145000</v>
      </c>
      <c r="K1029" s="10" t="inlineStr">
        <is>
          <t>Rp 290.000</t>
        </is>
      </c>
    </row>
    <row r="1030">
      <c r="A1030" s="10" t="inlineStr">
        <is>
          <t>INV-71475</t>
        </is>
      </c>
      <c r="B1030" s="10" t="inlineStr">
        <is>
          <t>2025-11-20</t>
        </is>
      </c>
      <c r="C1030" s="10" t="inlineStr">
        <is>
          <t>C1408</t>
        </is>
      </c>
      <c r="D1030" s="10" t="inlineStr">
        <is>
          <t>regular</t>
        </is>
      </c>
      <c r="E1030" s="10" t="inlineStr">
        <is>
          <t>TikTok Shop</t>
        </is>
      </c>
      <c r="F1030" s="10" t="inlineStr">
        <is>
          <t>Jabodetabek</t>
        </is>
      </c>
      <c r="G1030" s="10" t="inlineStr">
        <is>
          <t>Fashion</t>
        </is>
      </c>
      <c r="H1030" s="10" t="inlineStr">
        <is>
          <t>Dress Casual</t>
        </is>
      </c>
      <c r="I1030" s="10" t="n">
        <v>1</v>
      </c>
      <c r="J1030" s="10" t="n">
        <v>225000</v>
      </c>
      <c r="K1030" s="10" t="n">
        <v>225000</v>
      </c>
    </row>
    <row r="1031">
      <c r="A1031" s="10" t="inlineStr">
        <is>
          <t>INV-71422</t>
        </is>
      </c>
      <c r="B1031" s="10" t="inlineStr">
        <is>
          <t>03/11/2025</t>
        </is>
      </c>
      <c r="C1031" s="10" t="inlineStr">
        <is>
          <t>C1393</t>
        </is>
      </c>
      <c r="D1031" s="10" t="inlineStr">
        <is>
          <t>regular</t>
        </is>
      </c>
      <c r="E1031" s="10" t="inlineStr">
        <is>
          <t>TikTok Shop</t>
        </is>
      </c>
      <c r="F1031" s="10" t="inlineStr">
        <is>
          <t>Jabodetabek</t>
        </is>
      </c>
      <c r="G1031" s="10" t="inlineStr">
        <is>
          <t>Makanan</t>
        </is>
      </c>
      <c r="H1031" s="10" t="inlineStr">
        <is>
          <t>Granola 500g</t>
        </is>
      </c>
      <c r="I1031" s="10" t="n">
        <v>2</v>
      </c>
      <c r="J1031" s="10" t="n">
        <v>92000</v>
      </c>
      <c r="K1031" s="10" t="inlineStr">
        <is>
          <t>Rp 184.000</t>
        </is>
      </c>
    </row>
    <row r="1032">
      <c r="A1032" s="10" t="inlineStr">
        <is>
          <t>INV-70266</t>
        </is>
      </c>
      <c r="B1032" s="10" t="inlineStr">
        <is>
          <t>2025-04-09</t>
        </is>
      </c>
      <c r="C1032" s="10" t="inlineStr">
        <is>
          <t>C1074</t>
        </is>
      </c>
      <c r="D1032" s="10" t="inlineStr">
        <is>
          <t>regular</t>
        </is>
      </c>
      <c r="E1032" s="10" t="inlineStr">
        <is>
          <t>Tokopedia</t>
        </is>
      </c>
      <c r="F1032" s="10" t="inlineStr">
        <is>
          <t>Jabodetabek</t>
        </is>
      </c>
      <c r="G1032" s="10" t="inlineStr">
        <is>
          <t>Makanan</t>
        </is>
      </c>
      <c r="H1032" s="10" t="inlineStr">
        <is>
          <t>Granola 500g</t>
        </is>
      </c>
      <c r="I1032" s="10" t="n">
        <v>4</v>
      </c>
      <c r="J1032" s="10" t="n">
        <v>92000</v>
      </c>
      <c r="K1032" s="10" t="n">
        <v>368000</v>
      </c>
    </row>
    <row r="1033">
      <c r="A1033" s="10" t="inlineStr">
        <is>
          <t>INV-70613</t>
        </is>
      </c>
      <c r="B1033" s="10" t="inlineStr">
        <is>
          <t>22 Mar 2025</t>
        </is>
      </c>
      <c r="C1033" s="10" t="inlineStr">
        <is>
          <t>C1166</t>
        </is>
      </c>
      <c r="D1033" s="10" t="inlineStr">
        <is>
          <t>occasional</t>
        </is>
      </c>
      <c r="E1033" s="10" t="inlineStr">
        <is>
          <t>Shopee</t>
        </is>
      </c>
      <c r="F1033" s="10" t="inlineStr">
        <is>
          <t>Jabodetabek</t>
        </is>
      </c>
      <c r="G1033" s="10" t="inlineStr">
        <is>
          <t>Rumah Tangga</t>
        </is>
      </c>
      <c r="H1033" s="10" t="inlineStr">
        <is>
          <t>Set Wadah Kedap</t>
        </is>
      </c>
      <c r="I1033" s="10" t="n">
        <v>2</v>
      </c>
      <c r="J1033" s="10" t="n">
        <v>135000</v>
      </c>
      <c r="K1033" s="10" t="n">
        <v>270000</v>
      </c>
    </row>
    <row r="1034">
      <c r="A1034" s="10" t="inlineStr">
        <is>
          <t>INV-70150</t>
        </is>
      </c>
      <c r="B1034" s="10" t="inlineStr">
        <is>
          <t>18/09/2025</t>
        </is>
      </c>
      <c r="C1034" s="10" t="inlineStr">
        <is>
          <t>C1044</t>
        </is>
      </c>
      <c r="D1034" s="10" t="inlineStr">
        <is>
          <t>regular</t>
        </is>
      </c>
      <c r="E1034" s="10" t="inlineStr">
        <is>
          <t>Tokopedia</t>
        </is>
      </c>
      <c r="F1034" s="10" t="inlineStr">
        <is>
          <t>Jabodetabek</t>
        </is>
      </c>
      <c r="G1034" s="10" t="inlineStr">
        <is>
          <t>Rumah Tangga</t>
        </is>
      </c>
      <c r="H1034" s="10" t="inlineStr">
        <is>
          <t>Set Wadah Kedap</t>
        </is>
      </c>
      <c r="I1034" s="10" t="n">
        <v>4</v>
      </c>
      <c r="J1034" s="10" t="n">
        <v>135000</v>
      </c>
      <c r="K1034" s="10" t="n">
        <v>540000</v>
      </c>
    </row>
    <row r="1035">
      <c r="A1035" s="10" t="inlineStr">
        <is>
          <t>INV-70754</t>
        </is>
      </c>
      <c r="B1035" s="10" t="inlineStr">
        <is>
          <t>2026-05-26</t>
        </is>
      </c>
      <c r="C1035" s="10" t="inlineStr">
        <is>
          <t>C1210</t>
        </is>
      </c>
      <c r="D1035" s="10" t="inlineStr">
        <is>
          <t>loyal</t>
        </is>
      </c>
      <c r="E1035" s="10" t="inlineStr">
        <is>
          <t xml:space="preserve">Tokopedia </t>
        </is>
      </c>
      <c r="F1035" s="10" t="inlineStr">
        <is>
          <t>Lainnya</t>
        </is>
      </c>
      <c r="G1035" s="10" t="inlineStr">
        <is>
          <t>Rumah Tangga</t>
        </is>
      </c>
      <c r="H1035" s="10" t="inlineStr">
        <is>
          <t>Set Wadah Kedap</t>
        </is>
      </c>
      <c r="I1035" s="10" t="n">
        <v>3</v>
      </c>
      <c r="J1035" s="10" t="n">
        <v>135000</v>
      </c>
      <c r="K1035" s="10" t="n">
        <v>405000</v>
      </c>
    </row>
    <row r="1036">
      <c r="A1036" s="10" t="inlineStr">
        <is>
          <t>INV-71008</t>
        </is>
      </c>
      <c r="B1036" s="10" t="inlineStr">
        <is>
          <t>2026-04-07</t>
        </is>
      </c>
      <c r="C1036" s="10" t="inlineStr">
        <is>
          <t>C1287</t>
        </is>
      </c>
      <c r="D1036" s="10" t="inlineStr">
        <is>
          <t>champion</t>
        </is>
      </c>
      <c r="E1036" s="10" t="inlineStr">
        <is>
          <t>Tokopedia</t>
        </is>
      </c>
      <c r="F1036" s="10" t="inlineStr">
        <is>
          <t>Jawa Tengah</t>
        </is>
      </c>
      <c r="G1036" s="10" t="inlineStr">
        <is>
          <t>Rumah Tangga</t>
        </is>
      </c>
      <c r="H1036" s="10" t="inlineStr">
        <is>
          <t>Set Wadah Kedap</t>
        </is>
      </c>
      <c r="I1036" s="10" t="n">
        <v>1</v>
      </c>
      <c r="J1036" s="10" t="n">
        <v>135000</v>
      </c>
      <c r="K1036" s="10" t="n">
        <v>135000</v>
      </c>
    </row>
    <row r="1037">
      <c r="A1037" s="10" t="inlineStr">
        <is>
          <t>INV-70913</t>
        </is>
      </c>
      <c r="B1037" s="10" t="inlineStr">
        <is>
          <t>2026-02-26</t>
        </is>
      </c>
      <c r="C1037" s="10" t="inlineStr">
        <is>
          <t>C1258</t>
        </is>
      </c>
      <c r="D1037" s="10" t="inlineStr">
        <is>
          <t>regular</t>
        </is>
      </c>
      <c r="E1037" s="10" t="inlineStr">
        <is>
          <t xml:space="preserve">Shopee </t>
        </is>
      </c>
      <c r="F1037" s="10" t="inlineStr">
        <is>
          <t>Jabodetabek</t>
        </is>
      </c>
      <c r="G1037" s="10" t="inlineStr">
        <is>
          <t>fashion</t>
        </is>
      </c>
      <c r="H1037" s="10" t="inlineStr">
        <is>
          <t>Dress Casual</t>
        </is>
      </c>
      <c r="I1037" s="10" t="n">
        <v>1</v>
      </c>
      <c r="J1037" s="10" t="n">
        <v>225000</v>
      </c>
      <c r="K1037" s="10" t="n">
        <v>225000</v>
      </c>
    </row>
    <row r="1038">
      <c r="A1038" s="10" t="inlineStr">
        <is>
          <t>INV-71378</t>
        </is>
      </c>
      <c r="B1038" s="10" t="inlineStr">
        <is>
          <t>16 Jan 2025</t>
        </is>
      </c>
      <c r="C1038" s="10" t="inlineStr">
        <is>
          <t>C1381</t>
        </is>
      </c>
      <c r="D1038" s="10" t="inlineStr">
        <is>
          <t>regular</t>
        </is>
      </c>
      <c r="E1038" s="10" t="inlineStr">
        <is>
          <t>Shopee</t>
        </is>
      </c>
      <c r="F1038" s="10" t="inlineStr">
        <is>
          <t>Jabodetabek</t>
        </is>
      </c>
      <c r="G1038" s="10" t="inlineStr">
        <is>
          <t>Rumah Tangga</t>
        </is>
      </c>
      <c r="H1038" s="10" t="inlineStr">
        <is>
          <t>Set Wadah Kedap</t>
        </is>
      </c>
      <c r="I1038" s="10" t="n">
        <v>4</v>
      </c>
      <c r="J1038" s="10" t="n">
        <v>135000</v>
      </c>
      <c r="K1038" s="10" t="n">
        <v>540000</v>
      </c>
    </row>
    <row r="1039">
      <c r="A1039" s="10" t="inlineStr">
        <is>
          <t>INV-71118</t>
        </is>
      </c>
      <c r="B1039" s="10" t="inlineStr">
        <is>
          <t>2025-10-05</t>
        </is>
      </c>
      <c r="C1039" s="10" t="inlineStr">
        <is>
          <t>C1312</t>
        </is>
      </c>
      <c r="D1039" s="10" t="inlineStr">
        <is>
          <t>champion</t>
        </is>
      </c>
      <c r="E1039" s="10" t="inlineStr">
        <is>
          <t>Offline Store</t>
        </is>
      </c>
      <c r="F1039" s="10" t="inlineStr">
        <is>
          <t>Jabodetabek</t>
        </is>
      </c>
      <c r="G1039" s="10" t="inlineStr">
        <is>
          <t>Elektronik</t>
        </is>
      </c>
      <c r="H1039" s="10" t="inlineStr">
        <is>
          <t>Webcam HD</t>
        </is>
      </c>
      <c r="I1039" s="10" t="n">
        <v>1</v>
      </c>
      <c r="J1039" s="10" t="n">
        <v>210000</v>
      </c>
      <c r="K1039" s="10" t="n">
        <v>210000</v>
      </c>
    </row>
    <row r="1040">
      <c r="A1040" s="10" t="inlineStr">
        <is>
          <t>INV-71130</t>
        </is>
      </c>
      <c r="B1040" s="10" t="inlineStr">
        <is>
          <t>2025-01-09</t>
        </is>
      </c>
      <c r="C1040" s="10" t="inlineStr">
        <is>
          <t>C1320</t>
        </is>
      </c>
      <c r="D1040" s="10" t="inlineStr">
        <is>
          <t>occasional</t>
        </is>
      </c>
      <c r="E1040" s="10" t="inlineStr">
        <is>
          <t>Shopee</t>
        </is>
      </c>
      <c r="F1040" s="10" t="inlineStr">
        <is>
          <t>Jabodetabek</t>
        </is>
      </c>
      <c r="G1040" s="10" t="inlineStr">
        <is>
          <t>Elektronik</t>
        </is>
      </c>
      <c r="H1040" s="10" t="inlineStr">
        <is>
          <t>Earbuds TWS</t>
        </is>
      </c>
      <c r="I1040" s="10" t="n">
        <v>1</v>
      </c>
      <c r="J1040" s="10" t="n">
        <v>265000</v>
      </c>
      <c r="K1040" s="10" t="n">
        <v>265000</v>
      </c>
    </row>
    <row r="1041">
      <c r="A1041" s="10" t="inlineStr">
        <is>
          <t>INV-70223</t>
        </is>
      </c>
      <c r="B1041" s="10" t="inlineStr">
        <is>
          <t>2025-06-25</t>
        </is>
      </c>
      <c r="C1041" s="10" t="inlineStr">
        <is>
          <t>C1062</t>
        </is>
      </c>
      <c r="D1041" s="10" t="inlineStr">
        <is>
          <t>occasional</t>
        </is>
      </c>
      <c r="E1041" s="10" t="inlineStr">
        <is>
          <t xml:space="preserve">Shopee </t>
        </is>
      </c>
      <c r="F1041" s="10" t="inlineStr">
        <is>
          <t>Jawa Barat</t>
        </is>
      </c>
      <c r="G1041" s="10" t="inlineStr">
        <is>
          <t>Makanan</t>
        </is>
      </c>
      <c r="H1041" s="10" t="inlineStr">
        <is>
          <t>Granola 500g</t>
        </is>
      </c>
      <c r="I1041" s="10" t="n">
        <v>3</v>
      </c>
      <c r="J1041" s="10" t="n">
        <v>92000</v>
      </c>
      <c r="K1041" s="10" t="n">
        <v>276000</v>
      </c>
    </row>
    <row r="1042">
      <c r="A1042" s="10" t="inlineStr">
        <is>
          <t>INV-71430</t>
        </is>
      </c>
      <c r="B1042" s="10" t="inlineStr">
        <is>
          <t>2025-08-06</t>
        </is>
      </c>
      <c r="C1042" s="10" t="inlineStr">
        <is>
          <t>C1394</t>
        </is>
      </c>
      <c r="D1042" s="10" t="inlineStr">
        <is>
          <t>loyal</t>
        </is>
      </c>
      <c r="E1042" s="10" t="inlineStr">
        <is>
          <t>TikTok Shop</t>
        </is>
      </c>
      <c r="F1042" s="10" t="inlineStr">
        <is>
          <t>Jawa Timur</t>
        </is>
      </c>
      <c r="G1042" s="10" t="inlineStr">
        <is>
          <t>Rumah Tangga</t>
        </is>
      </c>
      <c r="H1042" s="10" t="inlineStr">
        <is>
          <t>Set Wadah Kedap</t>
        </is>
      </c>
      <c r="I1042" s="10" t="n">
        <v>1</v>
      </c>
      <c r="J1042" s="10" t="n">
        <v>135000</v>
      </c>
      <c r="K1042" s="10" t="n">
        <v>135000</v>
      </c>
    </row>
    <row r="1043">
      <c r="A1043" s="10" t="inlineStr">
        <is>
          <t>INV-71335</t>
        </is>
      </c>
      <c r="B1043" s="10" t="inlineStr">
        <is>
          <t>2025-11-16</t>
        </is>
      </c>
      <c r="C1043" s="10" t="inlineStr">
        <is>
          <t>C1368</t>
        </is>
      </c>
      <c r="D1043" s="10" t="inlineStr">
        <is>
          <t>regular</t>
        </is>
      </c>
      <c r="E1043" s="10" t="inlineStr">
        <is>
          <t>tiktok shop</t>
        </is>
      </c>
      <c r="F1043" s="10" t="inlineStr">
        <is>
          <t>Jabodetabek</t>
        </is>
      </c>
      <c r="G1043" s="10" t="inlineStr">
        <is>
          <t>Kecantikan</t>
        </is>
      </c>
      <c r="H1043" s="10" t="inlineStr">
        <is>
          <t>Masker Wajah (5s)</t>
        </is>
      </c>
      <c r="I1043" s="10" t="n">
        <v>2</v>
      </c>
      <c r="J1043" s="10" t="n">
        <v>55000</v>
      </c>
      <c r="K1043" s="10" t="n">
        <v>110000</v>
      </c>
    </row>
    <row r="1044">
      <c r="A1044" s="10" t="inlineStr">
        <is>
          <t>INV-70419</t>
        </is>
      </c>
      <c r="B1044" s="10" t="inlineStr">
        <is>
          <t>2026-04-07</t>
        </is>
      </c>
      <c r="C1044" s="10" t="inlineStr">
        <is>
          <t>C1117</t>
        </is>
      </c>
      <c r="D1044" s="10" t="inlineStr">
        <is>
          <t>regular</t>
        </is>
      </c>
      <c r="E1044" s="10" t="inlineStr">
        <is>
          <t>Shopee</t>
        </is>
      </c>
      <c r="F1044" s="10" t="inlineStr">
        <is>
          <t>Lainnya</t>
        </is>
      </c>
      <c r="G1044" s="10" t="inlineStr">
        <is>
          <t>Fashion</t>
        </is>
      </c>
      <c r="H1044" s="10" t="inlineStr">
        <is>
          <t>Dress Casual</t>
        </is>
      </c>
      <c r="I1044" s="10" t="n">
        <v>2</v>
      </c>
      <c r="J1044" s="10" t="n">
        <v>225000</v>
      </c>
      <c r="K1044" s="10" t="n">
        <v>450000</v>
      </c>
    </row>
    <row r="1045">
      <c r="A1045" s="10" t="inlineStr">
        <is>
          <t>INV-70848</t>
        </is>
      </c>
      <c r="B1045" s="10" t="inlineStr">
        <is>
          <t>2025-06-23</t>
        </is>
      </c>
      <c r="C1045" s="10" t="inlineStr">
        <is>
          <t>C1237</t>
        </is>
      </c>
      <c r="D1045" s="10" t="inlineStr">
        <is>
          <t>champion</t>
        </is>
      </c>
      <c r="E1045" s="10" t="inlineStr">
        <is>
          <t xml:space="preserve">Tokopedia </t>
        </is>
      </c>
      <c r="F1045" s="10" t="inlineStr">
        <is>
          <t>Jawa Tengah</t>
        </is>
      </c>
      <c r="G1045" s="10" t="inlineStr">
        <is>
          <t>Rumah Tangga</t>
        </is>
      </c>
      <c r="H1045" s="10" t="inlineStr">
        <is>
          <t>Set Wadah Kedap</t>
        </is>
      </c>
      <c r="I1045" s="10" t="n">
        <v>1</v>
      </c>
      <c r="J1045" s="10" t="n">
        <v>135000</v>
      </c>
      <c r="K1045" s="10" t="n">
        <v>135000</v>
      </c>
    </row>
    <row r="1046">
      <c r="A1046" s="10" t="inlineStr">
        <is>
          <t>INV-70025</t>
        </is>
      </c>
      <c r="B1046" s="10" t="inlineStr">
        <is>
          <t>12 May 2025</t>
        </is>
      </c>
      <c r="C1046" s="10" t="inlineStr">
        <is>
          <t>C1005</t>
        </is>
      </c>
      <c r="D1046" s="10" t="inlineStr">
        <is>
          <t>occasional</t>
        </is>
      </c>
      <c r="E1046" s="10" t="inlineStr">
        <is>
          <t>Offline Store</t>
        </is>
      </c>
      <c r="F1046" s="10" t="inlineStr">
        <is>
          <t>Jawa Barat</t>
        </is>
      </c>
      <c r="G1046" s="10" t="inlineStr">
        <is>
          <t>Elektronik</t>
        </is>
      </c>
      <c r="H1046" s="10" t="inlineStr">
        <is>
          <t>Power Bank 20K</t>
        </is>
      </c>
      <c r="I1046" s="10" t="n">
        <v>4</v>
      </c>
      <c r="J1046" s="10" t="n">
        <v>185000</v>
      </c>
      <c r="K1046" s="10" t="n">
        <v>740000</v>
      </c>
    </row>
    <row r="1047">
      <c r="A1047" s="10" t="inlineStr">
        <is>
          <t>INV-70479</t>
        </is>
      </c>
      <c r="B1047" s="10" t="inlineStr">
        <is>
          <t>2026-03-21</t>
        </is>
      </c>
      <c r="C1047" s="10" t="inlineStr">
        <is>
          <t>C1137</t>
        </is>
      </c>
      <c r="D1047" s="10" t="inlineStr">
        <is>
          <t>loyal</t>
        </is>
      </c>
      <c r="E1047" s="10" t="inlineStr">
        <is>
          <t>Shopee</t>
        </is>
      </c>
      <c r="F1047" s="10" t="inlineStr">
        <is>
          <t>Jawa Tengah</t>
        </is>
      </c>
      <c r="G1047" s="10" t="inlineStr">
        <is>
          <t>Elektronik</t>
        </is>
      </c>
      <c r="H1047" s="10" t="inlineStr">
        <is>
          <t>Webcam HD</t>
        </is>
      </c>
      <c r="I1047" s="10" t="n">
        <v>1</v>
      </c>
      <c r="J1047" s="10" t="n">
        <v>210000</v>
      </c>
      <c r="K1047" s="10" t="n">
        <v>210000</v>
      </c>
    </row>
    <row r="1048">
      <c r="A1048" s="10" t="inlineStr">
        <is>
          <t>INV-70787</t>
        </is>
      </c>
      <c r="B1048" s="10" t="inlineStr">
        <is>
          <t>2026-04-07</t>
        </is>
      </c>
      <c r="C1048" s="10" t="inlineStr">
        <is>
          <t>C1222</t>
        </is>
      </c>
      <c r="D1048" s="10" t="inlineStr">
        <is>
          <t>loyal</t>
        </is>
      </c>
      <c r="E1048" s="10" t="inlineStr">
        <is>
          <t>tiktok shop</t>
        </is>
      </c>
      <c r="F1048" s="10" t="inlineStr">
        <is>
          <t>Lainnya</t>
        </is>
      </c>
      <c r="G1048" s="10" t="inlineStr">
        <is>
          <t>Makanan</t>
        </is>
      </c>
      <c r="H1048" s="10" t="inlineStr">
        <is>
          <t>Granola 500g</t>
        </is>
      </c>
      <c r="I1048" s="10" t="n">
        <v>2</v>
      </c>
      <c r="J1048" s="10" t="n">
        <v>92000</v>
      </c>
      <c r="K1048" s="10" t="n">
        <v>184000</v>
      </c>
    </row>
    <row r="1049">
      <c r="A1049" s="10" t="inlineStr">
        <is>
          <t>INV-70753</t>
        </is>
      </c>
      <c r="B1049" s="10" t="inlineStr">
        <is>
          <t>2025-07-18</t>
        </is>
      </c>
      <c r="C1049" s="10" t="inlineStr">
        <is>
          <t>C1210</t>
        </is>
      </c>
      <c r="D1049" s="10" t="inlineStr">
        <is>
          <t>loyal</t>
        </is>
      </c>
      <c r="E1049" s="10" t="inlineStr">
        <is>
          <t>Shopee</t>
        </is>
      </c>
      <c r="F1049" s="10" t="inlineStr">
        <is>
          <t>Jawa Timur</t>
        </is>
      </c>
      <c r="G1049" s="10" t="inlineStr">
        <is>
          <t>Rumah Tangga</t>
        </is>
      </c>
      <c r="H1049" s="10" t="inlineStr">
        <is>
          <t>Set Wadah Kedap</t>
        </is>
      </c>
      <c r="I1049" s="10" t="n">
        <v>2</v>
      </c>
      <c r="J1049" s="10" t="n">
        <v>135000</v>
      </c>
      <c r="K1049" s="10" t="n">
        <v>270000</v>
      </c>
    </row>
    <row r="1050">
      <c r="A1050" s="10" t="inlineStr">
        <is>
          <t>INV-71354</t>
        </is>
      </c>
      <c r="B1050" s="10" t="inlineStr">
        <is>
          <t>2025-08-20</t>
        </is>
      </c>
      <c r="C1050" s="10" t="inlineStr">
        <is>
          <t>C1374</t>
        </is>
      </c>
      <c r="D1050" s="10" t="inlineStr">
        <is>
          <t>onetime</t>
        </is>
      </c>
      <c r="E1050" s="10" t="inlineStr">
        <is>
          <t>Shopee</t>
        </is>
      </c>
      <c r="F1050" s="10" t="inlineStr">
        <is>
          <t>Sumatera</t>
        </is>
      </c>
      <c r="G1050" s="10" t="inlineStr">
        <is>
          <t>Rumah Tangga</t>
        </is>
      </c>
      <c r="H1050" s="10" t="inlineStr">
        <is>
          <t>Set Wadah Kedap</t>
        </is>
      </c>
      <c r="I1050" s="10" t="n">
        <v>1</v>
      </c>
      <c r="J1050" s="10" t="n">
        <v>135000</v>
      </c>
      <c r="K1050" s="10" t="inlineStr">
        <is>
          <t>Rp 135.000</t>
        </is>
      </c>
    </row>
    <row r="1051">
      <c r="A1051" s="10" t="inlineStr">
        <is>
          <t>INV-71224</t>
        </is>
      </c>
      <c r="B1051" s="10" t="inlineStr">
        <is>
          <t>2026-03-22</t>
        </is>
      </c>
      <c r="C1051" s="10" t="inlineStr">
        <is>
          <t>C1348</t>
        </is>
      </c>
      <c r="D1051" s="10" t="inlineStr">
        <is>
          <t>loyal</t>
        </is>
      </c>
      <c r="E1051" s="10" t="inlineStr">
        <is>
          <t>Tokopedia</t>
        </is>
      </c>
      <c r="F1051" s="10" t="inlineStr">
        <is>
          <t>Jawa Barat</t>
        </is>
      </c>
      <c r="G1051" s="10" t="inlineStr">
        <is>
          <t>Fashion</t>
        </is>
      </c>
      <c r="H1051" s="10" t="inlineStr">
        <is>
          <t>Celana Chino</t>
        </is>
      </c>
      <c r="I1051" s="10" t="n">
        <v>2</v>
      </c>
      <c r="J1051" s="10" t="n">
        <v>195000</v>
      </c>
      <c r="K1051" s="10" t="n">
        <v>390000</v>
      </c>
    </row>
    <row r="1052">
      <c r="A1052" s="10" t="inlineStr">
        <is>
          <t>INV-71040</t>
        </is>
      </c>
      <c r="B1052" s="10" t="inlineStr">
        <is>
          <t>2025-02-08</t>
        </is>
      </c>
      <c r="C1052" s="10" t="inlineStr">
        <is>
          <t>C1295</t>
        </is>
      </c>
      <c r="D1052" s="10" t="inlineStr">
        <is>
          <t>regular</t>
        </is>
      </c>
      <c r="E1052" s="10" t="inlineStr">
        <is>
          <t>TikTok Shop</t>
        </is>
      </c>
      <c r="F1052" s="10" t="inlineStr">
        <is>
          <t>Jawa Timur</t>
        </is>
      </c>
      <c r="G1052" s="10" t="inlineStr">
        <is>
          <t>Rumah Tangga</t>
        </is>
      </c>
      <c r="H1052" s="10" t="inlineStr">
        <is>
          <t>Set Wadah Kedap</t>
        </is>
      </c>
      <c r="I1052" s="10" t="n">
        <v>1</v>
      </c>
      <c r="J1052" s="10" t="n">
        <v>135000</v>
      </c>
      <c r="K1052" s="10" t="n">
        <v>135000</v>
      </c>
    </row>
    <row r="1053">
      <c r="A1053" s="10" t="inlineStr">
        <is>
          <t>INV-71266</t>
        </is>
      </c>
      <c r="B1053" s="10" t="inlineStr">
        <is>
          <t>2025-10-21</t>
        </is>
      </c>
      <c r="C1053" s="10" t="inlineStr">
        <is>
          <t>C1358</t>
        </is>
      </c>
      <c r="D1053" s="10" t="inlineStr">
        <is>
          <t>champion</t>
        </is>
      </c>
      <c r="E1053" s="10" t="inlineStr">
        <is>
          <t>Shopee</t>
        </is>
      </c>
      <c r="F1053" s="10" t="inlineStr">
        <is>
          <t>Jabodetabek</t>
        </is>
      </c>
      <c r="G1053" s="10" t="inlineStr">
        <is>
          <t>Elektronik</t>
        </is>
      </c>
      <c r="H1053" s="10" t="inlineStr">
        <is>
          <t>Webcam HD</t>
        </is>
      </c>
      <c r="I1053" s="10" t="n">
        <v>3</v>
      </c>
      <c r="J1053" s="10" t="n">
        <v>210000</v>
      </c>
      <c r="K1053" s="10" t="n">
        <v>630000</v>
      </c>
    </row>
    <row r="1054">
      <c r="A1054" s="10" t="inlineStr">
        <is>
          <t>INV-70762</t>
        </is>
      </c>
      <c r="B1054" s="10" t="inlineStr">
        <is>
          <t>01 Apr 2025</t>
        </is>
      </c>
      <c r="C1054" s="10" t="inlineStr">
        <is>
          <t>C1213</t>
        </is>
      </c>
      <c r="D1054" s="10" t="inlineStr">
        <is>
          <t>regular</t>
        </is>
      </c>
      <c r="E1054" s="10" t="inlineStr">
        <is>
          <t>Offline Store</t>
        </is>
      </c>
      <c r="F1054" s="10" t="inlineStr">
        <is>
          <t>Lainnya</t>
        </is>
      </c>
      <c r="G1054" s="10" t="inlineStr">
        <is>
          <t>kecantikan</t>
        </is>
      </c>
      <c r="H1054" s="10" t="inlineStr">
        <is>
          <t>Masker Wajah (5s)</t>
        </is>
      </c>
      <c r="I1054" s="10" t="n">
        <v>4</v>
      </c>
      <c r="J1054" s="10" t="n">
        <v>55000</v>
      </c>
      <c r="K1054" s="10" t="n">
        <v>220000</v>
      </c>
    </row>
    <row r="1055">
      <c r="A1055" s="10" t="inlineStr">
        <is>
          <t>INV-71524</t>
        </is>
      </c>
      <c r="B1055" s="10" t="inlineStr">
        <is>
          <t>07 Apr 2026</t>
        </is>
      </c>
      <c r="C1055" s="10" t="inlineStr">
        <is>
          <t>C1419</t>
        </is>
      </c>
      <c r="D1055" s="10" t="inlineStr">
        <is>
          <t>loyal</t>
        </is>
      </c>
      <c r="E1055" s="10" t="inlineStr">
        <is>
          <t>Offline Store</t>
        </is>
      </c>
      <c r="F1055" s="10" t="inlineStr">
        <is>
          <t>Jawa Barat</t>
        </is>
      </c>
      <c r="G1055" s="10" t="inlineStr">
        <is>
          <t>Rumah Tangga</t>
        </is>
      </c>
      <c r="H1055" s="10" t="inlineStr">
        <is>
          <t>Organizer Laci</t>
        </is>
      </c>
      <c r="I1055" s="10" t="n">
        <v>4</v>
      </c>
      <c r="J1055" s="10" t="n">
        <v>78000</v>
      </c>
      <c r="K1055" s="10" t="inlineStr">
        <is>
          <t>Rp 312.000</t>
        </is>
      </c>
    </row>
    <row r="1056">
      <c r="A1056" s="10" t="inlineStr">
        <is>
          <t>INV-70921</t>
        </is>
      </c>
      <c r="B1056" s="10" t="inlineStr">
        <is>
          <t>2026-01-26</t>
        </is>
      </c>
      <c r="C1056" s="10" t="inlineStr">
        <is>
          <t>C1261</t>
        </is>
      </c>
      <c r="D1056" s="10" t="inlineStr">
        <is>
          <t>champion</t>
        </is>
      </c>
      <c r="E1056" s="10" t="inlineStr">
        <is>
          <t>Shopee</t>
        </is>
      </c>
      <c r="F1056" s="10" t="inlineStr">
        <is>
          <t>Sumatera</t>
        </is>
      </c>
      <c r="G1056" s="10" t="inlineStr">
        <is>
          <t>rumah tangga</t>
        </is>
      </c>
      <c r="H1056" s="10" t="inlineStr">
        <is>
          <t>Set Wadah Kedap</t>
        </is>
      </c>
      <c r="I1056" s="10" t="n">
        <v>1</v>
      </c>
      <c r="J1056" s="10" t="n">
        <v>135000</v>
      </c>
      <c r="K1056" s="10" t="n">
        <v>135000</v>
      </c>
    </row>
    <row r="1057">
      <c r="A1057" s="10" t="inlineStr">
        <is>
          <t>INV-71395</t>
        </is>
      </c>
      <c r="B1057" s="10" t="inlineStr">
        <is>
          <t>2025-05-08</t>
        </is>
      </c>
      <c r="C1057" s="10" t="inlineStr">
        <is>
          <t>C1386</t>
        </is>
      </c>
      <c r="D1057" s="10" t="inlineStr">
        <is>
          <t>loyal</t>
        </is>
      </c>
      <c r="E1057" s="10" t="inlineStr">
        <is>
          <t>Tokopedia</t>
        </is>
      </c>
      <c r="F1057" s="10" t="inlineStr">
        <is>
          <t>Jawa Timur</t>
        </is>
      </c>
      <c r="G1057" s="10" t="inlineStr">
        <is>
          <t>Rumah Tangga</t>
        </is>
      </c>
      <c r="H1057" s="10" t="inlineStr">
        <is>
          <t>Set Wadah Kedap</t>
        </is>
      </c>
      <c r="I1057" s="10" t="n">
        <v>1</v>
      </c>
      <c r="J1057" s="10" t="n">
        <v>135000</v>
      </c>
      <c r="K1057" s="10" t="n">
        <v>135000</v>
      </c>
    </row>
    <row r="1058">
      <c r="A1058" s="10" t="inlineStr">
        <is>
          <t>INV-70377</t>
        </is>
      </c>
      <c r="B1058" s="10" t="inlineStr">
        <is>
          <t>2025-10-07</t>
        </is>
      </c>
      <c r="C1058" s="10" t="inlineStr">
        <is>
          <t>C1110</t>
        </is>
      </c>
      <c r="D1058" s="10" t="inlineStr">
        <is>
          <t>loyal</t>
        </is>
      </c>
      <c r="E1058" s="10" t="inlineStr">
        <is>
          <t>Offline Store</t>
        </is>
      </c>
      <c r="F1058" s="10" t="inlineStr">
        <is>
          <t>Sumatera</t>
        </is>
      </c>
      <c r="G1058" s="10" t="inlineStr">
        <is>
          <t>Kecantikan</t>
        </is>
      </c>
      <c r="H1058" s="10" t="inlineStr">
        <is>
          <t>Masker Wajah (5s)</t>
        </is>
      </c>
      <c r="I1058" s="10" t="n">
        <v>2</v>
      </c>
      <c r="J1058" s="10" t="n">
        <v>55000</v>
      </c>
      <c r="K1058" s="10" t="n">
        <v>110000</v>
      </c>
    </row>
    <row r="1059">
      <c r="A1059" s="10" t="inlineStr">
        <is>
          <t>INV-70514</t>
        </is>
      </c>
      <c r="B1059" s="10" t="inlineStr">
        <is>
          <t>2025-01-19</t>
        </is>
      </c>
      <c r="C1059" s="10" t="inlineStr">
        <is>
          <t>C1142</t>
        </is>
      </c>
      <c r="D1059" s="10" t="inlineStr">
        <is>
          <t>champion</t>
        </is>
      </c>
      <c r="E1059" s="10" t="inlineStr">
        <is>
          <t>Shopee</t>
        </is>
      </c>
      <c r="F1059" s="10" t="inlineStr">
        <is>
          <t>Jabodetabek</t>
        </is>
      </c>
      <c r="G1059" s="10" t="inlineStr">
        <is>
          <t>Makanan</t>
        </is>
      </c>
      <c r="H1059" s="10" t="inlineStr">
        <is>
          <t>Granola 500g</t>
        </is>
      </c>
      <c r="I1059" s="10" t="n">
        <v>4</v>
      </c>
      <c r="J1059" s="10" t="n">
        <v>92000</v>
      </c>
      <c r="K1059" s="10" t="n">
        <v>398000</v>
      </c>
    </row>
    <row r="1060">
      <c r="A1060" s="10" t="inlineStr">
        <is>
          <t>INV-70660</t>
        </is>
      </c>
      <c r="B1060" s="10" t="inlineStr">
        <is>
          <t>2025-08-19</t>
        </is>
      </c>
      <c r="C1060" s="10" t="inlineStr">
        <is>
          <t>C1179</t>
        </is>
      </c>
      <c r="D1060" s="10" t="inlineStr">
        <is>
          <t>loyal</t>
        </is>
      </c>
      <c r="E1060" s="10" t="inlineStr">
        <is>
          <t>TikTok Shop</t>
        </is>
      </c>
      <c r="F1060" s="10" t="inlineStr">
        <is>
          <t>Jabodetabek</t>
        </is>
      </c>
      <c r="G1060" s="10" t="inlineStr">
        <is>
          <t>Rumah Tangga</t>
        </is>
      </c>
      <c r="H1060" s="10" t="inlineStr">
        <is>
          <t>Set Wadah Kedap</t>
        </is>
      </c>
      <c r="I1060" s="10" t="n">
        <v>3</v>
      </c>
      <c r="J1060" s="10" t="n">
        <v>135000</v>
      </c>
      <c r="K1060" s="10" t="inlineStr">
        <is>
          <t>Rp 405.000</t>
        </is>
      </c>
    </row>
    <row r="1061">
      <c r="A1061" s="10" t="inlineStr">
        <is>
          <t>INV-70126</t>
        </is>
      </c>
      <c r="B1061" s="10" t="inlineStr">
        <is>
          <t>2025-08-23</t>
        </is>
      </c>
      <c r="C1061" s="10" t="inlineStr">
        <is>
          <t>C1038</t>
        </is>
      </c>
      <c r="D1061" s="10" t="inlineStr">
        <is>
          <t>champion</t>
        </is>
      </c>
      <c r="E1061" s="10" t="inlineStr">
        <is>
          <t>Shopee</t>
        </is>
      </c>
      <c r="F1061" s="10" t="inlineStr">
        <is>
          <t>Sumatera</t>
        </is>
      </c>
      <c r="G1061" s="10" t="inlineStr">
        <is>
          <t>Rumah Tangga</t>
        </is>
      </c>
      <c r="H1061" s="10" t="inlineStr">
        <is>
          <t>Diffuser Aroma</t>
        </is>
      </c>
      <c r="I1061" s="10" t="n">
        <v>2</v>
      </c>
      <c r="J1061" s="10" t="n">
        <v>195000</v>
      </c>
      <c r="K1061" s="10" t="inlineStr">
        <is>
          <t>Rp 390.000</t>
        </is>
      </c>
    </row>
    <row r="1062">
      <c r="A1062" s="10" t="inlineStr">
        <is>
          <t>INV-70032</t>
        </is>
      </c>
      <c r="B1062" s="10" t="inlineStr">
        <is>
          <t>2025-10-09</t>
        </is>
      </c>
      <c r="C1062" s="10" t="inlineStr">
        <is>
          <t>C1006</t>
        </is>
      </c>
      <c r="D1062" s="10" t="inlineStr">
        <is>
          <t>regular</t>
        </is>
      </c>
      <c r="E1062" s="10" t="inlineStr">
        <is>
          <t>offline store</t>
        </is>
      </c>
      <c r="F1062" s="10" t="inlineStr">
        <is>
          <t>Sumatera</t>
        </is>
      </c>
      <c r="G1062" s="10" t="inlineStr">
        <is>
          <t>Elektronik</t>
        </is>
      </c>
      <c r="H1062" s="10" t="inlineStr">
        <is>
          <t>Earbuds TWS</t>
        </is>
      </c>
      <c r="I1062" s="10" t="n">
        <v>2</v>
      </c>
      <c r="J1062" s="10" t="n">
        <v>265000</v>
      </c>
      <c r="K1062" s="10" t="n">
        <v>530000</v>
      </c>
    </row>
    <row r="1063">
      <c r="A1063" s="10" t="inlineStr">
        <is>
          <t>INV-70650</t>
        </is>
      </c>
      <c r="B1063" s="10" t="inlineStr">
        <is>
          <t>2026-05-23</t>
        </is>
      </c>
      <c r="C1063" s="10" t="inlineStr">
        <is>
          <t>C1178</t>
        </is>
      </c>
      <c r="D1063" s="10" t="inlineStr">
        <is>
          <t>regular</t>
        </is>
      </c>
      <c r="E1063" s="10" t="inlineStr">
        <is>
          <t>Shopee</t>
        </is>
      </c>
      <c r="F1063" s="10" t="inlineStr">
        <is>
          <t>Lainnya</t>
        </is>
      </c>
      <c r="G1063" s="10" t="inlineStr">
        <is>
          <t>Elektronik</t>
        </is>
      </c>
      <c r="H1063" s="10" t="inlineStr">
        <is>
          <t>Smartwatch</t>
        </is>
      </c>
      <c r="I1063" s="10" t="n">
        <v>3</v>
      </c>
      <c r="J1063" s="10" t="n">
        <v>450000</v>
      </c>
      <c r="K1063" s="10" t="n">
        <v>1350000</v>
      </c>
    </row>
    <row r="1064">
      <c r="A1064" s="10" t="inlineStr">
        <is>
          <t>INV-70374</t>
        </is>
      </c>
      <c r="B1064" s="10" t="inlineStr">
        <is>
          <t>2025-04-23</t>
        </is>
      </c>
      <c r="C1064" s="10" t="inlineStr">
        <is>
          <t>C1108</t>
        </is>
      </c>
      <c r="D1064" s="10" t="inlineStr">
        <is>
          <t>occasional</t>
        </is>
      </c>
      <c r="E1064" s="10" t="inlineStr">
        <is>
          <t xml:space="preserve"> tokopedia</t>
        </is>
      </c>
      <c r="F1064" s="10" t="inlineStr">
        <is>
          <t>Sumatera</t>
        </is>
      </c>
      <c r="G1064" s="10" t="inlineStr">
        <is>
          <t>Rumah Tangga</t>
        </is>
      </c>
      <c r="H1064" s="10" t="inlineStr">
        <is>
          <t>Set Wadah Kedap</t>
        </is>
      </c>
      <c r="I1064" s="10" t="n">
        <v>3</v>
      </c>
      <c r="J1064" s="10" t="n">
        <v>135000</v>
      </c>
      <c r="K1064" s="10" t="n">
        <v>405000</v>
      </c>
    </row>
    <row r="1065">
      <c r="A1065" s="10" t="inlineStr">
        <is>
          <t>INV-70080</t>
        </is>
      </c>
      <c r="B1065" s="10" t="inlineStr">
        <is>
          <t>2025-02-27</t>
        </is>
      </c>
      <c r="C1065" s="10" t="inlineStr">
        <is>
          <t>C1025</t>
        </is>
      </c>
      <c r="D1065" s="10" t="inlineStr">
        <is>
          <t>loyal</t>
        </is>
      </c>
      <c r="E1065" s="10" t="inlineStr">
        <is>
          <t>Offline Store</t>
        </is>
      </c>
      <c r="F1065" s="10" t="inlineStr">
        <is>
          <t>Jabodetabek</t>
        </is>
      </c>
      <c r="G1065" s="10" t="inlineStr">
        <is>
          <t>rumah tangga</t>
        </is>
      </c>
      <c r="H1065" s="10" t="inlineStr">
        <is>
          <t>Set Wadah Kedap</t>
        </is>
      </c>
      <c r="I1065" s="10" t="n">
        <v>3</v>
      </c>
      <c r="J1065" s="10" t="n">
        <v>135000</v>
      </c>
      <c r="K1065" s="10" t="n">
        <v>405000</v>
      </c>
    </row>
    <row r="1066">
      <c r="A1066" s="10" t="inlineStr">
        <is>
          <t>INV-70457</t>
        </is>
      </c>
      <c r="B1066" s="10" t="inlineStr">
        <is>
          <t>17/04/2026</t>
        </is>
      </c>
      <c r="C1066" s="10" t="inlineStr">
        <is>
          <t>C1130</t>
        </is>
      </c>
      <c r="D1066" s="10" t="inlineStr">
        <is>
          <t>loyal</t>
        </is>
      </c>
      <c r="E1066" s="10" t="inlineStr">
        <is>
          <t>Shopee</t>
        </is>
      </c>
      <c r="F1066" s="10" t="inlineStr">
        <is>
          <t>Jawa Timur</t>
        </is>
      </c>
      <c r="G1066" s="10" t="inlineStr">
        <is>
          <t>Fashion</t>
        </is>
      </c>
      <c r="H1066" s="10" t="inlineStr">
        <is>
          <t>Celana Chino</t>
        </is>
      </c>
      <c r="I1066" s="10" t="n">
        <v>2</v>
      </c>
      <c r="J1066" s="10" t="n">
        <v>195000</v>
      </c>
      <c r="K1066" s="10" t="n">
        <v>390000</v>
      </c>
    </row>
    <row r="1067">
      <c r="A1067" s="10" t="inlineStr">
        <is>
          <t>INV-70922</t>
        </is>
      </c>
      <c r="B1067" s="10" t="inlineStr">
        <is>
          <t>2025-10-18</t>
        </is>
      </c>
      <c r="C1067" s="10" t="inlineStr">
        <is>
          <t>C1261</t>
        </is>
      </c>
      <c r="D1067" s="10" t="inlineStr">
        <is>
          <t>champion</t>
        </is>
      </c>
      <c r="E1067" s="10" t="inlineStr">
        <is>
          <t xml:space="preserve">Offline store </t>
        </is>
      </c>
      <c r="F1067" s="10" t="inlineStr">
        <is>
          <t>Jabodetabek</t>
        </is>
      </c>
      <c r="G1067" s="10" t="inlineStr">
        <is>
          <t>Fashion</t>
        </is>
      </c>
      <c r="H1067" s="10" t="inlineStr">
        <is>
          <t>Kemeja Linen</t>
        </is>
      </c>
      <c r="I1067" s="10" t="n">
        <v>2</v>
      </c>
      <c r="J1067" s="10" t="n">
        <v>185000</v>
      </c>
      <c r="K1067" s="10" t="n">
        <v>370000</v>
      </c>
    </row>
    <row r="1068">
      <c r="A1068" s="10" t="inlineStr">
        <is>
          <t>INV-70228</t>
        </is>
      </c>
      <c r="B1068" s="10" t="inlineStr">
        <is>
          <t>23/06/2025</t>
        </is>
      </c>
      <c r="C1068" s="10" t="inlineStr">
        <is>
          <t>C1064</t>
        </is>
      </c>
      <c r="D1068" s="10" t="inlineStr">
        <is>
          <t>loyal</t>
        </is>
      </c>
      <c r="E1068" s="10" t="inlineStr">
        <is>
          <t>Tokopedia</t>
        </is>
      </c>
      <c r="F1068" s="10" t="inlineStr">
        <is>
          <t>Jawa Timur</t>
        </is>
      </c>
      <c r="G1068" s="10" t="inlineStr">
        <is>
          <t>Kecantikan</t>
        </is>
      </c>
      <c r="H1068" s="10" t="inlineStr">
        <is>
          <t>Serum Vit C</t>
        </is>
      </c>
      <c r="I1068" s="10" t="n">
        <v>3</v>
      </c>
      <c r="J1068" s="10" t="n">
        <v>145000</v>
      </c>
      <c r="K1068" s="10" t="n">
        <v>435000</v>
      </c>
    </row>
    <row r="1069">
      <c r="A1069" s="10" t="inlineStr">
        <is>
          <t>INV-70734</t>
        </is>
      </c>
      <c r="B1069" s="10" t="inlineStr">
        <is>
          <t>2025-01-09</t>
        </is>
      </c>
      <c r="C1069" s="10" t="inlineStr">
        <is>
          <t>C1207</t>
        </is>
      </c>
      <c r="D1069" s="10" t="inlineStr">
        <is>
          <t>loyal</t>
        </is>
      </c>
      <c r="E1069" s="10" t="inlineStr">
        <is>
          <t>Offline Store</t>
        </is>
      </c>
      <c r="F1069" s="10" t="inlineStr">
        <is>
          <t>Jabodetabek</t>
        </is>
      </c>
      <c r="G1069" s="10" t="inlineStr">
        <is>
          <t>Rumah Tangga</t>
        </is>
      </c>
      <c r="H1069" s="10" t="inlineStr">
        <is>
          <t>Organizer Laci</t>
        </is>
      </c>
      <c r="I1069" s="10" t="n">
        <v>2</v>
      </c>
      <c r="J1069" s="10" t="n">
        <v>78000</v>
      </c>
      <c r="K1069" s="10" t="n">
        <v>156000</v>
      </c>
    </row>
    <row r="1070">
      <c r="A1070" s="10" t="inlineStr">
        <is>
          <t>INV-70817</t>
        </is>
      </c>
      <c r="B1070" s="10" t="inlineStr">
        <is>
          <t>2025-05-16</t>
        </is>
      </c>
      <c r="C1070" s="10" t="inlineStr">
        <is>
          <t>C1231</t>
        </is>
      </c>
      <c r="D1070" s="10" t="inlineStr">
        <is>
          <t>loyal</t>
        </is>
      </c>
      <c r="E1070" s="10" t="inlineStr">
        <is>
          <t>Shopee</t>
        </is>
      </c>
      <c r="F1070" s="10" t="inlineStr">
        <is>
          <t>Jabodetabek</t>
        </is>
      </c>
      <c r="G1070" s="10" t="inlineStr">
        <is>
          <t>Fashion</t>
        </is>
      </c>
      <c r="H1070" s="10" t="inlineStr">
        <is>
          <t>Celana Chino</t>
        </is>
      </c>
      <c r="I1070" s="10" t="n">
        <v>2</v>
      </c>
      <c r="J1070" s="10" t="n">
        <v>195000</v>
      </c>
      <c r="K1070" s="10" t="n">
        <v>390000</v>
      </c>
    </row>
    <row r="1071">
      <c r="A1071" s="10" t="inlineStr">
        <is>
          <t>INV-70474</t>
        </is>
      </c>
      <c r="B1071" s="10" t="inlineStr">
        <is>
          <t>2025-04-01</t>
        </is>
      </c>
      <c r="C1071" s="10" t="inlineStr">
        <is>
          <t>C1136</t>
        </is>
      </c>
      <c r="D1071" s="10" t="inlineStr">
        <is>
          <t>occasional</t>
        </is>
      </c>
      <c r="E1071" s="10" t="inlineStr">
        <is>
          <t xml:space="preserve"> tokopedia</t>
        </is>
      </c>
      <c r="F1071" s="10" t="inlineStr">
        <is>
          <t>Jabodetabek</t>
        </is>
      </c>
      <c r="G1071" s="10" t="inlineStr">
        <is>
          <t>Elektronik</t>
        </is>
      </c>
      <c r="H1071" s="10" t="inlineStr">
        <is>
          <t>Webcam HD</t>
        </is>
      </c>
      <c r="I1071" s="10" t="n">
        <v>2</v>
      </c>
      <c r="J1071" s="10" t="n">
        <v>210000</v>
      </c>
      <c r="K1071" s="10" t="n">
        <v>420000</v>
      </c>
    </row>
    <row r="1072">
      <c r="A1072" s="10" t="inlineStr">
        <is>
          <t>INV-70156</t>
        </is>
      </c>
      <c r="B1072" s="10" t="inlineStr">
        <is>
          <t>2025-09-03</t>
        </is>
      </c>
      <c r="C1072" s="10" t="inlineStr">
        <is>
          <t>C1047</t>
        </is>
      </c>
      <c r="D1072" s="10" t="inlineStr">
        <is>
          <t>regular</t>
        </is>
      </c>
      <c r="E1072" s="10" t="inlineStr">
        <is>
          <t>TikTok Shop</t>
        </is>
      </c>
      <c r="F1072" s="10" t="inlineStr">
        <is>
          <t>Jawa Timur</t>
        </is>
      </c>
      <c r="G1072" s="10" t="inlineStr">
        <is>
          <t>fashion</t>
        </is>
      </c>
      <c r="H1072" s="10" t="inlineStr">
        <is>
          <t>Kemeja Linen</t>
        </is>
      </c>
      <c r="I1072" s="10" t="n">
        <v>4</v>
      </c>
      <c r="J1072" s="10" t="n">
        <v>185000</v>
      </c>
      <c r="K1072" s="10" t="n">
        <v>740000</v>
      </c>
    </row>
    <row r="1073">
      <c r="A1073" s="10" t="inlineStr">
        <is>
          <t>INV-70077</t>
        </is>
      </c>
      <c r="B1073" s="10" t="inlineStr">
        <is>
          <t>2025-05-07</t>
        </is>
      </c>
      <c r="C1073" s="10" t="inlineStr">
        <is>
          <t>C1025</t>
        </is>
      </c>
      <c r="D1073" s="10" t="inlineStr">
        <is>
          <t>loyal</t>
        </is>
      </c>
      <c r="E1073" s="10" t="inlineStr">
        <is>
          <t xml:space="preserve">Tokopedia </t>
        </is>
      </c>
      <c r="F1073" s="10" t="inlineStr">
        <is>
          <t>Sumatera</t>
        </is>
      </c>
      <c r="G1073" s="10" t="inlineStr">
        <is>
          <t>Rumah Tangga</t>
        </is>
      </c>
      <c r="H1073" s="10" t="inlineStr">
        <is>
          <t>Organizer Laci</t>
        </is>
      </c>
      <c r="I1073" s="10" t="n">
        <v>2</v>
      </c>
      <c r="J1073" s="10" t="n">
        <v>78000</v>
      </c>
      <c r="K1073" s="10" t="n">
        <v>156000</v>
      </c>
    </row>
    <row r="1074">
      <c r="A1074" s="10" t="inlineStr">
        <is>
          <t>INV-70647</t>
        </is>
      </c>
      <c r="B1074" s="10" t="inlineStr">
        <is>
          <t>2025-03-09</t>
        </is>
      </c>
      <c r="C1074" s="10" t="inlineStr">
        <is>
          <t>C1177</t>
        </is>
      </c>
      <c r="D1074" s="10" t="inlineStr">
        <is>
          <t>occasional</t>
        </is>
      </c>
      <c r="E1074" s="10" t="inlineStr">
        <is>
          <t>Tokopedia</t>
        </is>
      </c>
      <c r="F1074" s="10" t="inlineStr">
        <is>
          <t>Lainnya</t>
        </is>
      </c>
      <c r="G1074" s="10" t="inlineStr">
        <is>
          <t>rumah tangga</t>
        </is>
      </c>
      <c r="H1074" s="10" t="inlineStr">
        <is>
          <t>Karpet Bulu</t>
        </is>
      </c>
      <c r="I1074" s="10" t="n">
        <v>1</v>
      </c>
      <c r="J1074" s="10" t="n">
        <v>240000</v>
      </c>
      <c r="K1074" s="10" t="inlineStr">
        <is>
          <t>Rp 240.000</t>
        </is>
      </c>
    </row>
    <row r="1075">
      <c r="A1075" s="10" t="inlineStr">
        <is>
          <t>INV-70128</t>
        </is>
      </c>
      <c r="B1075" s="10" t="inlineStr">
        <is>
          <t>2025-01-15</t>
        </is>
      </c>
      <c r="C1075" s="10" t="inlineStr">
        <is>
          <t>C1038</t>
        </is>
      </c>
      <c r="D1075" s="10" t="inlineStr">
        <is>
          <t>champion</t>
        </is>
      </c>
      <c r="E1075" s="10" t="inlineStr">
        <is>
          <t>Shopee</t>
        </is>
      </c>
      <c r="F1075" s="10" t="inlineStr">
        <is>
          <t>Jawa Barat</t>
        </is>
      </c>
      <c r="G1075" s="10" t="inlineStr">
        <is>
          <t>elektronik</t>
        </is>
      </c>
      <c r="H1075" s="10" t="inlineStr">
        <is>
          <t>Keyboard Mekanik</t>
        </is>
      </c>
      <c r="I1075" s="10" t="n">
        <v>2</v>
      </c>
      <c r="J1075" s="10" t="n">
        <v>380000</v>
      </c>
      <c r="K1075" s="10" t="n">
        <v>760000</v>
      </c>
    </row>
    <row r="1076">
      <c r="A1076" s="10" t="inlineStr">
        <is>
          <t>INV-70699</t>
        </is>
      </c>
      <c r="B1076" s="10" t="inlineStr">
        <is>
          <t>06 Jun 2025</t>
        </is>
      </c>
      <c r="C1076" s="10" t="inlineStr">
        <is>
          <t>C1194</t>
        </is>
      </c>
      <c r="D1076" s="10" t="inlineStr">
        <is>
          <t>onetime</t>
        </is>
      </c>
      <c r="E1076" s="10" t="inlineStr">
        <is>
          <t>Shopee</t>
        </is>
      </c>
      <c r="F1076" s="10" t="inlineStr">
        <is>
          <t>Sumatera</t>
        </is>
      </c>
      <c r="G1076" s="10" t="inlineStr">
        <is>
          <t>Kecantikan</t>
        </is>
      </c>
      <c r="H1076" s="10" t="inlineStr">
        <is>
          <t>Lip Tint</t>
        </is>
      </c>
      <c r="I1076" s="10" t="n">
        <v>1</v>
      </c>
      <c r="J1076" s="10" t="n">
        <v>65000</v>
      </c>
      <c r="K1076" s="10" t="n">
        <v>65000</v>
      </c>
    </row>
    <row r="1077">
      <c r="A1077" s="10" t="inlineStr">
        <is>
          <t>INV-70609</t>
        </is>
      </c>
      <c r="B1077" s="10" t="inlineStr">
        <is>
          <t>24/10/2025</t>
        </is>
      </c>
      <c r="C1077" s="10" t="inlineStr">
        <is>
          <t>C1165</t>
        </is>
      </c>
      <c r="D1077" s="10" t="inlineStr">
        <is>
          <t>regular</t>
        </is>
      </c>
      <c r="E1077" s="10" t="inlineStr">
        <is>
          <t>Offline Store</t>
        </is>
      </c>
      <c r="F1077" s="10" t="inlineStr">
        <is>
          <t>Jabodetabek</t>
        </is>
      </c>
      <c r="G1077" s="10" t="inlineStr">
        <is>
          <t>Makanan</t>
        </is>
      </c>
      <c r="H1077" s="10" t="inlineStr">
        <is>
          <t>Madu Hutan 250ml</t>
        </is>
      </c>
      <c r="I1077" s="10" t="n">
        <v>1</v>
      </c>
      <c r="J1077" s="10" t="n">
        <v>110000</v>
      </c>
      <c r="K1077" s="10" t="n">
        <v>110000</v>
      </c>
    </row>
    <row r="1078">
      <c r="A1078" s="10" t="inlineStr">
        <is>
          <t>INV-70045</t>
        </is>
      </c>
      <c r="B1078" s="10" t="inlineStr">
        <is>
          <t>17 Feb 2026</t>
        </is>
      </c>
      <c r="C1078" s="10" t="inlineStr">
        <is>
          <t>C1012</t>
        </is>
      </c>
      <c r="D1078" s="10" t="inlineStr">
        <is>
          <t>loyal</t>
        </is>
      </c>
      <c r="E1078" s="10" t="inlineStr">
        <is>
          <t>Shopee</t>
        </is>
      </c>
      <c r="F1078" s="10" t="inlineStr">
        <is>
          <t>Jabodetabek</t>
        </is>
      </c>
      <c r="G1078" s="10" t="inlineStr">
        <is>
          <t>Rumah Tangga</t>
        </is>
      </c>
      <c r="H1078" s="10" t="inlineStr">
        <is>
          <t>Set Wadah Kedap</t>
        </is>
      </c>
      <c r="I1078" s="10" t="n">
        <v>1</v>
      </c>
      <c r="J1078" s="10" t="n">
        <v>135000</v>
      </c>
      <c r="K1078" s="10" t="inlineStr">
        <is>
          <t>Rp 135.000</t>
        </is>
      </c>
    </row>
    <row r="1079">
      <c r="A1079" s="10" t="inlineStr">
        <is>
          <t>INV-71315</t>
        </is>
      </c>
      <c r="B1079" s="10" t="inlineStr">
        <is>
          <t>2025-04-22</t>
        </is>
      </c>
      <c r="C1079" s="10" t="inlineStr">
        <is>
          <t>C1364</t>
        </is>
      </c>
      <c r="D1079" s="10" t="inlineStr">
        <is>
          <t>champion</t>
        </is>
      </c>
      <c r="E1079" s="10" t="inlineStr">
        <is>
          <t>Tiktok Shop</t>
        </is>
      </c>
      <c r="F1079" s="10" t="inlineStr">
        <is>
          <t>Jawa Timur</t>
        </is>
      </c>
      <c r="G1079" s="10" t="inlineStr">
        <is>
          <t>Rumah Tangga</t>
        </is>
      </c>
      <c r="H1079" s="10" t="inlineStr">
        <is>
          <t>Set Wadah Kedap</t>
        </is>
      </c>
      <c r="I1079" s="10" t="n">
        <v>1</v>
      </c>
      <c r="J1079" s="10" t="n">
        <v>135000</v>
      </c>
      <c r="K1079" s="10" t="n">
        <v>135000</v>
      </c>
    </row>
    <row r="1080">
      <c r="A1080" s="10" t="inlineStr">
        <is>
          <t>INV-70823</t>
        </is>
      </c>
      <c r="B1080" s="10" t="inlineStr">
        <is>
          <t>2026-01-13</t>
        </is>
      </c>
      <c r="C1080" s="10" t="inlineStr">
        <is>
          <t>C1233</t>
        </is>
      </c>
      <c r="D1080" s="10" t="inlineStr">
        <is>
          <t>regular</t>
        </is>
      </c>
      <c r="E1080" s="10" t="inlineStr">
        <is>
          <t>Shopee</t>
        </is>
      </c>
      <c r="F1080" s="10" t="inlineStr">
        <is>
          <t>Jawa Tengah</t>
        </is>
      </c>
      <c r="G1080" s="10" t="inlineStr">
        <is>
          <t>Elektronik</t>
        </is>
      </c>
      <c r="H1080" s="10" t="inlineStr">
        <is>
          <t>Webcam HD</t>
        </is>
      </c>
      <c r="I1080" s="10" t="n">
        <v>1</v>
      </c>
      <c r="J1080" s="10" t="n">
        <v>210000</v>
      </c>
      <c r="K1080" s="10" t="n">
        <v>210000</v>
      </c>
    </row>
    <row r="1081">
      <c r="A1081" s="10" t="inlineStr">
        <is>
          <t>INV-70096</t>
        </is>
      </c>
      <c r="B1081" s="10" t="inlineStr">
        <is>
          <t>2026-03-06</t>
        </is>
      </c>
      <c r="C1081" s="10" t="inlineStr">
        <is>
          <t>C1028</t>
        </is>
      </c>
      <c r="D1081" s="10" t="inlineStr">
        <is>
          <t>occasional</t>
        </is>
      </c>
      <c r="E1081" s="10" t="inlineStr">
        <is>
          <t>Tokopedia</t>
        </is>
      </c>
      <c r="F1081" s="10" t="inlineStr">
        <is>
          <t>Jawa Tengah</t>
        </is>
      </c>
      <c r="G1081" s="10" t="inlineStr">
        <is>
          <t>Kecantikan</t>
        </is>
      </c>
      <c r="H1081" s="10" t="inlineStr">
        <is>
          <t>Masker Wajah (5s)</t>
        </is>
      </c>
      <c r="I1081" s="10" t="n">
        <v>1</v>
      </c>
      <c r="J1081" s="10" t="n">
        <v>55000</v>
      </c>
      <c r="K1081" s="10" t="n">
        <v>55000</v>
      </c>
    </row>
    <row r="1082">
      <c r="A1082" s="10" t="inlineStr">
        <is>
          <t>INV-70415</t>
        </is>
      </c>
      <c r="B1082" s="10" t="inlineStr">
        <is>
          <t>2025-12-20</t>
        </is>
      </c>
      <c r="C1082" s="10" t="inlineStr">
        <is>
          <t>C1115</t>
        </is>
      </c>
      <c r="D1082" s="10" t="inlineStr">
        <is>
          <t>onetime</t>
        </is>
      </c>
      <c r="E1082" s="10" t="inlineStr">
        <is>
          <t>TikTok Shop</t>
        </is>
      </c>
      <c r="F1082" s="10" t="inlineStr">
        <is>
          <t>Jabodetabek</t>
        </is>
      </c>
      <c r="G1082" s="10" t="inlineStr">
        <is>
          <t>Rumah Tangga</t>
        </is>
      </c>
      <c r="H1082" s="10" t="inlineStr">
        <is>
          <t>Set Wadah Kedap</t>
        </is>
      </c>
      <c r="I1082" s="10" t="n">
        <v>2</v>
      </c>
      <c r="J1082" s="10" t="n">
        <v>135000</v>
      </c>
      <c r="K1082" s="10" t="n">
        <v>270000</v>
      </c>
    </row>
    <row r="1083">
      <c r="A1083" s="10" t="inlineStr">
        <is>
          <t>INV-70135</t>
        </is>
      </c>
      <c r="B1083" s="10" t="inlineStr">
        <is>
          <t>2026-06-10</t>
        </is>
      </c>
      <c r="C1083" s="10" t="inlineStr">
        <is>
          <t>C1038</t>
        </is>
      </c>
      <c r="D1083" s="10" t="inlineStr">
        <is>
          <t>champion</t>
        </is>
      </c>
      <c r="E1083" s="10" t="inlineStr">
        <is>
          <t>Offline Store</t>
        </is>
      </c>
      <c r="F1083" s="10" t="inlineStr">
        <is>
          <t>Jabodetabek</t>
        </is>
      </c>
      <c r="G1083" s="10" t="inlineStr">
        <is>
          <t>Makanan</t>
        </is>
      </c>
      <c r="H1083" s="10" t="inlineStr">
        <is>
          <t>Granola 500g</t>
        </is>
      </c>
      <c r="I1083" s="10" t="n"/>
      <c r="J1083" s="10" t="n">
        <v>92000</v>
      </c>
      <c r="K1083" s="10" t="n">
        <v>184000</v>
      </c>
    </row>
    <row r="1084">
      <c r="A1084" s="10" t="inlineStr">
        <is>
          <t>INV-70153</t>
        </is>
      </c>
      <c r="B1084" s="10" t="inlineStr">
        <is>
          <t>2025-11-26</t>
        </is>
      </c>
      <c r="C1084" s="10" t="inlineStr">
        <is>
          <t>C1045</t>
        </is>
      </c>
      <c r="D1084" s="10" t="inlineStr">
        <is>
          <t>regular</t>
        </is>
      </c>
      <c r="E1084" s="10" t="inlineStr">
        <is>
          <t>SHOPEE</t>
        </is>
      </c>
      <c r="F1084" s="10" t="inlineStr">
        <is>
          <t>Jabodetabek</t>
        </is>
      </c>
      <c r="G1084" s="10" t="inlineStr">
        <is>
          <t>Rumah Tangga</t>
        </is>
      </c>
      <c r="H1084" s="10" t="inlineStr">
        <is>
          <t>Organizer Laci</t>
        </is>
      </c>
      <c r="I1084" s="10" t="n">
        <v>2</v>
      </c>
      <c r="J1084" s="10" t="n">
        <v>78000</v>
      </c>
      <c r="K1084" s="10" t="inlineStr">
        <is>
          <t>Rp 156.000</t>
        </is>
      </c>
    </row>
    <row r="1085">
      <c r="A1085" s="10" t="inlineStr">
        <is>
          <t>INV-71070</t>
        </is>
      </c>
      <c r="B1085" s="10" t="inlineStr">
        <is>
          <t>2026-06-23</t>
        </is>
      </c>
      <c r="C1085" s="10" t="inlineStr">
        <is>
          <t>C1302</t>
        </is>
      </c>
      <c r="D1085" s="10" t="inlineStr">
        <is>
          <t>champion</t>
        </is>
      </c>
      <c r="E1085" s="10" t="inlineStr">
        <is>
          <t>Shopee</t>
        </is>
      </c>
      <c r="F1085" s="10" t="inlineStr">
        <is>
          <t>Jabodetabek</t>
        </is>
      </c>
      <c r="G1085" s="10" t="inlineStr">
        <is>
          <t>Elektronik</t>
        </is>
      </c>
      <c r="H1085" s="10" t="inlineStr">
        <is>
          <t>Keyboard Mekanik</t>
        </is>
      </c>
      <c r="I1085" s="10" t="n">
        <v>3</v>
      </c>
      <c r="J1085" s="10" t="n">
        <v>380000</v>
      </c>
      <c r="K1085" s="10" t="n">
        <v>1140000</v>
      </c>
    </row>
    <row r="1086">
      <c r="A1086" s="10" t="inlineStr">
        <is>
          <t>INV-70659</t>
        </is>
      </c>
      <c r="B1086" s="10" t="inlineStr">
        <is>
          <t>2026-02-02</t>
        </is>
      </c>
      <c r="C1086" s="10" t="inlineStr">
        <is>
          <t>C1179</t>
        </is>
      </c>
      <c r="D1086" s="10" t="inlineStr">
        <is>
          <t>loyal</t>
        </is>
      </c>
      <c r="E1086" s="10" t="inlineStr">
        <is>
          <t>TikTok Shop</t>
        </is>
      </c>
      <c r="F1086" s="10" t="inlineStr">
        <is>
          <t>Jabodetabek</t>
        </is>
      </c>
      <c r="G1086" s="10" t="inlineStr">
        <is>
          <t>Rumah Tangga</t>
        </is>
      </c>
      <c r="H1086" s="10" t="inlineStr">
        <is>
          <t>Set Wadah Kedap</t>
        </is>
      </c>
      <c r="I1086" s="10" t="n">
        <v>1</v>
      </c>
      <c r="J1086" s="10" t="n">
        <v>135000</v>
      </c>
      <c r="K1086" s="10" t="n">
        <v>135000</v>
      </c>
    </row>
    <row r="1087">
      <c r="A1087" s="10" t="inlineStr">
        <is>
          <t>INV-71298</t>
        </is>
      </c>
      <c r="B1087" s="10" t="inlineStr">
        <is>
          <t>2025-04-16</t>
        </is>
      </c>
      <c r="C1087" s="10" t="inlineStr">
        <is>
          <t>C1359</t>
        </is>
      </c>
      <c r="D1087" s="10" t="inlineStr">
        <is>
          <t>champion</t>
        </is>
      </c>
      <c r="E1087" s="10" t="inlineStr">
        <is>
          <t>tiktok shop</t>
        </is>
      </c>
      <c r="F1087" s="10" t="inlineStr">
        <is>
          <t>Lainnya</t>
        </is>
      </c>
      <c r="G1087" s="10" t="inlineStr">
        <is>
          <t>Elektronik</t>
        </is>
      </c>
      <c r="H1087" s="10" t="inlineStr">
        <is>
          <t>Power Bank 20K</t>
        </is>
      </c>
      <c r="I1087" s="10" t="n">
        <v>1</v>
      </c>
      <c r="J1087" s="10" t="n">
        <v>185000</v>
      </c>
      <c r="K1087" s="10" t="n">
        <v>185000</v>
      </c>
    </row>
    <row r="1088">
      <c r="A1088" s="10" t="inlineStr">
        <is>
          <t>INV-70217</t>
        </is>
      </c>
      <c r="B1088" s="10" t="inlineStr">
        <is>
          <t>2025-04-20</t>
        </is>
      </c>
      <c r="C1088" s="10" t="inlineStr">
        <is>
          <t>C1060</t>
        </is>
      </c>
      <c r="D1088" s="10" t="inlineStr">
        <is>
          <t>loyal</t>
        </is>
      </c>
      <c r="E1088" s="10" t="inlineStr">
        <is>
          <t xml:space="preserve"> tokopedia</t>
        </is>
      </c>
      <c r="F1088" s="10" t="inlineStr">
        <is>
          <t>Jawa Timur</t>
        </is>
      </c>
      <c r="G1088" s="10" t="inlineStr">
        <is>
          <t>Rumah Tangga</t>
        </is>
      </c>
      <c r="H1088" s="10" t="inlineStr">
        <is>
          <t>Set Wadah Kedap</t>
        </is>
      </c>
      <c r="I1088" s="10" t="n">
        <v>4</v>
      </c>
      <c r="J1088" s="10" t="n">
        <v>135000</v>
      </c>
      <c r="K1088" s="10" t="inlineStr">
        <is>
          <t>Rp 540.000</t>
        </is>
      </c>
    </row>
    <row r="1089">
      <c r="A1089" s="10" t="inlineStr">
        <is>
          <t>INV-70333</t>
        </is>
      </c>
      <c r="B1089" s="10" t="inlineStr">
        <is>
          <t>2025-06-18</t>
        </is>
      </c>
      <c r="C1089" s="10" t="inlineStr">
        <is>
          <t>C1090</t>
        </is>
      </c>
      <c r="D1089" s="10" t="inlineStr">
        <is>
          <t>champion</t>
        </is>
      </c>
      <c r="E1089" s="10" t="inlineStr">
        <is>
          <t>Shopee</t>
        </is>
      </c>
      <c r="F1089" s="10" t="inlineStr">
        <is>
          <t>Sumatera</t>
        </is>
      </c>
      <c r="G1089" s="10" t="inlineStr">
        <is>
          <t>Elektronik</t>
        </is>
      </c>
      <c r="H1089" s="10" t="inlineStr">
        <is>
          <t>Power Bank 20K</t>
        </is>
      </c>
      <c r="I1089" s="10" t="n">
        <v>1</v>
      </c>
      <c r="J1089" s="10" t="n">
        <v>185000</v>
      </c>
      <c r="K1089" s="10" t="n">
        <v>185000</v>
      </c>
    </row>
    <row r="1090">
      <c r="A1090" s="10" t="inlineStr">
        <is>
          <t>INV-70669</t>
        </is>
      </c>
      <c r="B1090" s="10" t="inlineStr">
        <is>
          <t>27/06/2026</t>
        </is>
      </c>
      <c r="C1090" s="10" t="inlineStr">
        <is>
          <t>C1184</t>
        </is>
      </c>
      <c r="D1090" s="10" t="inlineStr">
        <is>
          <t>loyal</t>
        </is>
      </c>
      <c r="E1090" s="10" t="inlineStr">
        <is>
          <t>Shopee</t>
        </is>
      </c>
      <c r="F1090" s="10" t="inlineStr">
        <is>
          <t>Jabodetabek</t>
        </is>
      </c>
      <c r="G1090" s="10" t="inlineStr">
        <is>
          <t>Kecantikan</t>
        </is>
      </c>
      <c r="H1090" s="10" t="inlineStr">
        <is>
          <t>Lip Tint</t>
        </is>
      </c>
      <c r="I1090" s="10" t="n">
        <v>3</v>
      </c>
      <c r="J1090" s="10" t="n">
        <v>65000</v>
      </c>
      <c r="K1090" s="10" t="n">
        <v>195000</v>
      </c>
    </row>
    <row r="1091">
      <c r="A1091" s="10" t="inlineStr">
        <is>
          <t>INV-70780</t>
        </is>
      </c>
      <c r="B1091" s="10" t="inlineStr">
        <is>
          <t>2025-04-23</t>
        </is>
      </c>
      <c r="C1091" s="10" t="inlineStr">
        <is>
          <t>C1220</t>
        </is>
      </c>
      <c r="D1091" s="10" t="inlineStr">
        <is>
          <t>loyal</t>
        </is>
      </c>
      <c r="E1091" s="10" t="inlineStr">
        <is>
          <t>Tokopedia</t>
        </is>
      </c>
      <c r="F1091" s="10" t="inlineStr">
        <is>
          <t>Jawa Tengah</t>
        </is>
      </c>
      <c r="G1091" s="10" t="inlineStr">
        <is>
          <t>Elektronik</t>
        </is>
      </c>
      <c r="H1091" s="10" t="inlineStr">
        <is>
          <t>Keyboard Mekanik</t>
        </is>
      </c>
      <c r="I1091" s="10" t="n">
        <v>1</v>
      </c>
      <c r="J1091" s="10" t="n">
        <v>380000</v>
      </c>
      <c r="K1091" s="10" t="inlineStr">
        <is>
          <t>Rp 380.000</t>
        </is>
      </c>
    </row>
    <row r="1092">
      <c r="A1092" s="10" t="inlineStr">
        <is>
          <t>INV-70456</t>
        </is>
      </c>
      <c r="B1092" s="10" t="inlineStr">
        <is>
          <t>2025-10-19</t>
        </is>
      </c>
      <c r="C1092" s="10" t="inlineStr">
        <is>
          <t>C1130</t>
        </is>
      </c>
      <c r="D1092" s="10" t="inlineStr">
        <is>
          <t>loyal</t>
        </is>
      </c>
      <c r="E1092" s="10" t="inlineStr">
        <is>
          <t>Shopee</t>
        </is>
      </c>
      <c r="F1092" s="10" t="inlineStr">
        <is>
          <t>Jawa Tengah</t>
        </is>
      </c>
      <c r="G1092" s="10" t="inlineStr">
        <is>
          <t>Rumah Tangga</t>
        </is>
      </c>
      <c r="H1092" s="10" t="inlineStr">
        <is>
          <t>Organizer Laci</t>
        </is>
      </c>
      <c r="I1092" s="10" t="n">
        <v>4</v>
      </c>
      <c r="J1092" s="10" t="n">
        <v>78000</v>
      </c>
      <c r="K1092" s="10" t="n">
        <v>312000</v>
      </c>
    </row>
    <row r="1093">
      <c r="A1093" s="10" t="inlineStr">
        <is>
          <t>INV-71357</t>
        </is>
      </c>
      <c r="B1093" s="10" t="inlineStr">
        <is>
          <t>2025-08-25</t>
        </is>
      </c>
      <c r="C1093" s="10" t="inlineStr">
        <is>
          <t>C1375</t>
        </is>
      </c>
      <c r="D1093" s="10" t="inlineStr">
        <is>
          <t>occasional</t>
        </is>
      </c>
      <c r="E1093" s="10" t="inlineStr">
        <is>
          <t>Offline Store</t>
        </is>
      </c>
      <c r="F1093" s="10" t="inlineStr">
        <is>
          <t>Jabodetabek</t>
        </is>
      </c>
      <c r="G1093" s="10" t="inlineStr">
        <is>
          <t>Rumah Tangga</t>
        </is>
      </c>
      <c r="H1093" s="10" t="inlineStr">
        <is>
          <t>Set Wadah Kedap</t>
        </is>
      </c>
      <c r="I1093" s="10" t="n">
        <v>1</v>
      </c>
      <c r="J1093" s="10" t="n">
        <v>135000</v>
      </c>
      <c r="K1093" s="10" t="n">
        <v>135000</v>
      </c>
    </row>
    <row r="1094">
      <c r="A1094" s="10" t="inlineStr">
        <is>
          <t>INV-71547</t>
        </is>
      </c>
      <c r="B1094" s="10" t="inlineStr">
        <is>
          <t>2025-12-10</t>
        </is>
      </c>
      <c r="C1094" s="10" t="inlineStr">
        <is>
          <t>C1425</t>
        </is>
      </c>
      <c r="D1094" s="10" t="inlineStr">
        <is>
          <t>loyal</t>
        </is>
      </c>
      <c r="E1094" s="10" t="inlineStr">
        <is>
          <t>shopee</t>
        </is>
      </c>
      <c r="F1094" s="10" t="inlineStr">
        <is>
          <t>Jawa Timur</t>
        </is>
      </c>
      <c r="G1094" s="10" t="inlineStr">
        <is>
          <t>Elektronik</t>
        </is>
      </c>
      <c r="H1094" s="10" t="inlineStr">
        <is>
          <t>Smartwatch</t>
        </is>
      </c>
      <c r="I1094" s="10" t="n">
        <v>1</v>
      </c>
      <c r="J1094" s="10" t="n">
        <v>450000</v>
      </c>
      <c r="K1094" s="10" t="inlineStr">
        <is>
          <t>Rp 450.000</t>
        </is>
      </c>
    </row>
    <row r="1095">
      <c r="A1095" s="10" t="inlineStr">
        <is>
          <t>INV-71077</t>
        </is>
      </c>
      <c r="B1095" s="10" t="inlineStr">
        <is>
          <t>2026-06-14</t>
        </is>
      </c>
      <c r="C1095" s="10" t="inlineStr">
        <is>
          <t>C1302</t>
        </is>
      </c>
      <c r="D1095" s="10" t="inlineStr">
        <is>
          <t>champion</t>
        </is>
      </c>
      <c r="E1095" s="10" t="inlineStr">
        <is>
          <t xml:space="preserve">Offline store </t>
        </is>
      </c>
      <c r="F1095" s="10" t="inlineStr">
        <is>
          <t>Jawa Barat</t>
        </is>
      </c>
      <c r="G1095" s="10" t="inlineStr">
        <is>
          <t>Kecantikan</t>
        </is>
      </c>
      <c r="H1095" s="10" t="inlineStr">
        <is>
          <t>Masker Wajah (5s)</t>
        </is>
      </c>
      <c r="I1095" s="10" t="n">
        <v>1</v>
      </c>
      <c r="J1095" s="10" t="n">
        <v>55000</v>
      </c>
      <c r="K1095" s="10" t="n">
        <v>55000</v>
      </c>
    </row>
    <row r="1096">
      <c r="A1096" s="10" t="inlineStr">
        <is>
          <t>INV-70561</t>
        </is>
      </c>
      <c r="B1096" s="10" t="inlineStr">
        <is>
          <t>2025-09-27</t>
        </is>
      </c>
      <c r="C1096" s="10" t="inlineStr">
        <is>
          <t>C1154</t>
        </is>
      </c>
      <c r="D1096" s="10" t="inlineStr">
        <is>
          <t>occasional</t>
        </is>
      </c>
      <c r="E1096" s="10" t="inlineStr">
        <is>
          <t>Shopee</t>
        </is>
      </c>
      <c r="F1096" s="10" t="inlineStr">
        <is>
          <t>Jabodetabek</t>
        </is>
      </c>
      <c r="G1096" s="10" t="inlineStr">
        <is>
          <t>Rumah Tangga</t>
        </is>
      </c>
      <c r="H1096" s="10" t="inlineStr">
        <is>
          <t>Set Wadah Kedap</t>
        </is>
      </c>
      <c r="I1096" s="10" t="n">
        <v>3</v>
      </c>
      <c r="J1096" s="10" t="n">
        <v>135000</v>
      </c>
      <c r="K1096" s="10" t="n">
        <v>405000</v>
      </c>
    </row>
    <row r="1097">
      <c r="A1097" s="10" t="inlineStr">
        <is>
          <t>INV-70629</t>
        </is>
      </c>
      <c r="B1097" s="10" t="inlineStr">
        <is>
          <t>2025-01-23</t>
        </is>
      </c>
      <c r="C1097" s="10" t="inlineStr">
        <is>
          <t>C1172</t>
        </is>
      </c>
      <c r="D1097" s="10" t="inlineStr">
        <is>
          <t>onetime</t>
        </is>
      </c>
      <c r="E1097" s="10" t="inlineStr">
        <is>
          <t>Shopee</t>
        </is>
      </c>
      <c r="F1097" s="10" t="inlineStr">
        <is>
          <t>Jabodetabek</t>
        </is>
      </c>
      <c r="G1097" s="10" t="inlineStr">
        <is>
          <t>Rumah Tangga</t>
        </is>
      </c>
      <c r="H1097" s="10" t="inlineStr">
        <is>
          <t>Set Wadah Kedap</t>
        </is>
      </c>
      <c r="I1097" s="10" t="n">
        <v>1</v>
      </c>
      <c r="J1097" s="10" t="n">
        <v>135000</v>
      </c>
      <c r="K1097" s="10" t="n">
        <v>135000</v>
      </c>
    </row>
    <row r="1098">
      <c r="A1098" s="10" t="inlineStr">
        <is>
          <t>INV-70179</t>
        </is>
      </c>
      <c r="B1098" s="10" t="inlineStr">
        <is>
          <t>02/04/2026</t>
        </is>
      </c>
      <c r="C1098" s="10" t="inlineStr">
        <is>
          <t>C1050</t>
        </is>
      </c>
      <c r="D1098" s="10" t="inlineStr">
        <is>
          <t>regular</t>
        </is>
      </c>
      <c r="E1098" s="10" t="inlineStr">
        <is>
          <t xml:space="preserve">Offline store </t>
        </is>
      </c>
      <c r="F1098" s="10" t="n"/>
      <c r="G1098" s="10" t="inlineStr">
        <is>
          <t>Elektronik</t>
        </is>
      </c>
      <c r="H1098" s="10" t="inlineStr">
        <is>
          <t>Webcam HD</t>
        </is>
      </c>
      <c r="I1098" s="10" t="n">
        <v>1</v>
      </c>
      <c r="J1098" s="10" t="n">
        <v>210000</v>
      </c>
      <c r="K1098" s="10" t="n">
        <v>210000</v>
      </c>
    </row>
    <row r="1099">
      <c r="A1099" s="10" t="inlineStr">
        <is>
          <t>INV-70017</t>
        </is>
      </c>
      <c r="B1099" s="10" t="inlineStr">
        <is>
          <t>2025-11-18</t>
        </is>
      </c>
      <c r="C1099" s="10" t="inlineStr">
        <is>
          <t>C1003</t>
        </is>
      </c>
      <c r="D1099" s="10" t="inlineStr">
        <is>
          <t>regular</t>
        </is>
      </c>
      <c r="E1099" s="10" t="inlineStr">
        <is>
          <t>TikTok Shop</t>
        </is>
      </c>
      <c r="F1099" s="10" t="inlineStr">
        <is>
          <t>Jawa Tengah</t>
        </is>
      </c>
      <c r="G1099" s="10" t="inlineStr">
        <is>
          <t>Elektronik</t>
        </is>
      </c>
      <c r="H1099" s="10" t="inlineStr">
        <is>
          <t>Power Bank 20K</t>
        </is>
      </c>
      <c r="I1099" s="10" t="n">
        <v>2</v>
      </c>
      <c r="J1099" s="10" t="n">
        <v>185000</v>
      </c>
      <c r="K1099" s="10" t="n">
        <v>370000</v>
      </c>
    </row>
    <row r="1100">
      <c r="A1100" s="10" t="inlineStr">
        <is>
          <t>INV-71304</t>
        </is>
      </c>
      <c r="B1100" s="10" t="inlineStr">
        <is>
          <t>2026-06-18</t>
        </is>
      </c>
      <c r="C1100" s="10" t="inlineStr">
        <is>
          <t>C1361</t>
        </is>
      </c>
      <c r="D1100" s="10" t="inlineStr">
        <is>
          <t>champion</t>
        </is>
      </c>
      <c r="E1100" s="10" t="inlineStr">
        <is>
          <t>Offline Store</t>
        </is>
      </c>
      <c r="F1100" s="10" t="inlineStr">
        <is>
          <t>Lainnya</t>
        </is>
      </c>
      <c r="G1100" s="10" t="inlineStr">
        <is>
          <t>Rumah Tangga</t>
        </is>
      </c>
      <c r="H1100" s="10" t="inlineStr">
        <is>
          <t>Set Wadah Kedap</t>
        </is>
      </c>
      <c r="I1100" s="10" t="n">
        <v>2</v>
      </c>
      <c r="J1100" s="10" t="n">
        <v>135000</v>
      </c>
      <c r="K1100" s="10" t="inlineStr">
        <is>
          <t>Rp 270.000</t>
        </is>
      </c>
    </row>
    <row r="1101">
      <c r="A1101" s="10" t="inlineStr">
        <is>
          <t>INV-71071</t>
        </is>
      </c>
      <c r="B1101" s="10" t="inlineStr">
        <is>
          <t>2026-05-10</t>
        </is>
      </c>
      <c r="C1101" s="10" t="inlineStr">
        <is>
          <t>C1302</t>
        </is>
      </c>
      <c r="D1101" s="10" t="inlineStr">
        <is>
          <t>champion</t>
        </is>
      </c>
      <c r="E1101" s="10" t="inlineStr">
        <is>
          <t>Shopee</t>
        </is>
      </c>
      <c r="F1101" s="10" t="inlineStr">
        <is>
          <t>Sumatera</t>
        </is>
      </c>
      <c r="G1101" s="10" t="inlineStr">
        <is>
          <t>Rumah Tangga</t>
        </is>
      </c>
      <c r="H1101" s="10" t="inlineStr">
        <is>
          <t>Karpet Bulu</t>
        </is>
      </c>
      <c r="I1101" s="10" t="n">
        <v>3</v>
      </c>
      <c r="J1101" s="10" t="n">
        <v>240000</v>
      </c>
      <c r="K1101" s="10" t="n">
        <v>720000</v>
      </c>
    </row>
    <row r="1102">
      <c r="A1102" s="10" t="inlineStr">
        <is>
          <t>INV-70322</t>
        </is>
      </c>
      <c r="B1102" s="10" t="inlineStr">
        <is>
          <t>2025-08-09</t>
        </is>
      </c>
      <c r="C1102" s="10" t="inlineStr">
        <is>
          <t>C1090</t>
        </is>
      </c>
      <c r="D1102" s="10" t="inlineStr">
        <is>
          <t>champion</t>
        </is>
      </c>
      <c r="E1102" s="10" t="inlineStr">
        <is>
          <t xml:space="preserve"> tokopedia</t>
        </is>
      </c>
      <c r="F1102" s="10" t="inlineStr">
        <is>
          <t>Jabodetabek</t>
        </is>
      </c>
      <c r="G1102" s="10" t="inlineStr">
        <is>
          <t>Fashion</t>
        </is>
      </c>
      <c r="H1102" s="10" t="inlineStr">
        <is>
          <t>Kemeja Linen</t>
        </is>
      </c>
      <c r="I1102" s="10" t="n">
        <v>1</v>
      </c>
      <c r="J1102" s="10" t="n">
        <v>185000</v>
      </c>
      <c r="K1102" s="10" t="n">
        <v>185000</v>
      </c>
    </row>
    <row r="1103">
      <c r="A1103" s="10" t="inlineStr">
        <is>
          <t>INV-70996</t>
        </is>
      </c>
      <c r="B1103" s="10" t="inlineStr">
        <is>
          <t>2026-06-15</t>
        </is>
      </c>
      <c r="C1103" s="10" t="inlineStr">
        <is>
          <t>C1287</t>
        </is>
      </c>
      <c r="D1103" s="10" t="inlineStr">
        <is>
          <t>champion</t>
        </is>
      </c>
      <c r="E1103" s="10" t="inlineStr">
        <is>
          <t>shopee</t>
        </is>
      </c>
      <c r="F1103" s="10" t="inlineStr">
        <is>
          <t>Jawa Timur</t>
        </is>
      </c>
      <c r="G1103" s="10" t="inlineStr">
        <is>
          <t>Rumah Tangga</t>
        </is>
      </c>
      <c r="H1103" s="10" t="inlineStr">
        <is>
          <t>Diffuser Aroma</t>
        </is>
      </c>
      <c r="I1103" s="10" t="n">
        <v>1</v>
      </c>
      <c r="J1103" s="10" t="n">
        <v>195000</v>
      </c>
      <c r="K1103" s="10" t="n">
        <v>195000</v>
      </c>
    </row>
    <row r="1104">
      <c r="A1104" s="10" t="inlineStr">
        <is>
          <t>INV-70770</t>
        </is>
      </c>
      <c r="B1104" s="10" t="inlineStr">
        <is>
          <t>2025-10-11</t>
        </is>
      </c>
      <c r="C1104" s="10" t="inlineStr">
        <is>
          <t>C1215</t>
        </is>
      </c>
      <c r="D1104" s="10" t="inlineStr">
        <is>
          <t>loyal</t>
        </is>
      </c>
      <c r="E1104" s="10" t="inlineStr">
        <is>
          <t>Offline Store</t>
        </is>
      </c>
      <c r="F1104" s="10" t="inlineStr">
        <is>
          <t>Jabodetabek</t>
        </is>
      </c>
      <c r="G1104" s="10" t="inlineStr">
        <is>
          <t>elektronik</t>
        </is>
      </c>
      <c r="H1104" s="10" t="inlineStr">
        <is>
          <t>Power Bank 20K</t>
        </is>
      </c>
      <c r="I1104" s="10" t="n">
        <v>1</v>
      </c>
      <c r="J1104" s="10" t="n">
        <v>185000</v>
      </c>
      <c r="K1104" s="10" t="inlineStr">
        <is>
          <t>Rp 185.000</t>
        </is>
      </c>
    </row>
    <row r="1105">
      <c r="A1105" s="10" t="inlineStr">
        <is>
          <t>INV-71478</t>
        </is>
      </c>
      <c r="B1105" s="10" t="inlineStr">
        <is>
          <t>2025-08-10</t>
        </is>
      </c>
      <c r="C1105" s="10" t="inlineStr">
        <is>
          <t>C1408</t>
        </is>
      </c>
      <c r="D1105" s="10" t="inlineStr">
        <is>
          <t>regular</t>
        </is>
      </c>
      <c r="E1105" s="10" t="inlineStr">
        <is>
          <t xml:space="preserve">Offline store </t>
        </is>
      </c>
      <c r="F1105" s="10" t="inlineStr">
        <is>
          <t>Jabodetabek</t>
        </is>
      </c>
      <c r="G1105" s="10" t="inlineStr">
        <is>
          <t>Fashion</t>
        </is>
      </c>
      <c r="H1105" s="10" t="inlineStr">
        <is>
          <t>Celana Chino</t>
        </is>
      </c>
      <c r="I1105" s="10" t="n">
        <v>4</v>
      </c>
      <c r="J1105" s="10" t="n">
        <v>195000</v>
      </c>
      <c r="K1105" s="10" t="inlineStr">
        <is>
          <t>Rp 780.000</t>
        </is>
      </c>
    </row>
    <row r="1106">
      <c r="A1106" s="10" t="inlineStr">
        <is>
          <t>INV-70005</t>
        </is>
      </c>
      <c r="B1106" s="10" t="inlineStr">
        <is>
          <t>19 May 2025</t>
        </is>
      </c>
      <c r="C1106" s="10" t="inlineStr">
        <is>
          <t>C1001</t>
        </is>
      </c>
      <c r="D1106" s="10" t="inlineStr">
        <is>
          <t>occasional</t>
        </is>
      </c>
      <c r="E1106" s="10" t="inlineStr">
        <is>
          <t>SHOPEE</t>
        </is>
      </c>
      <c r="F1106" s="10" t="inlineStr">
        <is>
          <t>Jabodetabek</t>
        </is>
      </c>
      <c r="G1106" s="10" t="inlineStr">
        <is>
          <t>Elektronik</t>
        </is>
      </c>
      <c r="H1106" s="10" t="inlineStr">
        <is>
          <t>Webcam HD</t>
        </is>
      </c>
      <c r="I1106" s="10" t="n">
        <v>3</v>
      </c>
      <c r="J1106" s="10" t="n">
        <v>210000</v>
      </c>
      <c r="K1106" s="10" t="n">
        <v>630000</v>
      </c>
    </row>
    <row r="1107">
      <c r="A1107" s="10" t="inlineStr">
        <is>
          <t>INV-71399</t>
        </is>
      </c>
      <c r="B1107" s="10" t="inlineStr">
        <is>
          <t>16 Apr 2026</t>
        </is>
      </c>
      <c r="C1107" s="10" t="inlineStr">
        <is>
          <t>C1386</t>
        </is>
      </c>
      <c r="D1107" s="10" t="inlineStr">
        <is>
          <t>loyal</t>
        </is>
      </c>
      <c r="E1107" s="10" t="inlineStr">
        <is>
          <t>TikTok Shop</t>
        </is>
      </c>
      <c r="F1107" s="10" t="inlineStr">
        <is>
          <t>Jawa Barat</t>
        </is>
      </c>
      <c r="G1107" s="10" t="inlineStr">
        <is>
          <t>rumah tangga</t>
        </is>
      </c>
      <c r="H1107" s="10" t="inlineStr">
        <is>
          <t>Organizer Laci</t>
        </is>
      </c>
      <c r="I1107" s="10" t="n">
        <v>2</v>
      </c>
      <c r="J1107" s="10" t="n">
        <v>78000</v>
      </c>
      <c r="K1107" s="10" t="n">
        <v>156000</v>
      </c>
    </row>
    <row r="1108">
      <c r="A1108" s="10" t="inlineStr">
        <is>
          <t>INV-71483</t>
        </is>
      </c>
      <c r="B1108" s="10" t="inlineStr">
        <is>
          <t>2026-04-07</t>
        </is>
      </c>
      <c r="C1108" s="10" t="inlineStr">
        <is>
          <t>C1409</t>
        </is>
      </c>
      <c r="D1108" s="10" t="inlineStr">
        <is>
          <t>loyal</t>
        </is>
      </c>
      <c r="E1108" s="10" t="inlineStr">
        <is>
          <t>TikTok Shop</t>
        </is>
      </c>
      <c r="F1108" s="10" t="inlineStr">
        <is>
          <t>Jabodetabek</t>
        </is>
      </c>
      <c r="G1108" s="10" t="inlineStr">
        <is>
          <t>Kecantikan</t>
        </is>
      </c>
      <c r="H1108" s="10" t="inlineStr">
        <is>
          <t>Masker Wajah (5s)</t>
        </is>
      </c>
      <c r="I1108" s="10" t="n">
        <v>2</v>
      </c>
      <c r="J1108" s="10" t="n">
        <v>55000</v>
      </c>
      <c r="K1108" s="10" t="n">
        <v>110000</v>
      </c>
    </row>
    <row r="1109">
      <c r="A1109" s="10" t="inlineStr">
        <is>
          <t>INV-71487</t>
        </is>
      </c>
      <c r="B1109" s="10" t="inlineStr">
        <is>
          <t>2025-06-27</t>
        </is>
      </c>
      <c r="C1109" s="10" t="inlineStr">
        <is>
          <t>C1409</t>
        </is>
      </c>
      <c r="D1109" s="10" t="inlineStr">
        <is>
          <t>loyal</t>
        </is>
      </c>
      <c r="E1109" s="10" t="inlineStr">
        <is>
          <t>Offline Store</t>
        </is>
      </c>
      <c r="F1109" s="10" t="inlineStr">
        <is>
          <t>Jabodetabek</t>
        </is>
      </c>
      <c r="G1109" s="10" t="inlineStr">
        <is>
          <t>Rumah Tangga</t>
        </is>
      </c>
      <c r="H1109" s="10" t="inlineStr">
        <is>
          <t>Karpet Bulu</t>
        </is>
      </c>
      <c r="I1109" s="10" t="n">
        <v>1</v>
      </c>
      <c r="J1109" s="10" t="n">
        <v>240000</v>
      </c>
      <c r="K1109" s="10" t="n">
        <v>240000</v>
      </c>
    </row>
    <row r="1110">
      <c r="A1110" s="10" t="inlineStr">
        <is>
          <t>INV-70614</t>
        </is>
      </c>
      <c r="B1110" s="10" t="inlineStr">
        <is>
          <t>13/05/2026</t>
        </is>
      </c>
      <c r="C1110" s="10" t="inlineStr">
        <is>
          <t>C1166</t>
        </is>
      </c>
      <c r="D1110" s="10" t="inlineStr">
        <is>
          <t>occasional</t>
        </is>
      </c>
      <c r="E1110" s="10" t="inlineStr">
        <is>
          <t>TikTok Shop</t>
        </is>
      </c>
      <c r="F1110" s="10" t="inlineStr">
        <is>
          <t>Jawa Timur</t>
        </is>
      </c>
      <c r="G1110" s="10" t="inlineStr">
        <is>
          <t>fashion</t>
        </is>
      </c>
      <c r="H1110" s="10" t="inlineStr">
        <is>
          <t>Kemeja Linen</t>
        </is>
      </c>
      <c r="I1110" s="10" t="n">
        <v>1</v>
      </c>
      <c r="J1110" s="10" t="n">
        <v>185000</v>
      </c>
      <c r="K1110" s="10" t="n">
        <v>185000</v>
      </c>
    </row>
    <row r="1111">
      <c r="A1111" s="10" t="inlineStr">
        <is>
          <t>INV-71170</t>
        </is>
      </c>
      <c r="B1111" s="10" t="inlineStr">
        <is>
          <t>15 Apr 2025</t>
        </is>
      </c>
      <c r="C1111" s="10" t="inlineStr">
        <is>
          <t>C1331</t>
        </is>
      </c>
      <c r="D1111" s="10" t="inlineStr">
        <is>
          <t>regular</t>
        </is>
      </c>
      <c r="E1111" s="10" t="inlineStr">
        <is>
          <t>Tokopedia</t>
        </is>
      </c>
      <c r="F1111" s="10" t="inlineStr">
        <is>
          <t>Sumatera</t>
        </is>
      </c>
      <c r="G1111" s="10" t="inlineStr">
        <is>
          <t>Elektronik</t>
        </is>
      </c>
      <c r="H1111" s="10" t="inlineStr">
        <is>
          <t>Webcam HD</t>
        </is>
      </c>
      <c r="I1111" s="10" t="n">
        <v>1</v>
      </c>
      <c r="J1111" s="10" t="n">
        <v>210000</v>
      </c>
      <c r="K1111" s="10" t="n">
        <v>210000</v>
      </c>
    </row>
    <row r="1112">
      <c r="A1112" s="10" t="inlineStr">
        <is>
          <t>INV-71124</t>
        </is>
      </c>
      <c r="B1112" s="10" t="inlineStr">
        <is>
          <t>13/04/2025</t>
        </is>
      </c>
      <c r="C1112" s="10" t="inlineStr">
        <is>
          <t>C1315</t>
        </is>
      </c>
      <c r="D1112" s="10" t="inlineStr">
        <is>
          <t>regular</t>
        </is>
      </c>
      <c r="E1112" s="10" t="inlineStr">
        <is>
          <t>Shopee</t>
        </is>
      </c>
      <c r="F1112" s="10" t="inlineStr">
        <is>
          <t>Jabodetabek</t>
        </is>
      </c>
      <c r="G1112" s="10" t="inlineStr">
        <is>
          <t>Elektronik</t>
        </is>
      </c>
      <c r="H1112" s="10" t="inlineStr">
        <is>
          <t>Power Bank 20K</t>
        </is>
      </c>
      <c r="I1112" s="10" t="n">
        <v>4</v>
      </c>
      <c r="J1112" s="10" t="n">
        <v>185000</v>
      </c>
      <c r="K1112" s="10" t="n">
        <v>740000</v>
      </c>
    </row>
    <row r="1113">
      <c r="A1113" s="10" t="inlineStr">
        <is>
          <t>INV-70163</t>
        </is>
      </c>
      <c r="B1113" s="10" t="inlineStr">
        <is>
          <t>2025-11-20</t>
        </is>
      </c>
      <c r="C1113" s="10" t="inlineStr">
        <is>
          <t>C1049</t>
        </is>
      </c>
      <c r="D1113" s="10" t="inlineStr">
        <is>
          <t>champion</t>
        </is>
      </c>
      <c r="E1113" s="10" t="inlineStr">
        <is>
          <t>Shopee</t>
        </is>
      </c>
      <c r="F1113" s="10" t="inlineStr">
        <is>
          <t>Lainnya</t>
        </is>
      </c>
      <c r="G1113" s="10" t="inlineStr">
        <is>
          <t>Kecantikan</t>
        </is>
      </c>
      <c r="H1113" s="10" t="inlineStr">
        <is>
          <t>Masker Wajah (5s)</t>
        </is>
      </c>
      <c r="I1113" s="10" t="n">
        <v>2</v>
      </c>
      <c r="J1113" s="10" t="n">
        <v>55000</v>
      </c>
      <c r="K1113" s="10" t="n">
        <v>110000</v>
      </c>
    </row>
    <row r="1114">
      <c r="A1114" s="10" t="inlineStr">
        <is>
          <t>INV-70079</t>
        </is>
      </c>
      <c r="B1114" s="10" t="inlineStr">
        <is>
          <t>2025-02-18</t>
        </is>
      </c>
      <c r="C1114" s="10" t="inlineStr">
        <is>
          <t>C1025</t>
        </is>
      </c>
      <c r="D1114" s="10" t="inlineStr">
        <is>
          <t>loyal</t>
        </is>
      </c>
      <c r="E1114" s="10" t="inlineStr">
        <is>
          <t>Tokopedia</t>
        </is>
      </c>
      <c r="F1114" s="10" t="inlineStr">
        <is>
          <t>Jawa Timur</t>
        </is>
      </c>
      <c r="G1114" s="10" t="inlineStr">
        <is>
          <t>Elektronik</t>
        </is>
      </c>
      <c r="H1114" s="10" t="inlineStr">
        <is>
          <t>Earbuds TWS</t>
        </is>
      </c>
      <c r="I1114" s="10" t="n">
        <v>2</v>
      </c>
      <c r="J1114" s="10" t="n">
        <v>265000</v>
      </c>
      <c r="K1114" s="10" t="n">
        <v>530000</v>
      </c>
    </row>
    <row r="1115">
      <c r="A1115" s="10" t="inlineStr">
        <is>
          <t>INV-71405</t>
        </is>
      </c>
      <c r="B1115" s="10" t="inlineStr">
        <is>
          <t>2025-05-10</t>
        </is>
      </c>
      <c r="C1115" s="10" t="inlineStr">
        <is>
          <t>C1387</t>
        </is>
      </c>
      <c r="D1115" s="10" t="inlineStr">
        <is>
          <t>onetime</t>
        </is>
      </c>
      <c r="E1115" s="10" t="inlineStr">
        <is>
          <t>Offline Store</t>
        </is>
      </c>
      <c r="F1115" s="10" t="inlineStr">
        <is>
          <t>Jabodetabek</t>
        </is>
      </c>
      <c r="G1115" s="10" t="inlineStr">
        <is>
          <t>Fashion</t>
        </is>
      </c>
      <c r="H1115" s="10" t="inlineStr">
        <is>
          <t>Celana Chino</t>
        </is>
      </c>
      <c r="I1115" s="10" t="n">
        <v>1</v>
      </c>
      <c r="J1115" s="10" t="n">
        <v>195000</v>
      </c>
      <c r="K1115" s="10" t="n">
        <v>195000</v>
      </c>
    </row>
    <row r="1116">
      <c r="A1116" s="10" t="inlineStr">
        <is>
          <t>INV-70911</t>
        </is>
      </c>
      <c r="B1116" s="10" t="inlineStr">
        <is>
          <t>2026-06-07</t>
        </is>
      </c>
      <c r="C1116" s="10" t="inlineStr">
        <is>
          <t>C1258</t>
        </is>
      </c>
      <c r="D1116" s="10" t="inlineStr">
        <is>
          <t>regular</t>
        </is>
      </c>
      <c r="E1116" s="10" t="inlineStr">
        <is>
          <t>TikTok Shop</t>
        </is>
      </c>
      <c r="F1116" s="10" t="inlineStr">
        <is>
          <t>Jawa Barat</t>
        </is>
      </c>
      <c r="G1116" s="10" t="inlineStr">
        <is>
          <t>rumah tangga</t>
        </is>
      </c>
      <c r="H1116" s="10" t="inlineStr">
        <is>
          <t>Set Wadah Kedap</t>
        </is>
      </c>
      <c r="I1116" s="10" t="n">
        <v>1</v>
      </c>
      <c r="J1116" s="10" t="n">
        <v>135000</v>
      </c>
      <c r="K1116" s="10" t="n">
        <v>135000</v>
      </c>
    </row>
    <row r="1117">
      <c r="A1117" s="10" t="inlineStr">
        <is>
          <t>INV-70905</t>
        </is>
      </c>
      <c r="B1117" s="10" t="inlineStr">
        <is>
          <t>2025-04-19</t>
        </is>
      </c>
      <c r="C1117" s="10" t="inlineStr">
        <is>
          <t>C1256</t>
        </is>
      </c>
      <c r="D1117" s="10" t="inlineStr">
        <is>
          <t>loyal</t>
        </is>
      </c>
      <c r="E1117" s="10" t="inlineStr">
        <is>
          <t>Shopee</t>
        </is>
      </c>
      <c r="F1117" s="10" t="inlineStr">
        <is>
          <t>Jabodetabek</t>
        </is>
      </c>
      <c r="G1117" s="10" t="inlineStr">
        <is>
          <t>Kecantikan</t>
        </is>
      </c>
      <c r="H1117" s="10" t="inlineStr">
        <is>
          <t>Masker Wajah (5s)</t>
        </is>
      </c>
      <c r="I1117" s="10" t="n">
        <v>4</v>
      </c>
      <c r="J1117" s="10" t="n">
        <v>55000</v>
      </c>
      <c r="K1117" s="10" t="n">
        <v>220000</v>
      </c>
    </row>
    <row r="1118">
      <c r="A1118" s="10" t="inlineStr">
        <is>
          <t>INV-71081</t>
        </is>
      </c>
      <c r="B1118" s="10" t="inlineStr">
        <is>
          <t>11 Mar 2025</t>
        </is>
      </c>
      <c r="C1118" s="10" t="inlineStr">
        <is>
          <t>C1305</t>
        </is>
      </c>
      <c r="D1118" s="10" t="inlineStr">
        <is>
          <t>champion</t>
        </is>
      </c>
      <c r="E1118" s="10" t="inlineStr">
        <is>
          <t>TikTok Shop</t>
        </is>
      </c>
      <c r="F1118" s="10" t="inlineStr">
        <is>
          <t>Jabodetabek</t>
        </is>
      </c>
      <c r="G1118" s="10" t="inlineStr">
        <is>
          <t>Rumah Tangga</t>
        </is>
      </c>
      <c r="H1118" s="10" t="inlineStr">
        <is>
          <t>Set Wadah Kedap</t>
        </is>
      </c>
      <c r="I1118" s="10" t="n">
        <v>2</v>
      </c>
      <c r="J1118" s="10" t="n">
        <v>135000</v>
      </c>
      <c r="K1118" s="10" t="n">
        <v>270000</v>
      </c>
    </row>
    <row r="1119">
      <c r="A1119" s="10" t="inlineStr">
        <is>
          <t>INV-70545</t>
        </is>
      </c>
      <c r="B1119" s="10" t="inlineStr">
        <is>
          <t>2025-09-10</t>
        </is>
      </c>
      <c r="C1119" s="10" t="inlineStr">
        <is>
          <t>C1150</t>
        </is>
      </c>
      <c r="D1119" s="10" t="inlineStr">
        <is>
          <t>champion</t>
        </is>
      </c>
      <c r="E1119" s="10" t="inlineStr">
        <is>
          <t>Tiktok Shop</t>
        </is>
      </c>
      <c r="F1119" s="10" t="inlineStr">
        <is>
          <t>Jawa Barat</t>
        </is>
      </c>
      <c r="G1119" s="10" t="inlineStr">
        <is>
          <t>Rumah Tangga</t>
        </is>
      </c>
      <c r="H1119" s="10" t="inlineStr">
        <is>
          <t>Set Wadah Kedap</t>
        </is>
      </c>
      <c r="I1119" s="10" t="n">
        <v>2</v>
      </c>
      <c r="J1119" s="10" t="n">
        <v>135000</v>
      </c>
      <c r="K1119" s="10" t="n">
        <v>270000</v>
      </c>
    </row>
    <row r="1120">
      <c r="A1120" s="10" t="inlineStr">
        <is>
          <t>INV-70605</t>
        </is>
      </c>
      <c r="B1120" s="10" t="inlineStr">
        <is>
          <t>23 Feb 2026</t>
        </is>
      </c>
      <c r="C1120" s="10" t="inlineStr">
        <is>
          <t>C1162</t>
        </is>
      </c>
      <c r="D1120" s="10" t="inlineStr">
        <is>
          <t>regular</t>
        </is>
      </c>
      <c r="E1120" s="10" t="inlineStr">
        <is>
          <t>Shopee</t>
        </is>
      </c>
      <c r="F1120" s="10" t="inlineStr">
        <is>
          <t>Jabodetabek</t>
        </is>
      </c>
      <c r="G1120" s="10" t="inlineStr">
        <is>
          <t>Makanan</t>
        </is>
      </c>
      <c r="H1120" s="10" t="inlineStr">
        <is>
          <t>Granola 500g</t>
        </is>
      </c>
      <c r="I1120" s="10" t="n">
        <v>3</v>
      </c>
      <c r="J1120" s="10" t="n">
        <v>92000</v>
      </c>
      <c r="K1120" s="10" t="inlineStr">
        <is>
          <t>Rp 276.000</t>
        </is>
      </c>
    </row>
    <row r="1121">
      <c r="A1121" s="10" t="inlineStr">
        <is>
          <t>INV-70211</t>
        </is>
      </c>
      <c r="B1121" s="10" t="inlineStr">
        <is>
          <t>27/12/2025</t>
        </is>
      </c>
      <c r="C1121" s="10" t="inlineStr">
        <is>
          <t>C1060</t>
        </is>
      </c>
      <c r="D1121" s="10" t="inlineStr">
        <is>
          <t>loyal</t>
        </is>
      </c>
      <c r="E1121" s="10" t="inlineStr">
        <is>
          <t>Offline Store</t>
        </is>
      </c>
      <c r="F1121" s="10" t="inlineStr">
        <is>
          <t>Sumatera</t>
        </is>
      </c>
      <c r="G1121" s="10" t="inlineStr">
        <is>
          <t>Rumah Tangga</t>
        </is>
      </c>
      <c r="H1121" s="10" t="inlineStr">
        <is>
          <t>Set Wadah Kedap</t>
        </is>
      </c>
      <c r="I1121" s="10" t="n">
        <v>1</v>
      </c>
      <c r="J1121" s="10" t="n">
        <v>135000</v>
      </c>
      <c r="K1121" s="10" t="inlineStr">
        <is>
          <t>Rp 135.000</t>
        </is>
      </c>
    </row>
    <row r="1122">
      <c r="A1122" s="10" t="inlineStr">
        <is>
          <t>INV-71387</t>
        </is>
      </c>
      <c r="B1122" s="10" t="inlineStr">
        <is>
          <t>2025-12-06</t>
        </is>
      </c>
      <c r="C1122" s="10" t="inlineStr">
        <is>
          <t>C1384</t>
        </is>
      </c>
      <c r="D1122" s="10" t="inlineStr">
        <is>
          <t>regular</t>
        </is>
      </c>
      <c r="E1122" s="10" t="inlineStr">
        <is>
          <t>TikTok Shop</t>
        </is>
      </c>
      <c r="F1122" s="10" t="inlineStr">
        <is>
          <t>Sumatera</t>
        </is>
      </c>
      <c r="G1122" s="10" t="inlineStr">
        <is>
          <t>Rumah Tangga</t>
        </is>
      </c>
      <c r="H1122" s="10" t="inlineStr">
        <is>
          <t>Set Wadah Kedap</t>
        </is>
      </c>
      <c r="I1122" s="10" t="n">
        <v>1</v>
      </c>
      <c r="J1122" s="10" t="n">
        <v>135000</v>
      </c>
      <c r="K1122" s="10" t="inlineStr">
        <is>
          <t>Rp 135.000</t>
        </is>
      </c>
    </row>
    <row r="1123">
      <c r="A1123" s="10" t="inlineStr">
        <is>
          <t>INV-70131</t>
        </is>
      </c>
      <c r="B1123" s="10" t="inlineStr">
        <is>
          <t>2025-11-14</t>
        </is>
      </c>
      <c r="C1123" s="10" t="inlineStr">
        <is>
          <t>C1038</t>
        </is>
      </c>
      <c r="D1123" s="10" t="inlineStr">
        <is>
          <t>champion</t>
        </is>
      </c>
      <c r="E1123" s="10" t="inlineStr">
        <is>
          <t>Offline Store</t>
        </is>
      </c>
      <c r="F1123" s="10" t="inlineStr">
        <is>
          <t>Jawa Barat</t>
        </is>
      </c>
      <c r="G1123" s="10" t="inlineStr">
        <is>
          <t>Elektronik</t>
        </is>
      </c>
      <c r="H1123" s="10" t="inlineStr">
        <is>
          <t>Earbuds TWS</t>
        </is>
      </c>
      <c r="I1123" s="10" t="n">
        <v>2</v>
      </c>
      <c r="J1123" s="10" t="n">
        <v>265000</v>
      </c>
      <c r="K1123" s="10" t="n">
        <v>530000</v>
      </c>
    </row>
    <row r="1124">
      <c r="A1124" s="10" t="inlineStr">
        <is>
          <t>INV-70112</t>
        </is>
      </c>
      <c r="B1124" s="10" t="inlineStr">
        <is>
          <t>2025-06-13</t>
        </is>
      </c>
      <c r="C1124" s="10" t="inlineStr">
        <is>
          <t>C1033</t>
        </is>
      </c>
      <c r="D1124" s="10" t="inlineStr">
        <is>
          <t>regular</t>
        </is>
      </c>
      <c r="E1124" s="10" t="inlineStr">
        <is>
          <t>offline store</t>
        </is>
      </c>
      <c r="F1124" s="10" t="inlineStr">
        <is>
          <t>Jabodetabek</t>
        </is>
      </c>
      <c r="G1124" s="10" t="inlineStr">
        <is>
          <t>Rumah Tangga</t>
        </is>
      </c>
      <c r="H1124" s="10" t="inlineStr">
        <is>
          <t>Set Wadah Kedap</t>
        </is>
      </c>
      <c r="I1124" s="10" t="n">
        <v>1</v>
      </c>
      <c r="J1124" s="10" t="n">
        <v>135000</v>
      </c>
      <c r="K1124" s="10" t="n">
        <v>135000</v>
      </c>
    </row>
    <row r="1125">
      <c r="A1125" s="10" t="inlineStr">
        <is>
          <t>INV-71376</t>
        </is>
      </c>
      <c r="B1125" s="10" t="inlineStr">
        <is>
          <t>19 Dec 2025</t>
        </is>
      </c>
      <c r="C1125" s="10" t="inlineStr">
        <is>
          <t>C1380</t>
        </is>
      </c>
      <c r="D1125" s="10" t="inlineStr">
        <is>
          <t>onetime</t>
        </is>
      </c>
      <c r="E1125" s="10" t="inlineStr">
        <is>
          <t xml:space="preserve"> tokopedia</t>
        </is>
      </c>
      <c r="F1125" s="10" t="inlineStr">
        <is>
          <t>Jabodetabek</t>
        </is>
      </c>
      <c r="G1125" s="10" t="inlineStr">
        <is>
          <t>Makanan</t>
        </is>
      </c>
      <c r="H1125" s="10" t="inlineStr">
        <is>
          <t>Granola 500g</t>
        </is>
      </c>
      <c r="I1125" s="10" t="n">
        <v>1</v>
      </c>
      <c r="J1125" s="10" t="n">
        <v>92000</v>
      </c>
      <c r="K1125" s="10" t="n">
        <v>92000</v>
      </c>
    </row>
    <row r="1126">
      <c r="A1126" s="10" t="inlineStr">
        <is>
          <t>INV-71045</t>
        </is>
      </c>
      <c r="B1126" s="10" t="inlineStr">
        <is>
          <t>2025-10-27</t>
        </is>
      </c>
      <c r="C1126" s="10" t="inlineStr">
        <is>
          <t>C1296</t>
        </is>
      </c>
      <c r="D1126" s="10" t="inlineStr">
        <is>
          <t>loyal</t>
        </is>
      </c>
      <c r="E1126" s="10" t="inlineStr">
        <is>
          <t>Shopee</t>
        </is>
      </c>
      <c r="F1126" s="10" t="inlineStr">
        <is>
          <t>Sumatera</t>
        </is>
      </c>
      <c r="G1126" s="10" t="inlineStr">
        <is>
          <t>Makanan</t>
        </is>
      </c>
      <c r="H1126" s="10" t="inlineStr">
        <is>
          <t>Granola 500g</t>
        </is>
      </c>
      <c r="I1126" s="10" t="n">
        <v>1</v>
      </c>
      <c r="J1126" s="10" t="n">
        <v>92000</v>
      </c>
      <c r="K1126" s="10" t="n">
        <v>92000</v>
      </c>
    </row>
    <row r="1127">
      <c r="A1127" s="10" t="inlineStr">
        <is>
          <t>INV-70403</t>
        </is>
      </c>
      <c r="B1127" s="10" t="inlineStr">
        <is>
          <t>2025-05-06</t>
        </is>
      </c>
      <c r="C1127" s="10" t="inlineStr">
        <is>
          <t>C1112</t>
        </is>
      </c>
      <c r="D1127" s="10" t="inlineStr">
        <is>
          <t>loyal</t>
        </is>
      </c>
      <c r="E1127" s="10" t="inlineStr">
        <is>
          <t xml:space="preserve">Shopee </t>
        </is>
      </c>
      <c r="F1127" s="10" t="inlineStr">
        <is>
          <t>Jabodetabek</t>
        </is>
      </c>
      <c r="G1127" s="10" t="inlineStr">
        <is>
          <t>Rumah Tangga</t>
        </is>
      </c>
      <c r="H1127" s="10" t="inlineStr">
        <is>
          <t>Set Wadah Kedap</t>
        </is>
      </c>
      <c r="I1127" s="10" t="n">
        <v>4</v>
      </c>
      <c r="J1127" s="10" t="n">
        <v>135000</v>
      </c>
      <c r="K1127" s="10" t="inlineStr">
        <is>
          <t>Rp 540.000</t>
        </is>
      </c>
    </row>
    <row r="1128">
      <c r="A1128" s="10" t="inlineStr">
        <is>
          <t>INV-70118</t>
        </is>
      </c>
      <c r="B1128" s="10" t="inlineStr">
        <is>
          <t>10/02/2026</t>
        </is>
      </c>
      <c r="C1128" s="10" t="inlineStr">
        <is>
          <t>C1038</t>
        </is>
      </c>
      <c r="D1128" s="10" t="inlineStr">
        <is>
          <t>champion</t>
        </is>
      </c>
      <c r="E1128" s="10" t="inlineStr">
        <is>
          <t>Tiktok Shop</t>
        </is>
      </c>
      <c r="F1128" s="10" t="inlineStr">
        <is>
          <t>Jawa Tengah</t>
        </is>
      </c>
      <c r="G1128" s="10" t="inlineStr">
        <is>
          <t>Rumah Tangga</t>
        </is>
      </c>
      <c r="H1128" s="10" t="inlineStr">
        <is>
          <t>Set Wadah Kedap</t>
        </is>
      </c>
      <c r="I1128" s="10" t="n">
        <v>1</v>
      </c>
      <c r="J1128" s="10" t="n">
        <v>135000</v>
      </c>
      <c r="K1128" s="10" t="n">
        <v>135000</v>
      </c>
    </row>
    <row r="1129">
      <c r="A1129" s="10" t="inlineStr">
        <is>
          <t>INV-71186</t>
        </is>
      </c>
      <c r="B1129" s="10" t="inlineStr">
        <is>
          <t>12 Aug 2025</t>
        </is>
      </c>
      <c r="C1129" s="10" t="inlineStr">
        <is>
          <t>C1334</t>
        </is>
      </c>
      <c r="D1129" s="10" t="inlineStr">
        <is>
          <t>champion</t>
        </is>
      </c>
      <c r="E1129" s="10" t="inlineStr">
        <is>
          <t>Tokopedia</t>
        </is>
      </c>
      <c r="F1129" s="10" t="inlineStr">
        <is>
          <t>Jabodetabek</t>
        </is>
      </c>
      <c r="G1129" s="10" t="inlineStr">
        <is>
          <t>Elektronik</t>
        </is>
      </c>
      <c r="H1129" s="10" t="inlineStr">
        <is>
          <t>Earbuds TWS</t>
        </is>
      </c>
      <c r="I1129" s="10" t="n">
        <v>4</v>
      </c>
      <c r="J1129" s="10" t="n">
        <v>265000</v>
      </c>
      <c r="K1129" s="10" t="inlineStr">
        <is>
          <t>Rp 1.060.000</t>
        </is>
      </c>
    </row>
    <row r="1130">
      <c r="A1130" s="10" t="inlineStr">
        <is>
          <t>INV-71309</t>
        </is>
      </c>
      <c r="B1130" s="10" t="inlineStr">
        <is>
          <t>2026-04-04</t>
        </is>
      </c>
      <c r="C1130" s="10" t="inlineStr">
        <is>
          <t>C1363</t>
        </is>
      </c>
      <c r="D1130" s="10" t="inlineStr">
        <is>
          <t>regular</t>
        </is>
      </c>
      <c r="E1130" s="10" t="inlineStr">
        <is>
          <t>Tokopedia</t>
        </is>
      </c>
      <c r="F1130" s="10" t="inlineStr">
        <is>
          <t>Jawa Tengah</t>
        </is>
      </c>
      <c r="G1130" s="10" t="inlineStr">
        <is>
          <t>Elektronik</t>
        </is>
      </c>
      <c r="H1130" s="10" t="inlineStr">
        <is>
          <t>Webcam HD</t>
        </is>
      </c>
      <c r="I1130" s="10" t="n">
        <v>2</v>
      </c>
      <c r="J1130" s="10" t="n">
        <v>210000</v>
      </c>
      <c r="K1130" s="10" t="n">
        <v>420000</v>
      </c>
    </row>
    <row r="1131">
      <c r="A1131" s="10" t="inlineStr">
        <is>
          <t>INV-71366</t>
        </is>
      </c>
      <c r="B1131" s="10" t="inlineStr">
        <is>
          <t>10/05/2025</t>
        </is>
      </c>
      <c r="C1131" s="10" t="inlineStr">
        <is>
          <t>C1377</t>
        </is>
      </c>
      <c r="D1131" s="10" t="inlineStr">
        <is>
          <t>champion</t>
        </is>
      </c>
      <c r="E1131" s="10" t="inlineStr">
        <is>
          <t>Offline Store</t>
        </is>
      </c>
      <c r="F1131" s="10" t="inlineStr">
        <is>
          <t>Jabodetabek</t>
        </is>
      </c>
      <c r="G1131" s="10" t="inlineStr">
        <is>
          <t>Rumah Tangga</t>
        </is>
      </c>
      <c r="H1131" s="10" t="inlineStr">
        <is>
          <t>Diffuser Aroma</t>
        </is>
      </c>
      <c r="I1131" s="10" t="n">
        <v>4</v>
      </c>
      <c r="J1131" s="10" t="n">
        <v>195000</v>
      </c>
      <c r="K1131" s="10" t="n">
        <v>780000</v>
      </c>
    </row>
    <row r="1132">
      <c r="A1132" s="10" t="inlineStr">
        <is>
          <t>INV-71393</t>
        </is>
      </c>
      <c r="B1132" s="10" t="inlineStr">
        <is>
          <t>2025-11-22</t>
        </is>
      </c>
      <c r="C1132" s="10" t="inlineStr">
        <is>
          <t>C1386</t>
        </is>
      </c>
      <c r="D1132" s="10" t="inlineStr">
        <is>
          <t>loyal</t>
        </is>
      </c>
      <c r="E1132" s="10" t="inlineStr">
        <is>
          <t xml:space="preserve">Tokopedia </t>
        </is>
      </c>
      <c r="F1132" s="10" t="inlineStr">
        <is>
          <t>Jabodetabek</t>
        </is>
      </c>
      <c r="G1132" s="10" t="inlineStr">
        <is>
          <t>Rumah Tangga</t>
        </is>
      </c>
      <c r="H1132" s="10" t="inlineStr">
        <is>
          <t>Organizer Laci</t>
        </is>
      </c>
      <c r="I1132" s="10" t="n">
        <v>3</v>
      </c>
      <c r="J1132" s="10" t="n">
        <v>78000</v>
      </c>
      <c r="K1132" s="10" t="inlineStr">
        <is>
          <t>Rp 234.000</t>
        </is>
      </c>
    </row>
    <row r="1133">
      <c r="A1133" s="10" t="inlineStr">
        <is>
          <t>INV-70350</t>
        </is>
      </c>
      <c r="B1133" s="10" t="inlineStr">
        <is>
          <t>17/02/2026</t>
        </is>
      </c>
      <c r="C1133" s="10" t="inlineStr">
        <is>
          <t>C1094</t>
        </is>
      </c>
      <c r="D1133" s="10" t="inlineStr">
        <is>
          <t>regular</t>
        </is>
      </c>
      <c r="E1133" s="10" t="inlineStr">
        <is>
          <t xml:space="preserve">Offline store </t>
        </is>
      </c>
      <c r="F1133" s="10" t="inlineStr">
        <is>
          <t>Jawa Tengah</t>
        </is>
      </c>
      <c r="G1133" s="10" t="inlineStr">
        <is>
          <t>Rumah Tangga</t>
        </is>
      </c>
      <c r="H1133" s="10" t="inlineStr">
        <is>
          <t>Set Wadah Kedap</t>
        </is>
      </c>
      <c r="I1133" s="10" t="n">
        <v>1</v>
      </c>
      <c r="J1133" s="10" t="n">
        <v>135000</v>
      </c>
      <c r="K1133" s="10" t="inlineStr">
        <is>
          <t>Rp 135.000</t>
        </is>
      </c>
    </row>
    <row r="1134">
      <c r="A1134" s="10" t="inlineStr">
        <is>
          <t>INV-70891</t>
        </is>
      </c>
      <c r="B1134" s="10" t="inlineStr">
        <is>
          <t>21/06/2026</t>
        </is>
      </c>
      <c r="C1134" s="10" t="inlineStr">
        <is>
          <t>C1250</t>
        </is>
      </c>
      <c r="D1134" s="10" t="inlineStr">
        <is>
          <t>regular</t>
        </is>
      </c>
      <c r="E1134" s="10" t="inlineStr">
        <is>
          <t xml:space="preserve">Shopee </t>
        </is>
      </c>
      <c r="F1134" s="10" t="n"/>
      <c r="G1134" s="10" t="inlineStr">
        <is>
          <t>Rumah Tangga</t>
        </is>
      </c>
      <c r="H1134" s="10" t="inlineStr">
        <is>
          <t>Organizer Laci</t>
        </is>
      </c>
      <c r="I1134" s="10" t="n">
        <v>4</v>
      </c>
      <c r="J1134" s="10" t="n">
        <v>78000</v>
      </c>
      <c r="K1134" s="10" t="n">
        <v>312000</v>
      </c>
    </row>
    <row r="1135">
      <c r="A1135" s="10" t="inlineStr">
        <is>
          <t>INV-70733</t>
        </is>
      </c>
      <c r="B1135" s="10" t="inlineStr">
        <is>
          <t>11 Sep 2025</t>
        </is>
      </c>
      <c r="C1135" s="10" t="inlineStr">
        <is>
          <t>C1207</t>
        </is>
      </c>
      <c r="D1135" s="10" t="inlineStr">
        <is>
          <t>loyal</t>
        </is>
      </c>
      <c r="E1135" s="10" t="inlineStr">
        <is>
          <t>TikTok Shop</t>
        </is>
      </c>
      <c r="F1135" s="10" t="inlineStr">
        <is>
          <t>Jabodetabek</t>
        </is>
      </c>
      <c r="G1135" s="10" t="inlineStr">
        <is>
          <t>Elektronik</t>
        </is>
      </c>
      <c r="H1135" s="10" t="inlineStr">
        <is>
          <t>Smartwatch</t>
        </is>
      </c>
      <c r="I1135" s="10" t="n">
        <v>2</v>
      </c>
      <c r="J1135" s="10" t="n">
        <v>450000</v>
      </c>
      <c r="K1135" s="10" t="inlineStr">
        <is>
          <t>Rp 900.000</t>
        </is>
      </c>
    </row>
    <row r="1136">
      <c r="A1136" s="10" t="inlineStr">
        <is>
          <t>INV-70709</t>
        </is>
      </c>
      <c r="B1136" s="10" t="inlineStr">
        <is>
          <t>2025-06-25</t>
        </is>
      </c>
      <c r="C1136" s="10" t="inlineStr">
        <is>
          <t>C1196</t>
        </is>
      </c>
      <c r="D1136" s="10" t="inlineStr">
        <is>
          <t>occasional</t>
        </is>
      </c>
      <c r="E1136" s="10" t="inlineStr">
        <is>
          <t>Offline Store</t>
        </is>
      </c>
      <c r="F1136" s="10" t="n"/>
      <c r="G1136" s="10" t="inlineStr">
        <is>
          <t>Rumah Tangga</t>
        </is>
      </c>
      <c r="H1136" s="10" t="inlineStr">
        <is>
          <t>Set Wadah Kedap</t>
        </is>
      </c>
      <c r="I1136" s="10" t="n">
        <v>3</v>
      </c>
      <c r="J1136" s="10" t="n">
        <v>135000</v>
      </c>
      <c r="K1136" s="10" t="n">
        <v>405000</v>
      </c>
    </row>
    <row r="1137">
      <c r="A1137" s="10" t="inlineStr">
        <is>
          <t>INV-70035</t>
        </is>
      </c>
      <c r="B1137" s="10" t="inlineStr">
        <is>
          <t>2025-09-21</t>
        </is>
      </c>
      <c r="C1137" s="10" t="inlineStr">
        <is>
          <t>C1008</t>
        </is>
      </c>
      <c r="D1137" s="10" t="inlineStr">
        <is>
          <t>regular</t>
        </is>
      </c>
      <c r="E1137" s="10" t="inlineStr">
        <is>
          <t>offline store</t>
        </is>
      </c>
      <c r="F1137" s="10" t="inlineStr">
        <is>
          <t>Jabodetabek</t>
        </is>
      </c>
      <c r="G1137" s="10" t="inlineStr">
        <is>
          <t>Rumah Tangga</t>
        </is>
      </c>
      <c r="H1137" s="10" t="inlineStr">
        <is>
          <t>Set Wadah Kedap</t>
        </is>
      </c>
      <c r="I1137" s="10" t="n">
        <v>1</v>
      </c>
      <c r="J1137" s="10" t="n">
        <v>135000</v>
      </c>
      <c r="K1137" s="10" t="n">
        <v>135000</v>
      </c>
    </row>
    <row r="1138">
      <c r="A1138" s="10" t="inlineStr">
        <is>
          <t>INV-70850</t>
        </is>
      </c>
      <c r="B1138" s="10" t="inlineStr">
        <is>
          <t>2025-03-02</t>
        </is>
      </c>
      <c r="C1138" s="10" t="inlineStr">
        <is>
          <t>C1239</t>
        </is>
      </c>
      <c r="D1138" s="10" t="inlineStr">
        <is>
          <t>onetime</t>
        </is>
      </c>
      <c r="E1138" s="10" t="inlineStr">
        <is>
          <t>Tokopedia</t>
        </is>
      </c>
      <c r="F1138" s="10" t="inlineStr">
        <is>
          <t>Jabodetabek</t>
        </is>
      </c>
      <c r="G1138" s="10" t="inlineStr">
        <is>
          <t>Rumah Tangga</t>
        </is>
      </c>
      <c r="H1138" s="10" t="inlineStr">
        <is>
          <t>Diffuser Aroma</t>
        </is>
      </c>
      <c r="I1138" s="10" t="n">
        <v>1</v>
      </c>
      <c r="J1138" s="10" t="n">
        <v>195000</v>
      </c>
      <c r="K1138" s="10" t="n">
        <v>195000</v>
      </c>
    </row>
    <row r="1139">
      <c r="A1139" s="10" t="inlineStr">
        <is>
          <t>INV-70874</t>
        </is>
      </c>
      <c r="B1139" s="10" t="inlineStr">
        <is>
          <t>2026-04-07</t>
        </is>
      </c>
      <c r="C1139" s="10" t="inlineStr">
        <is>
          <t>C1246</t>
        </is>
      </c>
      <c r="D1139" s="10" t="inlineStr">
        <is>
          <t>champion</t>
        </is>
      </c>
      <c r="E1139" s="10" t="inlineStr">
        <is>
          <t>Offline Store</t>
        </is>
      </c>
      <c r="F1139" s="10" t="inlineStr">
        <is>
          <t>Jawa Tengah</t>
        </is>
      </c>
      <c r="G1139" s="10" t="inlineStr">
        <is>
          <t>elektronik</t>
        </is>
      </c>
      <c r="H1139" s="10" t="inlineStr">
        <is>
          <t>Power Bank 20K</t>
        </is>
      </c>
      <c r="I1139" s="10" t="n">
        <v>3</v>
      </c>
      <c r="J1139" s="10" t="n">
        <v>185000</v>
      </c>
      <c r="K1139" s="10" t="n">
        <v>555000</v>
      </c>
    </row>
    <row r="1140">
      <c r="A1140" s="10" t="inlineStr">
        <is>
          <t>INV-71318</t>
        </is>
      </c>
      <c r="B1140" s="10" t="inlineStr">
        <is>
          <t>17/01/2026</t>
        </is>
      </c>
      <c r="C1140" s="10" t="inlineStr">
        <is>
          <t>C1364</t>
        </is>
      </c>
      <c r="D1140" s="10" t="inlineStr">
        <is>
          <t>champion</t>
        </is>
      </c>
      <c r="E1140" s="10" t="inlineStr">
        <is>
          <t>TikTok Shop</t>
        </is>
      </c>
      <c r="F1140" s="10" t="inlineStr">
        <is>
          <t>Jabodetabek</t>
        </is>
      </c>
      <c r="G1140" s="10" t="inlineStr">
        <is>
          <t>Kecantikan</t>
        </is>
      </c>
      <c r="H1140" s="10" t="inlineStr">
        <is>
          <t>Masker Wajah (5s)</t>
        </is>
      </c>
      <c r="I1140" s="10" t="n">
        <v>3</v>
      </c>
      <c r="J1140" s="10" t="n">
        <v>55000</v>
      </c>
      <c r="K1140" s="10" t="n">
        <v>165000</v>
      </c>
    </row>
    <row r="1141">
      <c r="A1141" s="10" t="inlineStr">
        <is>
          <t>INV-70593</t>
        </is>
      </c>
      <c r="B1141" s="10" t="inlineStr">
        <is>
          <t>19 Nov 2025</t>
        </is>
      </c>
      <c r="C1141" s="10" t="inlineStr">
        <is>
          <t>C1161</t>
        </is>
      </c>
      <c r="D1141" s="10" t="inlineStr">
        <is>
          <t>champion</t>
        </is>
      </c>
      <c r="E1141" s="10" t="inlineStr">
        <is>
          <t>Shopee</t>
        </is>
      </c>
      <c r="F1141" s="10" t="inlineStr">
        <is>
          <t>Sumatera</t>
        </is>
      </c>
      <c r="G1141" s="10" t="inlineStr">
        <is>
          <t>Makanan</t>
        </is>
      </c>
      <c r="H1141" s="10" t="inlineStr">
        <is>
          <t>Granola 500g</t>
        </is>
      </c>
      <c r="I1141" s="10" t="n">
        <v>4</v>
      </c>
      <c r="J1141" s="10" t="n">
        <v>92000</v>
      </c>
      <c r="K1141" s="10" t="n">
        <v>368000</v>
      </c>
    </row>
    <row r="1142">
      <c r="A1142" s="10" t="inlineStr">
        <is>
          <t>INV-70636</t>
        </is>
      </c>
      <c r="B1142" s="10" t="inlineStr">
        <is>
          <t>2025-12-20</t>
        </is>
      </c>
      <c r="C1142" s="10" t="inlineStr">
        <is>
          <t>C1173</t>
        </is>
      </c>
      <c r="D1142" s="10" t="inlineStr">
        <is>
          <t>loyal</t>
        </is>
      </c>
      <c r="E1142" s="10" t="inlineStr">
        <is>
          <t>Shopee</t>
        </is>
      </c>
      <c r="F1142" s="10" t="inlineStr">
        <is>
          <t>Jabodetabek</t>
        </is>
      </c>
      <c r="G1142" s="10" t="inlineStr">
        <is>
          <t>Fashion</t>
        </is>
      </c>
      <c r="H1142" s="10" t="inlineStr">
        <is>
          <t>Dress Casual</t>
        </is>
      </c>
      <c r="I1142" s="10" t="n">
        <v>2</v>
      </c>
      <c r="J1142" s="10" t="n">
        <v>225000</v>
      </c>
      <c r="K1142" s="10" t="n">
        <v>450000</v>
      </c>
    </row>
    <row r="1143">
      <c r="A1143" s="10" t="inlineStr">
        <is>
          <t>INV-70674</t>
        </is>
      </c>
      <c r="B1143" s="10" t="inlineStr">
        <is>
          <t>2026-01-03</t>
        </is>
      </c>
      <c r="C1143" s="10" t="inlineStr">
        <is>
          <t>C1184</t>
        </is>
      </c>
      <c r="D1143" s="10" t="inlineStr">
        <is>
          <t>loyal</t>
        </is>
      </c>
      <c r="E1143" s="10" t="inlineStr">
        <is>
          <t>Tokopedia</t>
        </is>
      </c>
      <c r="F1143" s="10" t="inlineStr">
        <is>
          <t>Jawa Timur</t>
        </is>
      </c>
      <c r="G1143" s="10" t="inlineStr">
        <is>
          <t>Rumah Tangga</t>
        </is>
      </c>
      <c r="H1143" s="10" t="inlineStr">
        <is>
          <t>Karpet Bulu</t>
        </is>
      </c>
      <c r="I1143" s="10" t="n">
        <v>1</v>
      </c>
      <c r="J1143" s="10" t="n">
        <v>240000</v>
      </c>
      <c r="K1143" s="10" t="inlineStr">
        <is>
          <t>Rp 240.000</t>
        </is>
      </c>
    </row>
    <row r="1144">
      <c r="A1144" s="10" t="inlineStr">
        <is>
          <t>INV-70737</t>
        </is>
      </c>
      <c r="B1144" s="10" t="inlineStr">
        <is>
          <t>2026-04-11</t>
        </is>
      </c>
      <c r="C1144" s="10" t="inlineStr">
        <is>
          <t>C1207</t>
        </is>
      </c>
      <c r="D1144" s="10" t="inlineStr">
        <is>
          <t>loyal</t>
        </is>
      </c>
      <c r="E1144" s="10" t="inlineStr">
        <is>
          <t>Tokopedia</t>
        </is>
      </c>
      <c r="F1144" s="10" t="inlineStr">
        <is>
          <t>Jabodetabek</t>
        </is>
      </c>
      <c r="G1144" s="10" t="inlineStr">
        <is>
          <t>Rumah Tangga</t>
        </is>
      </c>
      <c r="H1144" s="10" t="inlineStr">
        <is>
          <t>Set Wadah Kedap</t>
        </is>
      </c>
      <c r="I1144" s="10" t="n">
        <v>4</v>
      </c>
      <c r="J1144" s="10" t="n">
        <v>135000</v>
      </c>
      <c r="K1144" s="10" t="n">
        <v>540000</v>
      </c>
    </row>
    <row r="1145">
      <c r="A1145" s="10" t="inlineStr">
        <is>
          <t>INV-71257</t>
        </is>
      </c>
      <c r="B1145" s="10" t="inlineStr">
        <is>
          <t>2025-01-08</t>
        </is>
      </c>
      <c r="C1145" s="10" t="inlineStr">
        <is>
          <t>C1354</t>
        </is>
      </c>
      <c r="D1145" s="10" t="inlineStr">
        <is>
          <t>onetime</t>
        </is>
      </c>
      <c r="E1145" s="10" t="inlineStr">
        <is>
          <t>SHOPEE</t>
        </is>
      </c>
      <c r="F1145" s="10" t="inlineStr">
        <is>
          <t>Sumatera</t>
        </is>
      </c>
      <c r="G1145" s="10" t="inlineStr">
        <is>
          <t>Rumah Tangga</t>
        </is>
      </c>
      <c r="H1145" s="10" t="inlineStr">
        <is>
          <t>Set Wadah Kedap</t>
        </is>
      </c>
      <c r="I1145" s="10" t="n">
        <v>1</v>
      </c>
      <c r="J1145" s="10" t="n">
        <v>135000</v>
      </c>
      <c r="K1145" s="10" t="n">
        <v>135000</v>
      </c>
    </row>
    <row r="1146">
      <c r="A1146" s="10" t="inlineStr">
        <is>
          <t>INV-70107</t>
        </is>
      </c>
      <c r="B1146" s="10" t="inlineStr">
        <is>
          <t>2025-07-11</t>
        </is>
      </c>
      <c r="C1146" s="10" t="inlineStr">
        <is>
          <t>C1030</t>
        </is>
      </c>
      <c r="D1146" s="10" t="inlineStr">
        <is>
          <t>onetime</t>
        </is>
      </c>
      <c r="E1146" s="10" t="inlineStr">
        <is>
          <t>Tokopedia</t>
        </is>
      </c>
      <c r="F1146" s="10" t="inlineStr">
        <is>
          <t>Jabodetabek</t>
        </is>
      </c>
      <c r="G1146" s="10" t="inlineStr">
        <is>
          <t>Rumah Tangga</t>
        </is>
      </c>
      <c r="H1146" s="10" t="inlineStr">
        <is>
          <t>Set Wadah Kedap</t>
        </is>
      </c>
      <c r="I1146" s="10" t="n">
        <v>1</v>
      </c>
      <c r="J1146" s="10" t="n">
        <v>135000</v>
      </c>
      <c r="K1146" s="10" t="n">
        <v>135000</v>
      </c>
    </row>
    <row r="1147">
      <c r="A1147" s="10" t="inlineStr">
        <is>
          <t>INV-71314</t>
        </is>
      </c>
      <c r="B1147" s="10" t="inlineStr">
        <is>
          <t>2025-08-12</t>
        </is>
      </c>
      <c r="C1147" s="10" t="inlineStr">
        <is>
          <t>C1364</t>
        </is>
      </c>
      <c r="D1147" s="10" t="inlineStr">
        <is>
          <t>champion</t>
        </is>
      </c>
      <c r="E1147" s="10" t="inlineStr">
        <is>
          <t xml:space="preserve">Offline store </t>
        </is>
      </c>
      <c r="F1147" s="10" t="inlineStr">
        <is>
          <t>Jawa Barat</t>
        </is>
      </c>
      <c r="G1147" s="10" t="inlineStr">
        <is>
          <t>Elektronik</t>
        </is>
      </c>
      <c r="H1147" s="10" t="inlineStr">
        <is>
          <t>Webcam HD</t>
        </is>
      </c>
      <c r="I1147" s="10" t="n">
        <v>2</v>
      </c>
      <c r="J1147" s="10" t="n">
        <v>210000</v>
      </c>
      <c r="K1147" s="10" t="n">
        <v>420000</v>
      </c>
    </row>
    <row r="1148">
      <c r="A1148" s="10" t="inlineStr">
        <is>
          <t>INV-71006</t>
        </is>
      </c>
      <c r="B1148" s="10" t="inlineStr">
        <is>
          <t>2025-09-02</t>
        </is>
      </c>
      <c r="C1148" s="10" t="inlineStr">
        <is>
          <t>C1287</t>
        </is>
      </c>
      <c r="D1148" s="10" t="inlineStr">
        <is>
          <t>champion</t>
        </is>
      </c>
      <c r="E1148" s="10" t="inlineStr">
        <is>
          <t>shopee</t>
        </is>
      </c>
      <c r="F1148" s="10" t="inlineStr">
        <is>
          <t>Jabodetabek</t>
        </is>
      </c>
      <c r="G1148" s="10" t="inlineStr">
        <is>
          <t>Rumah Tangga</t>
        </is>
      </c>
      <c r="H1148" s="10" t="inlineStr">
        <is>
          <t>Organizer Laci</t>
        </is>
      </c>
      <c r="I1148" s="10" t="n">
        <v>2</v>
      </c>
      <c r="J1148" s="10" t="n">
        <v>78000</v>
      </c>
      <c r="K1148" s="10" t="n">
        <v>156000</v>
      </c>
    </row>
    <row r="1149">
      <c r="A1149" s="10" t="inlineStr">
        <is>
          <t>INV-71502</t>
        </is>
      </c>
      <c r="B1149" s="10" t="inlineStr">
        <is>
          <t>2025-06-08</t>
        </is>
      </c>
      <c r="C1149" s="10" t="inlineStr">
        <is>
          <t>C1412</t>
        </is>
      </c>
      <c r="D1149" s="10" t="inlineStr">
        <is>
          <t>champion</t>
        </is>
      </c>
      <c r="E1149" s="10" t="inlineStr">
        <is>
          <t>TikTok Shop</t>
        </is>
      </c>
      <c r="F1149" s="10" t="inlineStr">
        <is>
          <t>Jabodetabek</t>
        </is>
      </c>
      <c r="G1149" s="10" t="inlineStr">
        <is>
          <t>Makanan</t>
        </is>
      </c>
      <c r="H1149" s="10" t="inlineStr">
        <is>
          <t>Madu Hutan 250ml</t>
        </is>
      </c>
      <c r="I1149" s="10" t="n">
        <v>3</v>
      </c>
      <c r="J1149" s="10" t="n">
        <v>110000</v>
      </c>
      <c r="K1149" s="10" t="inlineStr">
        <is>
          <t>Rp 330.000</t>
        </is>
      </c>
    </row>
    <row r="1150">
      <c r="A1150" s="10" t="inlineStr">
        <is>
          <t>INV-70742</t>
        </is>
      </c>
      <c r="B1150" s="10" t="inlineStr">
        <is>
          <t>11/01/2025</t>
        </is>
      </c>
      <c r="C1150" s="10" t="inlineStr">
        <is>
          <t>C1207</t>
        </is>
      </c>
      <c r="D1150" s="10" t="inlineStr">
        <is>
          <t>loyal</t>
        </is>
      </c>
      <c r="E1150" s="10" t="inlineStr">
        <is>
          <t>Tokopedia</t>
        </is>
      </c>
      <c r="F1150" s="10" t="inlineStr">
        <is>
          <t>Jabodetabek</t>
        </is>
      </c>
      <c r="G1150" s="10" t="inlineStr">
        <is>
          <t>Kecantikan</t>
        </is>
      </c>
      <c r="H1150" s="10" t="inlineStr">
        <is>
          <t>Masker Wajah (5s)</t>
        </is>
      </c>
      <c r="I1150" s="10" t="n">
        <v>3</v>
      </c>
      <c r="J1150" s="10" t="n">
        <v>55000</v>
      </c>
      <c r="K1150" s="10" t="inlineStr">
        <is>
          <t>Rp 165.000</t>
        </is>
      </c>
    </row>
    <row r="1151">
      <c r="A1151" s="10" t="inlineStr">
        <is>
          <t>INV-71222</t>
        </is>
      </c>
      <c r="B1151" s="10" t="inlineStr">
        <is>
          <t>2026-01-27</t>
        </is>
      </c>
      <c r="C1151" s="10" t="inlineStr">
        <is>
          <t>C1348</t>
        </is>
      </c>
      <c r="D1151" s="10" t="inlineStr">
        <is>
          <t>loyal</t>
        </is>
      </c>
      <c r="E1151" s="10" t="inlineStr">
        <is>
          <t>TikTok Shop</t>
        </is>
      </c>
      <c r="F1151" s="10" t="inlineStr">
        <is>
          <t>Jawa Barat</t>
        </is>
      </c>
      <c r="G1151" s="10" t="inlineStr">
        <is>
          <t>Rumah Tangga</t>
        </is>
      </c>
      <c r="H1151" s="10" t="inlineStr">
        <is>
          <t>Set Wadah Kedap</t>
        </is>
      </c>
      <c r="I1151" s="10" t="n">
        <v>2</v>
      </c>
      <c r="J1151" s="10" t="n">
        <v>135000</v>
      </c>
      <c r="K1151" s="10" t="n">
        <v>270000</v>
      </c>
    </row>
    <row r="1152">
      <c r="A1152" s="10" t="inlineStr">
        <is>
          <t>INV-70683</t>
        </is>
      </c>
      <c r="B1152" s="10" t="inlineStr">
        <is>
          <t>2025-12-23</t>
        </is>
      </c>
      <c r="C1152" s="10" t="inlineStr">
        <is>
          <t>C1186</t>
        </is>
      </c>
      <c r="D1152" s="10" t="inlineStr">
        <is>
          <t>loyal</t>
        </is>
      </c>
      <c r="E1152" s="10" t="inlineStr">
        <is>
          <t>Offline Store</t>
        </is>
      </c>
      <c r="F1152" s="10" t="inlineStr">
        <is>
          <t>Jabodetabek</t>
        </is>
      </c>
      <c r="G1152" s="10" t="inlineStr">
        <is>
          <t>Rumah Tangga</t>
        </is>
      </c>
      <c r="H1152" s="10" t="inlineStr">
        <is>
          <t>Organizer Laci</t>
        </is>
      </c>
      <c r="I1152" s="10" t="n">
        <v>2</v>
      </c>
      <c r="J1152" s="10" t="n">
        <v>78000</v>
      </c>
      <c r="K1152" s="10" t="n">
        <v>156000</v>
      </c>
    </row>
    <row r="1153">
      <c r="A1153" s="10" t="inlineStr">
        <is>
          <t>INV-70562</t>
        </is>
      </c>
      <c r="B1153" s="10" t="inlineStr">
        <is>
          <t>2025-01-16</t>
        </is>
      </c>
      <c r="C1153" s="10" t="inlineStr">
        <is>
          <t>C1154</t>
        </is>
      </c>
      <c r="D1153" s="10" t="inlineStr">
        <is>
          <t>occasional</t>
        </is>
      </c>
      <c r="E1153" s="10" t="inlineStr">
        <is>
          <t>Tokopedia</t>
        </is>
      </c>
      <c r="F1153" s="10" t="inlineStr">
        <is>
          <t>Jabodetabek</t>
        </is>
      </c>
      <c r="G1153" s="10" t="inlineStr">
        <is>
          <t>Rumah Tangga</t>
        </is>
      </c>
      <c r="H1153" s="10" t="inlineStr">
        <is>
          <t>Set Wadah Kedap</t>
        </is>
      </c>
      <c r="I1153" s="10" t="n">
        <v>2</v>
      </c>
      <c r="J1153" s="10" t="n">
        <v>135000</v>
      </c>
      <c r="K1153" s="10" t="n">
        <v>270000</v>
      </c>
    </row>
    <row r="1154">
      <c r="A1154" s="10" t="inlineStr">
        <is>
          <t>INV-71364</t>
        </is>
      </c>
      <c r="B1154" s="10" t="inlineStr">
        <is>
          <t>2025-01-10</t>
        </is>
      </c>
      <c r="C1154" s="10" t="inlineStr">
        <is>
          <t>C1377</t>
        </is>
      </c>
      <c r="D1154" s="10" t="inlineStr">
        <is>
          <t>champion</t>
        </is>
      </c>
      <c r="E1154" s="10" t="inlineStr">
        <is>
          <t>Tokopedia</t>
        </is>
      </c>
      <c r="F1154" s="10" t="inlineStr">
        <is>
          <t>Jawa Timur</t>
        </is>
      </c>
      <c r="G1154" s="10" t="inlineStr">
        <is>
          <t>Rumah Tangga</t>
        </is>
      </c>
      <c r="H1154" s="10" t="inlineStr">
        <is>
          <t>Set Wadah Kedap</t>
        </is>
      </c>
      <c r="I1154" s="10" t="n">
        <v>1</v>
      </c>
      <c r="J1154" s="10" t="n">
        <v>135000</v>
      </c>
      <c r="K1154" s="10" t="n">
        <v>135000</v>
      </c>
    </row>
    <row r="1155">
      <c r="A1155" s="10" t="inlineStr">
        <is>
          <t>INV-70410</t>
        </is>
      </c>
      <c r="B1155" s="10" t="inlineStr">
        <is>
          <t>2025-12-10</t>
        </is>
      </c>
      <c r="C1155" s="10" t="inlineStr">
        <is>
          <t>C1113</t>
        </is>
      </c>
      <c r="D1155" s="10" t="inlineStr">
        <is>
          <t>loyal</t>
        </is>
      </c>
      <c r="E1155" s="10" t="inlineStr">
        <is>
          <t>shopee</t>
        </is>
      </c>
      <c r="F1155" s="10" t="inlineStr">
        <is>
          <t>Jawa Tengah</t>
        </is>
      </c>
      <c r="G1155" s="10" t="inlineStr">
        <is>
          <t>Elektronik</t>
        </is>
      </c>
      <c r="H1155" s="10" t="inlineStr">
        <is>
          <t>Earbuds TWS</t>
        </is>
      </c>
      <c r="I1155" s="10" t="n">
        <v>3</v>
      </c>
      <c r="J1155" s="10" t="n">
        <v>265000</v>
      </c>
      <c r="K1155" s="10" t="n">
        <v>795000</v>
      </c>
    </row>
    <row r="1156">
      <c r="A1156" s="10" t="inlineStr">
        <is>
          <t>INV-71382</t>
        </is>
      </c>
      <c r="B1156" s="10" t="inlineStr">
        <is>
          <t>10 Feb 2026</t>
        </is>
      </c>
      <c r="C1156" s="10" t="inlineStr">
        <is>
          <t>C1383</t>
        </is>
      </c>
      <c r="D1156" s="10" t="inlineStr">
        <is>
          <t>loyal</t>
        </is>
      </c>
      <c r="E1156" s="10" t="inlineStr">
        <is>
          <t>tiktok shop</t>
        </is>
      </c>
      <c r="F1156" s="10" t="inlineStr">
        <is>
          <t>Jabodetabek</t>
        </is>
      </c>
      <c r="G1156" s="10" t="inlineStr">
        <is>
          <t>Rumah Tangga</t>
        </is>
      </c>
      <c r="H1156" s="10" t="inlineStr">
        <is>
          <t>Organizer Laci</t>
        </is>
      </c>
      <c r="I1156" s="10" t="n">
        <v>4</v>
      </c>
      <c r="J1156" s="10" t="n">
        <v>78000</v>
      </c>
      <c r="K1156" s="10" t="n">
        <v>312000</v>
      </c>
    </row>
    <row r="1157">
      <c r="A1157" s="10" t="inlineStr">
        <is>
          <t>INV-70936</t>
        </is>
      </c>
      <c r="B1157" s="10" t="inlineStr">
        <is>
          <t>16 Mar 2026</t>
        </is>
      </c>
      <c r="C1157" s="10" t="inlineStr">
        <is>
          <t>C1262</t>
        </is>
      </c>
      <c r="D1157" s="10" t="inlineStr">
        <is>
          <t>regular</t>
        </is>
      </c>
      <c r="E1157" s="10" t="inlineStr">
        <is>
          <t>Offline Store</t>
        </is>
      </c>
      <c r="F1157" s="10" t="inlineStr">
        <is>
          <t>Jabodetabek</t>
        </is>
      </c>
      <c r="G1157" s="10" t="inlineStr">
        <is>
          <t>elektronik</t>
        </is>
      </c>
      <c r="H1157" s="10" t="inlineStr">
        <is>
          <t>Webcam HD</t>
        </is>
      </c>
      <c r="I1157" s="10" t="n">
        <v>1</v>
      </c>
      <c r="J1157" s="10" t="n">
        <v>210000</v>
      </c>
      <c r="K1157" s="10" t="n">
        <v>210000</v>
      </c>
    </row>
    <row r="1158">
      <c r="A1158" s="10" t="inlineStr">
        <is>
          <t>INV-70000</t>
        </is>
      </c>
      <c r="B1158" s="10" t="inlineStr">
        <is>
          <t>13 Apr 2026</t>
        </is>
      </c>
      <c r="C1158" s="10" t="inlineStr">
        <is>
          <t>C1000</t>
        </is>
      </c>
      <c r="D1158" s="10" t="inlineStr">
        <is>
          <t>loyal</t>
        </is>
      </c>
      <c r="E1158" s="10" t="inlineStr">
        <is>
          <t>Offline Store</t>
        </is>
      </c>
      <c r="F1158" s="10" t="inlineStr">
        <is>
          <t>Jawa Barat</t>
        </is>
      </c>
      <c r="G1158" s="10" t="inlineStr">
        <is>
          <t>rumah tangga</t>
        </is>
      </c>
      <c r="H1158" s="10" t="inlineStr">
        <is>
          <t>Set Wadah Kedap</t>
        </is>
      </c>
      <c r="I1158" s="10" t="n">
        <v>2</v>
      </c>
      <c r="J1158" s="10" t="n">
        <v>135000</v>
      </c>
      <c r="K1158" s="10" t="n">
        <v>270000</v>
      </c>
    </row>
    <row r="1159">
      <c r="A1159" s="10" t="inlineStr">
        <is>
          <t>INV-70635</t>
        </is>
      </c>
      <c r="B1159" s="10" t="inlineStr">
        <is>
          <t>2025-06-18</t>
        </is>
      </c>
      <c r="C1159" s="10" t="inlineStr">
        <is>
          <t>C1173</t>
        </is>
      </c>
      <c r="D1159" s="10" t="inlineStr">
        <is>
          <t>loyal</t>
        </is>
      </c>
      <c r="E1159" s="10" t="inlineStr">
        <is>
          <t>Offline Store</t>
        </is>
      </c>
      <c r="F1159" s="10" t="inlineStr">
        <is>
          <t>Jabodetabek</t>
        </is>
      </c>
      <c r="G1159" s="10" t="inlineStr">
        <is>
          <t>Rumah Tangga</t>
        </is>
      </c>
      <c r="H1159" s="10" t="inlineStr">
        <is>
          <t>Set Wadah Kedap</t>
        </is>
      </c>
      <c r="I1159" s="10" t="n">
        <v>1</v>
      </c>
      <c r="J1159" s="10" t="n">
        <v>135000</v>
      </c>
      <c r="K1159" s="10" t="inlineStr">
        <is>
          <t>Rp 135.000</t>
        </is>
      </c>
    </row>
    <row r="1160">
      <c r="A1160" s="10" t="inlineStr">
        <is>
          <t>INV-70081</t>
        </is>
      </c>
      <c r="B1160" s="10" t="inlineStr">
        <is>
          <t>24 Jun 2025</t>
        </is>
      </c>
      <c r="C1160" s="10" t="inlineStr">
        <is>
          <t>C1025</t>
        </is>
      </c>
      <c r="D1160" s="10" t="inlineStr">
        <is>
          <t>loyal</t>
        </is>
      </c>
      <c r="E1160" s="10" t="inlineStr">
        <is>
          <t>Offline Store</t>
        </is>
      </c>
      <c r="F1160" s="10" t="inlineStr">
        <is>
          <t>Jabodetabek</t>
        </is>
      </c>
      <c r="G1160" s="10" t="inlineStr">
        <is>
          <t>Elektronik</t>
        </is>
      </c>
      <c r="H1160" s="10" t="inlineStr">
        <is>
          <t>Power Bank 20K</t>
        </is>
      </c>
      <c r="I1160" s="10" t="n">
        <v>3</v>
      </c>
      <c r="J1160" s="10" t="n">
        <v>185000</v>
      </c>
      <c r="K1160" s="10" t="n">
        <v>555000</v>
      </c>
    </row>
    <row r="1161">
      <c r="A1161" s="10" t="inlineStr">
        <is>
          <t>INV-70172</t>
        </is>
      </c>
      <c r="B1161" s="10" t="inlineStr">
        <is>
          <t>2025-11-14</t>
        </is>
      </c>
      <c r="C1161" s="10" t="inlineStr">
        <is>
          <t>C1049</t>
        </is>
      </c>
      <c r="D1161" s="10" t="inlineStr">
        <is>
          <t>champion</t>
        </is>
      </c>
      <c r="E1161" s="10" t="inlineStr">
        <is>
          <t>shopee</t>
        </is>
      </c>
      <c r="F1161" s="10" t="inlineStr">
        <is>
          <t>Jabodetabek</t>
        </is>
      </c>
      <c r="G1161" s="10" t="inlineStr">
        <is>
          <t>Makanan</t>
        </is>
      </c>
      <c r="H1161" s="10" t="inlineStr">
        <is>
          <t>Granola 500g</t>
        </is>
      </c>
      <c r="I1161" s="10" t="n">
        <v>1</v>
      </c>
      <c r="J1161" s="10" t="n">
        <v>92000</v>
      </c>
      <c r="K1161" s="10" t="n">
        <v>92000</v>
      </c>
    </row>
    <row r="1162">
      <c r="A1162" s="10" t="inlineStr">
        <is>
          <t>INV-70180</t>
        </is>
      </c>
      <c r="B1162" s="10" t="inlineStr">
        <is>
          <t>2025-06-14</t>
        </is>
      </c>
      <c r="C1162" s="10" t="inlineStr">
        <is>
          <t>C1050</t>
        </is>
      </c>
      <c r="D1162" s="10" t="inlineStr">
        <is>
          <t>regular</t>
        </is>
      </c>
      <c r="E1162" s="10" t="inlineStr">
        <is>
          <t>TikTok Shop</t>
        </is>
      </c>
      <c r="F1162" s="10" t="inlineStr">
        <is>
          <t>Jabodetabek</t>
        </is>
      </c>
      <c r="G1162" s="10" t="inlineStr">
        <is>
          <t>Fashion</t>
        </is>
      </c>
      <c r="H1162" s="10" t="inlineStr">
        <is>
          <t>Celana Chino</t>
        </is>
      </c>
      <c r="I1162" s="10" t="n">
        <v>3</v>
      </c>
      <c r="J1162" s="10" t="n">
        <v>195000</v>
      </c>
      <c r="K1162" s="10" t="n">
        <v>585000</v>
      </c>
    </row>
    <row r="1163">
      <c r="A1163" s="10" t="inlineStr">
        <is>
          <t>INV-70960</t>
        </is>
      </c>
      <c r="B1163" s="10" t="inlineStr">
        <is>
          <t>2025-05-22</t>
        </is>
      </c>
      <c r="C1163" s="10" t="inlineStr">
        <is>
          <t>C1273</t>
        </is>
      </c>
      <c r="D1163" s="10" t="inlineStr">
        <is>
          <t>loyal</t>
        </is>
      </c>
      <c r="E1163" s="10" t="inlineStr">
        <is>
          <t>TikTok Shop</t>
        </is>
      </c>
      <c r="F1163" s="10" t="inlineStr">
        <is>
          <t>Jawa Tengah</t>
        </is>
      </c>
      <c r="G1163" s="10" t="inlineStr">
        <is>
          <t>Kecantikan</t>
        </is>
      </c>
      <c r="H1163" s="10" t="inlineStr">
        <is>
          <t>Masker Wajah (5s)</t>
        </is>
      </c>
      <c r="I1163" s="10" t="n">
        <v>4</v>
      </c>
      <c r="J1163" s="10" t="n">
        <v>55000</v>
      </c>
      <c r="K1163" s="10" t="n">
        <v>220000</v>
      </c>
    </row>
    <row r="1164">
      <c r="A1164" s="10" t="inlineStr">
        <is>
          <t>INV-70486</t>
        </is>
      </c>
      <c r="B1164" s="10" t="inlineStr">
        <is>
          <t>2025-04-01</t>
        </is>
      </c>
      <c r="C1164" s="10" t="inlineStr">
        <is>
          <t>C1139</t>
        </is>
      </c>
      <c r="D1164" s="10" t="inlineStr">
        <is>
          <t>champion</t>
        </is>
      </c>
      <c r="E1164" s="10" t="inlineStr">
        <is>
          <t xml:space="preserve"> tokopedia</t>
        </is>
      </c>
      <c r="F1164" s="10" t="inlineStr">
        <is>
          <t>Jawa Timur</t>
        </is>
      </c>
      <c r="G1164" s="10" t="inlineStr">
        <is>
          <t>Fashion</t>
        </is>
      </c>
      <c r="H1164" s="10" t="inlineStr">
        <is>
          <t>Celana Chino</t>
        </is>
      </c>
      <c r="I1164" s="10" t="n">
        <v>2</v>
      </c>
      <c r="J1164" s="10" t="n">
        <v>195000</v>
      </c>
      <c r="K1164" s="10" t="n">
        <v>390000</v>
      </c>
    </row>
    <row r="1165">
      <c r="A1165" s="10" t="inlineStr">
        <is>
          <t>INV-70110</t>
        </is>
      </c>
      <c r="B1165" s="10" t="inlineStr">
        <is>
          <t>13 Jun 2026</t>
        </is>
      </c>
      <c r="C1165" s="10" t="inlineStr">
        <is>
          <t>C1032</t>
        </is>
      </c>
      <c r="D1165" s="10" t="inlineStr">
        <is>
          <t>occasional</t>
        </is>
      </c>
      <c r="E1165" s="10" t="inlineStr">
        <is>
          <t>Offline Store</t>
        </is>
      </c>
      <c r="F1165" s="10" t="inlineStr">
        <is>
          <t>Jabodetabek</t>
        </is>
      </c>
      <c r="G1165" s="10" t="inlineStr">
        <is>
          <t>Rumah Tangga</t>
        </is>
      </c>
      <c r="H1165" s="10" t="inlineStr">
        <is>
          <t>Set Wadah Kedap</t>
        </is>
      </c>
      <c r="I1165" s="10" t="n">
        <v>1</v>
      </c>
      <c r="J1165" s="10" t="n">
        <v>135000</v>
      </c>
      <c r="K1165" s="10" t="n">
        <v>135000</v>
      </c>
    </row>
    <row r="1166">
      <c r="A1166" s="10" t="inlineStr">
        <is>
          <t>INV-71003</t>
        </is>
      </c>
      <c r="B1166" s="10" t="inlineStr">
        <is>
          <t>2026-05-15</t>
        </is>
      </c>
      <c r="C1166" s="10" t="inlineStr">
        <is>
          <t>C1287</t>
        </is>
      </c>
      <c r="D1166" s="10" t="inlineStr">
        <is>
          <t>champion</t>
        </is>
      </c>
      <c r="E1166" s="10" t="inlineStr">
        <is>
          <t>Shopee</t>
        </is>
      </c>
      <c r="F1166" s="10" t="inlineStr">
        <is>
          <t>Sumatera</t>
        </is>
      </c>
      <c r="G1166" s="10" t="inlineStr">
        <is>
          <t>Rumah Tangga</t>
        </is>
      </c>
      <c r="H1166" s="10" t="inlineStr">
        <is>
          <t>Set Wadah Kedap</t>
        </is>
      </c>
      <c r="I1166" s="10" t="n">
        <v>1</v>
      </c>
      <c r="J1166" s="10" t="n">
        <v>135000</v>
      </c>
      <c r="K1166" s="10" t="n">
        <v>135000</v>
      </c>
    </row>
    <row r="1167">
      <c r="A1167" s="10" t="inlineStr">
        <is>
          <t>INV-71463</t>
        </is>
      </c>
      <c r="B1167" s="10" t="inlineStr">
        <is>
          <t>03/04/2026</t>
        </is>
      </c>
      <c r="C1167" s="10" t="inlineStr">
        <is>
          <t>C1404</t>
        </is>
      </c>
      <c r="D1167" s="10" t="inlineStr">
        <is>
          <t>loyal</t>
        </is>
      </c>
      <c r="E1167" s="10" t="inlineStr">
        <is>
          <t>TikTok Shop</t>
        </is>
      </c>
      <c r="F1167" s="10" t="inlineStr">
        <is>
          <t>Sumatera</t>
        </is>
      </c>
      <c r="G1167" s="10" t="inlineStr">
        <is>
          <t>Rumah Tangga</t>
        </is>
      </c>
      <c r="H1167" s="10" t="inlineStr">
        <is>
          <t>Set Wadah Kedap</t>
        </is>
      </c>
      <c r="I1167" s="10" t="n">
        <v>4</v>
      </c>
      <c r="J1167" s="10" t="n">
        <v>135000</v>
      </c>
      <c r="K1167" s="10" t="n">
        <v>540000</v>
      </c>
    </row>
    <row r="1168">
      <c r="A1168" s="10" t="inlineStr">
        <is>
          <t>INV-71243</t>
        </is>
      </c>
      <c r="B1168" s="10" t="inlineStr">
        <is>
          <t>2025-10-03</t>
        </is>
      </c>
      <c r="C1168" s="10" t="inlineStr">
        <is>
          <t>C1350</t>
        </is>
      </c>
      <c r="D1168" s="10" t="inlineStr">
        <is>
          <t>occasional</t>
        </is>
      </c>
      <c r="E1168" s="10" t="inlineStr">
        <is>
          <t>Shopee</t>
        </is>
      </c>
      <c r="F1168" s="10" t="inlineStr">
        <is>
          <t>Jawa Barat</t>
        </is>
      </c>
      <c r="G1168" s="10" t="inlineStr">
        <is>
          <t>Rumah Tangga</t>
        </is>
      </c>
      <c r="H1168" s="10" t="inlineStr">
        <is>
          <t>Set Wadah Kedap</t>
        </is>
      </c>
      <c r="I1168" s="10" t="n">
        <v>2</v>
      </c>
      <c r="J1168" s="10" t="n">
        <v>135000</v>
      </c>
      <c r="K1168" s="10" t="n">
        <v>270000</v>
      </c>
    </row>
    <row r="1169">
      <c r="A1169" s="10" t="inlineStr">
        <is>
          <t>INV-70359</t>
        </is>
      </c>
      <c r="B1169" s="10" t="inlineStr">
        <is>
          <t>2025-05-01</t>
        </is>
      </c>
      <c r="C1169" s="10" t="inlineStr">
        <is>
          <t>C1099</t>
        </is>
      </c>
      <c r="D1169" s="10" t="inlineStr">
        <is>
          <t>occasional</t>
        </is>
      </c>
      <c r="E1169" s="10" t="inlineStr">
        <is>
          <t>Tokopedia</t>
        </is>
      </c>
      <c r="F1169" s="10" t="inlineStr">
        <is>
          <t>Jabodetabek</t>
        </is>
      </c>
      <c r="G1169" s="10" t="inlineStr">
        <is>
          <t>Rumah Tangga</t>
        </is>
      </c>
      <c r="H1169" s="10" t="inlineStr">
        <is>
          <t>Set Wadah Kedap</t>
        </is>
      </c>
      <c r="I1169" s="10" t="n">
        <v>4</v>
      </c>
      <c r="J1169" s="10" t="n">
        <v>135000</v>
      </c>
      <c r="K1169" s="10" t="n">
        <v>540000</v>
      </c>
    </row>
    <row r="1170">
      <c r="A1170" s="10" t="inlineStr">
        <is>
          <t>INV-70369</t>
        </is>
      </c>
      <c r="B1170" s="10" t="inlineStr">
        <is>
          <t>2026-01-06</t>
        </is>
      </c>
      <c r="C1170" s="10" t="inlineStr">
        <is>
          <t>C1103</t>
        </is>
      </c>
      <c r="D1170" s="10" t="inlineStr">
        <is>
          <t>occasional</t>
        </is>
      </c>
      <c r="E1170" s="10" t="inlineStr">
        <is>
          <t>TikTok Shop</t>
        </is>
      </c>
      <c r="F1170" s="10" t="inlineStr">
        <is>
          <t>Jawa Timur</t>
        </is>
      </c>
      <c r="G1170" s="10" t="inlineStr">
        <is>
          <t>rumah tangga</t>
        </is>
      </c>
      <c r="H1170" s="10" t="inlineStr">
        <is>
          <t>Set Wadah Kedap</t>
        </is>
      </c>
      <c r="I1170" s="10" t="n">
        <v>2</v>
      </c>
      <c r="J1170" s="10" t="n">
        <v>135000</v>
      </c>
      <c r="K1170" s="10" t="n">
        <v>270000</v>
      </c>
    </row>
    <row r="1171">
      <c r="A1171" s="10" t="inlineStr">
        <is>
          <t>INV-70804</t>
        </is>
      </c>
      <c r="B1171" s="10" t="inlineStr">
        <is>
          <t>2026-01-07</t>
        </is>
      </c>
      <c r="C1171" s="10" t="inlineStr">
        <is>
          <t>C1225</t>
        </is>
      </c>
      <c r="D1171" s="10" t="inlineStr">
        <is>
          <t>regular</t>
        </is>
      </c>
      <c r="E1171" s="10" t="inlineStr">
        <is>
          <t>TikTok Shop</t>
        </is>
      </c>
      <c r="F1171" s="10" t="inlineStr">
        <is>
          <t>Jabodetabek</t>
        </is>
      </c>
      <c r="G1171" s="10" t="inlineStr">
        <is>
          <t>Makanan</t>
        </is>
      </c>
      <c r="H1171" s="10" t="inlineStr">
        <is>
          <t>Granola 500g</t>
        </is>
      </c>
      <c r="I1171" s="10" t="n">
        <v>1</v>
      </c>
      <c r="J1171" s="10" t="n">
        <v>92000</v>
      </c>
      <c r="K1171" s="10" t="n">
        <v>92000</v>
      </c>
    </row>
    <row r="1172">
      <c r="A1172" s="10" t="inlineStr">
        <is>
          <t>INV-70530</t>
        </is>
      </c>
      <c r="B1172" s="10" t="inlineStr">
        <is>
          <t>23 Aug 2025</t>
        </is>
      </c>
      <c r="C1172" s="10" t="inlineStr">
        <is>
          <t>C1146</t>
        </is>
      </c>
      <c r="D1172" s="10" t="inlineStr">
        <is>
          <t>occasional</t>
        </is>
      </c>
      <c r="E1172" s="10" t="inlineStr">
        <is>
          <t>Offline Store</t>
        </is>
      </c>
      <c r="F1172" s="10" t="inlineStr">
        <is>
          <t>Jabodetabek</t>
        </is>
      </c>
      <c r="G1172" s="10" t="inlineStr">
        <is>
          <t>Rumah Tangga</t>
        </is>
      </c>
      <c r="H1172" s="10" t="inlineStr">
        <is>
          <t>Organizer Laci</t>
        </is>
      </c>
      <c r="I1172" s="10" t="n">
        <v>4</v>
      </c>
      <c r="J1172" s="10" t="n">
        <v>78000</v>
      </c>
      <c r="K1172" s="10" t="n">
        <v>312000</v>
      </c>
    </row>
    <row r="1173">
      <c r="A1173" s="10" t="inlineStr">
        <is>
          <t>INV-70981</t>
        </is>
      </c>
      <c r="B1173" s="10" t="inlineStr">
        <is>
          <t>2026-03-21</t>
        </is>
      </c>
      <c r="C1173" s="10" t="inlineStr">
        <is>
          <t>C1281</t>
        </is>
      </c>
      <c r="D1173" s="10" t="inlineStr">
        <is>
          <t>regular</t>
        </is>
      </c>
      <c r="E1173" s="10" t="inlineStr">
        <is>
          <t>TikTok Shop</t>
        </is>
      </c>
      <c r="F1173" s="10" t="inlineStr">
        <is>
          <t>Jawa Timur</t>
        </is>
      </c>
      <c r="G1173" s="10" t="inlineStr">
        <is>
          <t>Rumah Tangga</t>
        </is>
      </c>
      <c r="H1173" s="10" t="inlineStr">
        <is>
          <t>Organizer Laci</t>
        </is>
      </c>
      <c r="I1173" s="10" t="n">
        <v>2</v>
      </c>
      <c r="J1173" s="10" t="n">
        <v>78000</v>
      </c>
      <c r="K1173" s="10" t="n">
        <v>156000</v>
      </c>
    </row>
    <row r="1174">
      <c r="A1174" s="10" t="inlineStr">
        <is>
          <t>INV-70026</t>
        </is>
      </c>
      <c r="B1174" s="10" t="inlineStr">
        <is>
          <t>2025-10-12</t>
        </is>
      </c>
      <c r="C1174" s="10" t="inlineStr">
        <is>
          <t>C1005</t>
        </is>
      </c>
      <c r="D1174" s="10" t="inlineStr">
        <is>
          <t>occasional</t>
        </is>
      </c>
      <c r="E1174" s="10" t="inlineStr">
        <is>
          <t>TIKTOK SHOP</t>
        </is>
      </c>
      <c r="F1174" s="10" t="inlineStr">
        <is>
          <t>Jawa Timur</t>
        </is>
      </c>
      <c r="G1174" s="10" t="inlineStr">
        <is>
          <t>Rumah Tangga</t>
        </is>
      </c>
      <c r="H1174" s="10" t="inlineStr">
        <is>
          <t>Set Wadah Kedap</t>
        </is>
      </c>
      <c r="I1174" s="10" t="n">
        <v>1</v>
      </c>
      <c r="J1174" s="10" t="n">
        <v>135000</v>
      </c>
      <c r="K1174" s="10" t="inlineStr">
        <is>
          <t>Rp 135.000</t>
        </is>
      </c>
    </row>
    <row r="1175">
      <c r="A1175" s="10" t="inlineStr">
        <is>
          <t>INV-70862</t>
        </is>
      </c>
      <c r="B1175" s="10" t="inlineStr">
        <is>
          <t>15/09/2025</t>
        </is>
      </c>
      <c r="C1175" s="10" t="inlineStr">
        <is>
          <t>C1243</t>
        </is>
      </c>
      <c r="D1175" s="10" t="inlineStr">
        <is>
          <t>occasional</t>
        </is>
      </c>
      <c r="E1175" s="10" t="inlineStr">
        <is>
          <t>Shopee</t>
        </is>
      </c>
      <c r="F1175" s="10" t="inlineStr">
        <is>
          <t>Jabodetabek</t>
        </is>
      </c>
      <c r="G1175" s="10" t="inlineStr">
        <is>
          <t>Rumah Tangga</t>
        </is>
      </c>
      <c r="H1175" s="10" t="inlineStr">
        <is>
          <t>Organizer Laci</t>
        </is>
      </c>
      <c r="I1175" s="10" t="n">
        <v>3</v>
      </c>
      <c r="J1175" s="10" t="n">
        <v>78000</v>
      </c>
      <c r="K1175" s="10" t="n">
        <v>234000</v>
      </c>
    </row>
    <row r="1176">
      <c r="A1176" s="10" t="inlineStr">
        <is>
          <t>INV-70351</t>
        </is>
      </c>
      <c r="B1176" s="10" t="inlineStr">
        <is>
          <t>2025-12-22</t>
        </is>
      </c>
      <c r="C1176" s="10" t="inlineStr">
        <is>
          <t>C1095</t>
        </is>
      </c>
      <c r="D1176" s="10" t="inlineStr">
        <is>
          <t>regular</t>
        </is>
      </c>
      <c r="E1176" s="10" t="inlineStr">
        <is>
          <t>TikTok Shop</t>
        </is>
      </c>
      <c r="F1176" s="10" t="inlineStr">
        <is>
          <t>Jawa Barat</t>
        </is>
      </c>
      <c r="G1176" s="10" t="inlineStr">
        <is>
          <t>Makanan</t>
        </is>
      </c>
      <c r="H1176" s="10" t="inlineStr">
        <is>
          <t>Madu Hutan 250ml</t>
        </is>
      </c>
      <c r="I1176" s="10" t="n">
        <v>4</v>
      </c>
      <c r="J1176" s="10" t="n">
        <v>110000</v>
      </c>
      <c r="K1176" s="10" t="n">
        <v>440000</v>
      </c>
    </row>
    <row r="1177">
      <c r="A1177" s="10" t="inlineStr">
        <is>
          <t>INV-71284</t>
        </is>
      </c>
      <c r="B1177" s="10" t="inlineStr">
        <is>
          <t>11/04/2025</t>
        </is>
      </c>
      <c r="C1177" s="10" t="inlineStr">
        <is>
          <t>C1358</t>
        </is>
      </c>
      <c r="D1177" s="10" t="inlineStr">
        <is>
          <t>champion</t>
        </is>
      </c>
      <c r="E1177" s="10" t="inlineStr">
        <is>
          <t>offline store</t>
        </is>
      </c>
      <c r="F1177" s="10" t="inlineStr">
        <is>
          <t>Jawa Timur</t>
        </is>
      </c>
      <c r="G1177" s="10" t="inlineStr">
        <is>
          <t>Elektronik</t>
        </is>
      </c>
      <c r="H1177" s="10" t="inlineStr">
        <is>
          <t>Webcam HD</t>
        </is>
      </c>
      <c r="I1177" s="10" t="n">
        <v>4</v>
      </c>
      <c r="J1177" s="10" t="n">
        <v>210000</v>
      </c>
      <c r="K1177" s="10" t="n">
        <v>840000</v>
      </c>
    </row>
    <row r="1178">
      <c r="A1178" s="10" t="inlineStr">
        <is>
          <t>INV-70068</t>
        </is>
      </c>
      <c r="B1178" s="10" t="inlineStr">
        <is>
          <t>2025-07-03</t>
        </is>
      </c>
      <c r="C1178" s="10" t="inlineStr">
        <is>
          <t>C1021</t>
        </is>
      </c>
      <c r="D1178" s="10" t="inlineStr">
        <is>
          <t>loyal</t>
        </is>
      </c>
      <c r="E1178" s="10" t="inlineStr">
        <is>
          <t>Tokopedia</t>
        </is>
      </c>
      <c r="F1178" s="10" t="inlineStr">
        <is>
          <t>Jawa Barat</t>
        </is>
      </c>
      <c r="G1178" s="10" t="inlineStr">
        <is>
          <t>Elektronik</t>
        </is>
      </c>
      <c r="H1178" s="10" t="inlineStr">
        <is>
          <t>Smartwatch</t>
        </is>
      </c>
      <c r="I1178" s="10" t="n">
        <v>2</v>
      </c>
      <c r="J1178" s="10" t="n">
        <v>450000</v>
      </c>
      <c r="K1178" s="10" t="n">
        <v>900000</v>
      </c>
    </row>
    <row r="1179">
      <c r="A1179" s="10" t="inlineStr">
        <is>
          <t>INV-70024</t>
        </is>
      </c>
      <c r="B1179" s="10" t="inlineStr">
        <is>
          <t>2025-07-13</t>
        </is>
      </c>
      <c r="C1179" s="10" t="inlineStr">
        <is>
          <t>C1004</t>
        </is>
      </c>
      <c r="D1179" s="10" t="inlineStr">
        <is>
          <t>loyal</t>
        </is>
      </c>
      <c r="E1179" s="10" t="inlineStr">
        <is>
          <t>Shopee</t>
        </is>
      </c>
      <c r="F1179" s="10" t="inlineStr">
        <is>
          <t>Jawa Tengah</t>
        </is>
      </c>
      <c r="G1179" s="10" t="inlineStr">
        <is>
          <t>elektronik</t>
        </is>
      </c>
      <c r="H1179" s="10" t="inlineStr">
        <is>
          <t>Webcam HD</t>
        </is>
      </c>
      <c r="I1179" s="10" t="n">
        <v>1</v>
      </c>
      <c r="J1179" s="10" t="n">
        <v>210000</v>
      </c>
      <c r="K1179" s="10" t="inlineStr">
        <is>
          <t>Rp 210.000</t>
        </is>
      </c>
    </row>
    <row r="1180">
      <c r="A1180" s="10" t="inlineStr">
        <is>
          <t>INV-70961</t>
        </is>
      </c>
      <c r="B1180" s="10" t="inlineStr">
        <is>
          <t>08/01/2025</t>
        </is>
      </c>
      <c r="C1180" s="10" t="inlineStr">
        <is>
          <t>C1273</t>
        </is>
      </c>
      <c r="D1180" s="10" t="inlineStr">
        <is>
          <t>loyal</t>
        </is>
      </c>
      <c r="E1180" s="10" t="inlineStr">
        <is>
          <t>tiktok shop</t>
        </is>
      </c>
      <c r="F1180" s="10" t="inlineStr">
        <is>
          <t>Jabodetabek</t>
        </is>
      </c>
      <c r="G1180" s="10" t="inlineStr">
        <is>
          <t>Rumah Tangga</t>
        </is>
      </c>
      <c r="H1180" s="10" t="inlineStr">
        <is>
          <t>Set Wadah Kedap</t>
        </is>
      </c>
      <c r="I1180" s="10" t="n">
        <v>1</v>
      </c>
      <c r="J1180" s="10" t="n">
        <v>135000</v>
      </c>
      <c r="K1180" s="10" t="inlineStr">
        <is>
          <t>Rp 135.000</t>
        </is>
      </c>
    </row>
    <row r="1181">
      <c r="A1181" s="10" t="inlineStr">
        <is>
          <t>INV-70825</t>
        </is>
      </c>
      <c r="B1181" s="10" t="inlineStr">
        <is>
          <t>2025-07-12</t>
        </is>
      </c>
      <c r="C1181" s="10" t="inlineStr">
        <is>
          <t>C1233</t>
        </is>
      </c>
      <c r="D1181" s="10" t="inlineStr">
        <is>
          <t>regular</t>
        </is>
      </c>
      <c r="E1181" s="10" t="inlineStr">
        <is>
          <t>Shopee</t>
        </is>
      </c>
      <c r="F1181" s="10" t="inlineStr">
        <is>
          <t>Jawa Barat</t>
        </is>
      </c>
      <c r="G1181" s="10" t="inlineStr">
        <is>
          <t>Kecantikan</t>
        </is>
      </c>
      <c r="H1181" s="10" t="inlineStr">
        <is>
          <t>Masker Wajah (5s)</t>
        </is>
      </c>
      <c r="I1181" s="10" t="n">
        <v>2</v>
      </c>
      <c r="J1181" s="10" t="n">
        <v>55000</v>
      </c>
      <c r="K1181" s="10" t="n">
        <v>110000</v>
      </c>
    </row>
    <row r="1182">
      <c r="A1182" s="10" t="inlineStr">
        <is>
          <t>INV-70454</t>
        </is>
      </c>
      <c r="B1182" s="10" t="inlineStr">
        <is>
          <t>20 Mar 2025</t>
        </is>
      </c>
      <c r="C1182" s="10" t="inlineStr">
        <is>
          <t>C1129</t>
        </is>
      </c>
      <c r="D1182" s="10" t="inlineStr">
        <is>
          <t>regular</t>
        </is>
      </c>
      <c r="E1182" s="10" t="inlineStr">
        <is>
          <t>Tiktok Shop</t>
        </is>
      </c>
      <c r="F1182" s="10" t="inlineStr">
        <is>
          <t>Jawa Timur</t>
        </is>
      </c>
      <c r="G1182" s="10" t="inlineStr">
        <is>
          <t>Makanan</t>
        </is>
      </c>
      <c r="H1182" s="10" t="inlineStr">
        <is>
          <t>Madu Hutan 250ml</t>
        </is>
      </c>
      <c r="I1182" s="10" t="n">
        <v>2</v>
      </c>
      <c r="J1182" s="10" t="n">
        <v>110000</v>
      </c>
      <c r="K1182" s="10" t="n">
        <v>220000</v>
      </c>
    </row>
    <row r="1183">
      <c r="A1183" s="10" t="inlineStr">
        <is>
          <t>INV-71146</t>
        </is>
      </c>
      <c r="B1183" s="10" t="inlineStr">
        <is>
          <t>2025-07-21</t>
        </is>
      </c>
      <c r="C1183" s="10" t="inlineStr">
        <is>
          <t>C1325</t>
        </is>
      </c>
      <c r="D1183" s="10" t="inlineStr">
        <is>
          <t>regular</t>
        </is>
      </c>
      <c r="E1183" s="10" t="inlineStr">
        <is>
          <t>Shopee</t>
        </is>
      </c>
      <c r="F1183" s="10" t="inlineStr">
        <is>
          <t>Jawa Timur</t>
        </is>
      </c>
      <c r="G1183" s="10" t="inlineStr">
        <is>
          <t>Rumah Tangga</t>
        </is>
      </c>
      <c r="H1183" s="10" t="inlineStr">
        <is>
          <t>Set Wadah Kedap</t>
        </is>
      </c>
      <c r="I1183" s="10" t="n">
        <v>2</v>
      </c>
      <c r="J1183" s="10" t="n">
        <v>135000</v>
      </c>
      <c r="K1183" s="10" t="n">
        <v>270000</v>
      </c>
    </row>
    <row r="1184">
      <c r="A1184" s="10" t="inlineStr">
        <is>
          <t>INV-70796</t>
        </is>
      </c>
      <c r="B1184" s="10" t="inlineStr">
        <is>
          <t>2025-05-19</t>
        </is>
      </c>
      <c r="C1184" s="10" t="inlineStr">
        <is>
          <t>C1223</t>
        </is>
      </c>
      <c r="D1184" s="10" t="inlineStr">
        <is>
          <t>loyal</t>
        </is>
      </c>
      <c r="E1184" s="10" t="inlineStr">
        <is>
          <t xml:space="preserve">Shopee </t>
        </is>
      </c>
      <c r="F1184" s="10" t="inlineStr">
        <is>
          <t>Jawa Barat</t>
        </is>
      </c>
      <c r="G1184" s="10" t="inlineStr">
        <is>
          <t>Makanan</t>
        </is>
      </c>
      <c r="H1184" s="10" t="inlineStr">
        <is>
          <t>Granola 500g</t>
        </is>
      </c>
      <c r="I1184" s="10" t="n">
        <v>4</v>
      </c>
      <c r="J1184" s="10" t="n">
        <v>92000</v>
      </c>
      <c r="K1184" s="10" t="n">
        <v>368000</v>
      </c>
    </row>
    <row r="1185">
      <c r="A1185" s="10" t="inlineStr">
        <is>
          <t>INV-71085</t>
        </is>
      </c>
      <c r="B1185" s="10" t="inlineStr">
        <is>
          <t>2026-04-03</t>
        </is>
      </c>
      <c r="C1185" s="10" t="inlineStr">
        <is>
          <t>C1305</t>
        </is>
      </c>
      <c r="D1185" s="10" t="inlineStr">
        <is>
          <t>champion</t>
        </is>
      </c>
      <c r="E1185" s="10" t="inlineStr">
        <is>
          <t>Shopee</t>
        </is>
      </c>
      <c r="F1185" s="10" t="inlineStr">
        <is>
          <t>Jawa Tengah</t>
        </is>
      </c>
      <c r="G1185" s="10" t="inlineStr">
        <is>
          <t>Rumah Tangga</t>
        </is>
      </c>
      <c r="H1185" s="10" t="inlineStr">
        <is>
          <t>Set Wadah Kedap</t>
        </is>
      </c>
      <c r="I1185" s="10" t="n">
        <v>2</v>
      </c>
      <c r="J1185" s="10" t="n">
        <v>135000</v>
      </c>
      <c r="K1185" s="10" t="n">
        <v>270000</v>
      </c>
    </row>
    <row r="1186">
      <c r="A1186" s="10" t="inlineStr">
        <is>
          <t>INV-70143</t>
        </is>
      </c>
      <c r="B1186" s="10" t="inlineStr">
        <is>
          <t>2025-03-18</t>
        </is>
      </c>
      <c r="C1186" s="10" t="inlineStr">
        <is>
          <t>C1040</t>
        </is>
      </c>
      <c r="D1186" s="10" t="inlineStr">
        <is>
          <t>occasional</t>
        </is>
      </c>
      <c r="E1186" s="10" t="inlineStr">
        <is>
          <t xml:space="preserve">Offline store </t>
        </is>
      </c>
      <c r="F1186" s="10" t="inlineStr">
        <is>
          <t>Jabodetabek</t>
        </is>
      </c>
      <c r="G1186" s="10" t="inlineStr">
        <is>
          <t>Rumah Tangga</t>
        </is>
      </c>
      <c r="H1186" s="10" t="inlineStr">
        <is>
          <t>Set Wadah Kedap</t>
        </is>
      </c>
      <c r="I1186" s="10" t="n">
        <v>2</v>
      </c>
      <c r="J1186" s="10" t="n">
        <v>135000</v>
      </c>
      <c r="K1186" s="10" t="n">
        <v>270000</v>
      </c>
    </row>
    <row r="1187">
      <c r="A1187" s="10" t="inlineStr">
        <is>
          <t>INV-71153</t>
        </is>
      </c>
      <c r="B1187" s="10" t="inlineStr">
        <is>
          <t>2025-04-13</t>
        </is>
      </c>
      <c r="C1187" s="10" t="inlineStr">
        <is>
          <t>C1326</t>
        </is>
      </c>
      <c r="D1187" s="10" t="inlineStr">
        <is>
          <t>loyal</t>
        </is>
      </c>
      <c r="E1187" s="10" t="inlineStr">
        <is>
          <t>shopee</t>
        </is>
      </c>
      <c r="F1187" s="10" t="inlineStr">
        <is>
          <t>Jawa Tengah</t>
        </is>
      </c>
      <c r="G1187" s="10" t="inlineStr">
        <is>
          <t>Fashion</t>
        </is>
      </c>
      <c r="H1187" s="10" t="inlineStr">
        <is>
          <t>Celana Chino</t>
        </is>
      </c>
      <c r="I1187" s="10" t="n">
        <v>3</v>
      </c>
      <c r="J1187" s="10" t="n">
        <v>195000</v>
      </c>
      <c r="K1187" s="10" t="n">
        <v>615000</v>
      </c>
    </row>
    <row r="1188">
      <c r="A1188" s="10" t="inlineStr">
        <is>
          <t>INV-71468</t>
        </is>
      </c>
      <c r="B1188" s="10" t="inlineStr">
        <is>
          <t>2025-03-01</t>
        </is>
      </c>
      <c r="C1188" s="10" t="inlineStr">
        <is>
          <t>C1405</t>
        </is>
      </c>
      <c r="D1188" s="10" t="inlineStr">
        <is>
          <t>regular</t>
        </is>
      </c>
      <c r="E1188" s="10" t="inlineStr">
        <is>
          <t>Tokopedia</t>
        </is>
      </c>
      <c r="F1188" s="10" t="inlineStr">
        <is>
          <t>Lainnya</t>
        </is>
      </c>
      <c r="G1188" s="10" t="inlineStr">
        <is>
          <t>Rumah Tangga</t>
        </is>
      </c>
      <c r="H1188" s="10" t="inlineStr">
        <is>
          <t>Set Wadah Kedap</t>
        </is>
      </c>
      <c r="I1188" s="10" t="n">
        <v>1</v>
      </c>
      <c r="J1188" s="10" t="n">
        <v>135000</v>
      </c>
      <c r="K1188" s="10" t="inlineStr">
        <is>
          <t>Rp 135.000</t>
        </is>
      </c>
    </row>
    <row r="1189">
      <c r="A1189" s="10" t="inlineStr">
        <is>
          <t>INV-71446</t>
        </is>
      </c>
      <c r="B1189" s="10" t="inlineStr">
        <is>
          <t>2025-03-05</t>
        </is>
      </c>
      <c r="C1189" s="10" t="inlineStr">
        <is>
          <t>C1400</t>
        </is>
      </c>
      <c r="D1189" s="10" t="inlineStr">
        <is>
          <t>regular</t>
        </is>
      </c>
      <c r="E1189" s="10" t="inlineStr">
        <is>
          <t>TikTok Shop</t>
        </is>
      </c>
      <c r="F1189" s="10" t="inlineStr">
        <is>
          <t>Lainnya</t>
        </is>
      </c>
      <c r="G1189" s="10" t="inlineStr">
        <is>
          <t>Fashion</t>
        </is>
      </c>
      <c r="H1189" s="10" t="inlineStr">
        <is>
          <t>Dress Casual</t>
        </is>
      </c>
      <c r="I1189" s="10" t="n">
        <v>2</v>
      </c>
      <c r="J1189" s="10" t="n">
        <v>225000</v>
      </c>
      <c r="K1189" s="10" t="n">
        <v>450000</v>
      </c>
    </row>
    <row r="1190">
      <c r="A1190" s="10" t="inlineStr">
        <is>
          <t>INV-71296</t>
        </is>
      </c>
      <c r="B1190" s="10" t="inlineStr">
        <is>
          <t>2026-03-17</t>
        </is>
      </c>
      <c r="C1190" s="10" t="inlineStr">
        <is>
          <t>C1359</t>
        </is>
      </c>
      <c r="D1190" s="10" t="inlineStr">
        <is>
          <t>champion</t>
        </is>
      </c>
      <c r="E1190" s="10" t="inlineStr">
        <is>
          <t>Shopee</t>
        </is>
      </c>
      <c r="F1190" s="10" t="inlineStr">
        <is>
          <t>Jawa Barat</t>
        </is>
      </c>
      <c r="G1190" s="10" t="inlineStr">
        <is>
          <t>rumah tangga</t>
        </is>
      </c>
      <c r="H1190" s="10" t="inlineStr">
        <is>
          <t>Set Wadah Kedap</t>
        </is>
      </c>
      <c r="I1190" s="10" t="n">
        <v>2</v>
      </c>
      <c r="J1190" s="10" t="n">
        <v>135000</v>
      </c>
      <c r="K1190" s="10" t="n">
        <v>270000</v>
      </c>
    </row>
    <row r="1191">
      <c r="A1191" s="10" t="inlineStr">
        <is>
          <t>INV-70883</t>
        </is>
      </c>
      <c r="B1191" s="10" t="inlineStr">
        <is>
          <t>04 Sep 2025</t>
        </is>
      </c>
      <c r="C1191" s="10" t="inlineStr">
        <is>
          <t>C1247</t>
        </is>
      </c>
      <c r="D1191" s="10" t="inlineStr">
        <is>
          <t>champion</t>
        </is>
      </c>
      <c r="E1191" s="10" t="inlineStr">
        <is>
          <t xml:space="preserve">Tokopedia </t>
        </is>
      </c>
      <c r="F1191" s="10" t="inlineStr">
        <is>
          <t>Jawa Barat</t>
        </is>
      </c>
      <c r="G1191" s="10" t="inlineStr">
        <is>
          <t>Kecantikan</t>
        </is>
      </c>
      <c r="H1191" s="10" t="inlineStr">
        <is>
          <t>Masker Wajah (5s)</t>
        </is>
      </c>
      <c r="I1191" s="10" t="n">
        <v>4</v>
      </c>
      <c r="J1191" s="10" t="n">
        <v>55000</v>
      </c>
      <c r="K1191" s="10" t="n">
        <v>220000</v>
      </c>
    </row>
    <row r="1192">
      <c r="A1192" s="10" t="inlineStr">
        <is>
          <t>INV-71162</t>
        </is>
      </c>
      <c r="B1192" s="10" t="inlineStr">
        <is>
          <t>2025-04-08</t>
        </is>
      </c>
      <c r="C1192" s="10" t="inlineStr">
        <is>
          <t>C1329</t>
        </is>
      </c>
      <c r="D1192" s="10" t="inlineStr">
        <is>
          <t>regular</t>
        </is>
      </c>
      <c r="E1192" s="10" t="inlineStr">
        <is>
          <t>offline store</t>
        </is>
      </c>
      <c r="F1192" s="10" t="inlineStr">
        <is>
          <t>Jawa Timur</t>
        </is>
      </c>
      <c r="G1192" s="10" t="inlineStr">
        <is>
          <t>Rumah Tangga</t>
        </is>
      </c>
      <c r="H1192" s="10" t="inlineStr">
        <is>
          <t>Diffuser Aroma</t>
        </is>
      </c>
      <c r="I1192" s="10" t="n">
        <v>2</v>
      </c>
      <c r="J1192" s="10" t="n">
        <v>195000</v>
      </c>
      <c r="K1192" s="10" t="n">
        <v>390000</v>
      </c>
    </row>
    <row r="1193">
      <c r="A1193" s="10" t="inlineStr">
        <is>
          <t>INV-70555</t>
        </is>
      </c>
      <c r="B1193" s="10" t="inlineStr">
        <is>
          <t>2026-01-12</t>
        </is>
      </c>
      <c r="C1193" s="10" t="inlineStr">
        <is>
          <t>C1153</t>
        </is>
      </c>
      <c r="D1193" s="10" t="inlineStr">
        <is>
          <t>loyal</t>
        </is>
      </c>
      <c r="E1193" s="10" t="inlineStr">
        <is>
          <t>Offline Store</t>
        </is>
      </c>
      <c r="F1193" s="10" t="inlineStr">
        <is>
          <t>Jawa Timur</t>
        </is>
      </c>
      <c r="G1193" s="10" t="inlineStr">
        <is>
          <t>Elektronik</t>
        </is>
      </c>
      <c r="H1193" s="10" t="inlineStr">
        <is>
          <t>Webcam HD</t>
        </is>
      </c>
      <c r="I1193" s="10" t="n">
        <v>4</v>
      </c>
      <c r="J1193" s="10" t="n">
        <v>210000</v>
      </c>
      <c r="K1193" s="10" t="n">
        <v>840000</v>
      </c>
    </row>
    <row r="1194">
      <c r="A1194" s="10" t="inlineStr">
        <is>
          <t>INV-70375</t>
        </is>
      </c>
      <c r="B1194" s="10" t="inlineStr">
        <is>
          <t>2025-05-27</t>
        </is>
      </c>
      <c r="C1194" s="10" t="inlineStr">
        <is>
          <t>C1109</t>
        </is>
      </c>
      <c r="D1194" s="10" t="inlineStr">
        <is>
          <t>occasional</t>
        </is>
      </c>
      <c r="E1194" s="10" t="inlineStr">
        <is>
          <t>Tokopedia</t>
        </is>
      </c>
      <c r="F1194" s="10" t="inlineStr">
        <is>
          <t>Sumatera</t>
        </is>
      </c>
      <c r="G1194" s="10" t="inlineStr">
        <is>
          <t>Kecantikan</t>
        </is>
      </c>
      <c r="H1194" s="10" t="inlineStr">
        <is>
          <t>Masker Wajah (5s)</t>
        </is>
      </c>
      <c r="I1194" s="10" t="n">
        <v>1</v>
      </c>
      <c r="J1194" s="10" t="n">
        <v>55000</v>
      </c>
      <c r="K1194" s="10" t="inlineStr">
        <is>
          <t>Rp 55.000</t>
        </is>
      </c>
    </row>
    <row r="1195">
      <c r="A1195" s="10" t="inlineStr">
        <is>
          <t>INV-71038</t>
        </is>
      </c>
      <c r="B1195" s="10" t="inlineStr">
        <is>
          <t>2026-06-13</t>
        </is>
      </c>
      <c r="C1195" s="10" t="inlineStr">
        <is>
          <t>C1294</t>
        </is>
      </c>
      <c r="D1195" s="10" t="inlineStr">
        <is>
          <t>loyal</t>
        </is>
      </c>
      <c r="E1195" s="10" t="inlineStr">
        <is>
          <t>TikTok Shop</t>
        </is>
      </c>
      <c r="F1195" s="10" t="inlineStr">
        <is>
          <t>Jabodetabek</t>
        </is>
      </c>
      <c r="G1195" s="10" t="inlineStr">
        <is>
          <t>Elektronik</t>
        </is>
      </c>
      <c r="H1195" s="10" t="inlineStr">
        <is>
          <t>Earbuds TWS</t>
        </is>
      </c>
      <c r="I1195" s="10" t="n">
        <v>2</v>
      </c>
      <c r="J1195" s="10" t="n">
        <v>265000</v>
      </c>
      <c r="K1195" s="10" t="n">
        <v>530000</v>
      </c>
    </row>
    <row r="1196">
      <c r="A1196" s="10" t="inlineStr">
        <is>
          <t>INV-70238</t>
        </is>
      </c>
      <c r="B1196" s="10" t="inlineStr">
        <is>
          <t>2025-01-25</t>
        </is>
      </c>
      <c r="C1196" s="10" t="inlineStr">
        <is>
          <t>C1067</t>
        </is>
      </c>
      <c r="D1196" s="10" t="inlineStr">
        <is>
          <t>occasional</t>
        </is>
      </c>
      <c r="E1196" s="10" t="inlineStr">
        <is>
          <t>TIKTOK SHOP</t>
        </is>
      </c>
      <c r="F1196" s="10" t="inlineStr">
        <is>
          <t>Jawa Timur</t>
        </is>
      </c>
      <c r="G1196" s="10" t="inlineStr">
        <is>
          <t>Elektronik</t>
        </is>
      </c>
      <c r="H1196" s="10" t="inlineStr">
        <is>
          <t>Webcam HD</t>
        </is>
      </c>
      <c r="I1196" s="10" t="n">
        <v>3</v>
      </c>
      <c r="J1196" s="10" t="n">
        <v>210000</v>
      </c>
      <c r="K1196" s="10" t="inlineStr">
        <is>
          <t>Rp 630.000</t>
        </is>
      </c>
    </row>
    <row r="1197">
      <c r="A1197" s="10" t="inlineStr">
        <is>
          <t>INV-71144</t>
        </is>
      </c>
      <c r="B1197" s="10" t="inlineStr">
        <is>
          <t>2025-02-01</t>
        </is>
      </c>
      <c r="C1197" s="10" t="inlineStr">
        <is>
          <t>C1323</t>
        </is>
      </c>
      <c r="D1197" s="10" t="inlineStr">
        <is>
          <t>regular</t>
        </is>
      </c>
      <c r="E1197" s="10" t="inlineStr">
        <is>
          <t>tiktok shop</t>
        </is>
      </c>
      <c r="F1197" s="10" t="inlineStr">
        <is>
          <t>Jawa Barat</t>
        </is>
      </c>
      <c r="G1197" s="10" t="inlineStr">
        <is>
          <t>Rumah Tangga</t>
        </is>
      </c>
      <c r="H1197" s="10" t="inlineStr">
        <is>
          <t>Set Wadah Kedap</t>
        </is>
      </c>
      <c r="I1197" s="10" t="n">
        <v>3</v>
      </c>
      <c r="J1197" s="10" t="n">
        <v>135000</v>
      </c>
      <c r="K1197" s="10" t="n">
        <v>405000</v>
      </c>
    </row>
    <row r="1198">
      <c r="A1198" s="10" t="inlineStr">
        <is>
          <t>INV-70818</t>
        </is>
      </c>
      <c r="B1198" s="10" t="inlineStr">
        <is>
          <t>2026-06-05</t>
        </is>
      </c>
      <c r="C1198" s="10" t="inlineStr">
        <is>
          <t>C1231</t>
        </is>
      </c>
      <c r="D1198" s="10" t="inlineStr">
        <is>
          <t>loyal</t>
        </is>
      </c>
      <c r="E1198" s="10" t="inlineStr">
        <is>
          <t>Shopee</t>
        </is>
      </c>
      <c r="F1198" s="10" t="inlineStr">
        <is>
          <t>Jawa Timur</t>
        </is>
      </c>
      <c r="G1198" s="10" t="inlineStr">
        <is>
          <t>Kecantikan</t>
        </is>
      </c>
      <c r="H1198" s="10" t="inlineStr">
        <is>
          <t>Masker Wajah (5s)</t>
        </is>
      </c>
      <c r="I1198" s="10" t="n">
        <v>3</v>
      </c>
      <c r="J1198" s="10" t="n">
        <v>55000</v>
      </c>
      <c r="K1198" s="10" t="inlineStr">
        <is>
          <t>Rp 165.000</t>
        </is>
      </c>
    </row>
    <row r="1199">
      <c r="A1199" s="10" t="inlineStr">
        <is>
          <t>INV-70090</t>
        </is>
      </c>
      <c r="B1199" s="10" t="inlineStr">
        <is>
          <t>2026-05-03</t>
        </is>
      </c>
      <c r="C1199" s="10" t="inlineStr">
        <is>
          <t>C1027</t>
        </is>
      </c>
      <c r="D1199" s="10" t="inlineStr">
        <is>
          <t>occasional</t>
        </is>
      </c>
      <c r="E1199" s="10" t="inlineStr">
        <is>
          <t>Shopee</t>
        </is>
      </c>
      <c r="F1199" s="10" t="inlineStr">
        <is>
          <t>Jabodetabek</t>
        </is>
      </c>
      <c r="G1199" s="10" t="inlineStr">
        <is>
          <t>rumah tangga</t>
        </is>
      </c>
      <c r="H1199" s="10" t="inlineStr">
        <is>
          <t>Set Wadah Kedap</t>
        </is>
      </c>
      <c r="I1199" s="10" t="n">
        <v>1</v>
      </c>
      <c r="J1199" s="10" t="n">
        <v>135000</v>
      </c>
      <c r="K1199" s="10" t="n">
        <v>135000</v>
      </c>
    </row>
    <row r="1200">
      <c r="A1200" s="10" t="inlineStr">
        <is>
          <t>INV-70043</t>
        </is>
      </c>
      <c r="B1200" s="10" t="inlineStr">
        <is>
          <t>2026-06-10</t>
        </is>
      </c>
      <c r="C1200" s="10" t="inlineStr">
        <is>
          <t>C1012</t>
        </is>
      </c>
      <c r="D1200" s="10" t="inlineStr">
        <is>
          <t>loyal</t>
        </is>
      </c>
      <c r="E1200" s="10" t="inlineStr">
        <is>
          <t>Tokopedia</t>
        </is>
      </c>
      <c r="F1200" s="10" t="inlineStr">
        <is>
          <t>Jawa Barat</t>
        </is>
      </c>
      <c r="G1200" s="10" t="inlineStr">
        <is>
          <t>Fashion</t>
        </is>
      </c>
      <c r="H1200" s="10" t="inlineStr">
        <is>
          <t>Dress Casual</t>
        </is>
      </c>
      <c r="I1200" s="10" t="n">
        <v>2</v>
      </c>
      <c r="J1200" s="10" t="n">
        <v>225000</v>
      </c>
      <c r="K1200" s="10" t="inlineStr">
        <is>
          <t>Rp 450.000</t>
        </is>
      </c>
    </row>
    <row r="1201">
      <c r="A1201" s="10" t="inlineStr">
        <is>
          <t>INV-70870</t>
        </is>
      </c>
      <c r="B1201" s="10" t="inlineStr">
        <is>
          <t>2025-01-06</t>
        </is>
      </c>
      <c r="C1201" s="10" t="inlineStr">
        <is>
          <t>C1246</t>
        </is>
      </c>
      <c r="D1201" s="10" t="inlineStr">
        <is>
          <t>champion</t>
        </is>
      </c>
      <c r="E1201" s="10" t="inlineStr">
        <is>
          <t>Shopee</t>
        </is>
      </c>
      <c r="F1201" s="10" t="inlineStr">
        <is>
          <t>Jawa Barat</t>
        </is>
      </c>
      <c r="G1201" s="10" t="inlineStr">
        <is>
          <t>Elektronik</t>
        </is>
      </c>
      <c r="H1201" s="10" t="inlineStr">
        <is>
          <t>Keyboard Mekanik</t>
        </is>
      </c>
      <c r="I1201" s="10" t="n">
        <v>2</v>
      </c>
      <c r="J1201" s="10" t="n">
        <v>380000</v>
      </c>
      <c r="K1201" s="10" t="n">
        <v>760000</v>
      </c>
    </row>
    <row r="1202">
      <c r="A1202" s="10" t="inlineStr">
        <is>
          <t>INV-70524</t>
        </is>
      </c>
      <c r="B1202" s="10" t="inlineStr">
        <is>
          <t>2025-06-25</t>
        </is>
      </c>
      <c r="C1202" s="10" t="inlineStr">
        <is>
          <t>C1145</t>
        </is>
      </c>
      <c r="D1202" s="10" t="inlineStr">
        <is>
          <t>occasional</t>
        </is>
      </c>
      <c r="E1202" s="10" t="inlineStr">
        <is>
          <t>Shopee</t>
        </is>
      </c>
      <c r="F1202" s="10" t="inlineStr">
        <is>
          <t>Jabodetabek</t>
        </is>
      </c>
      <c r="G1202" s="10" t="inlineStr">
        <is>
          <t>Kecantikan</t>
        </is>
      </c>
      <c r="H1202" s="10" t="inlineStr">
        <is>
          <t>Serum Vit C</t>
        </is>
      </c>
      <c r="I1202" s="10" t="n">
        <v>1</v>
      </c>
      <c r="J1202" s="10" t="n">
        <v>145000</v>
      </c>
      <c r="K1202" s="10" t="n">
        <v>145000</v>
      </c>
    </row>
    <row r="1203">
      <c r="A1203" s="10" t="inlineStr">
        <is>
          <t>INV-70113</t>
        </is>
      </c>
      <c r="B1203" s="10" t="inlineStr">
        <is>
          <t>2026-04-01</t>
        </is>
      </c>
      <c r="C1203" s="10" t="inlineStr">
        <is>
          <t>C1033</t>
        </is>
      </c>
      <c r="D1203" s="10" t="inlineStr">
        <is>
          <t>regular</t>
        </is>
      </c>
      <c r="E1203" s="10" t="inlineStr">
        <is>
          <t>TikTok Shop</t>
        </is>
      </c>
      <c r="F1203" s="10" t="inlineStr">
        <is>
          <t>Jawa Tengah</t>
        </is>
      </c>
      <c r="G1203" s="10" t="inlineStr">
        <is>
          <t>Elektronik</t>
        </is>
      </c>
      <c r="H1203" s="10" t="inlineStr">
        <is>
          <t>Power Bank 20K</t>
        </is>
      </c>
      <c r="I1203" s="10" t="n">
        <v>4</v>
      </c>
      <c r="J1203" s="10" t="n">
        <v>185000</v>
      </c>
      <c r="K1203" s="10" t="n">
        <v>740000</v>
      </c>
    </row>
    <row r="1204">
      <c r="A1204" s="10" t="inlineStr">
        <is>
          <t>INV-71027</t>
        </is>
      </c>
      <c r="B1204" s="10" t="inlineStr">
        <is>
          <t>13 Nov 2025</t>
        </is>
      </c>
      <c r="C1204" s="10" t="inlineStr">
        <is>
          <t>C1292</t>
        </is>
      </c>
      <c r="D1204" s="10" t="inlineStr">
        <is>
          <t>regular</t>
        </is>
      </c>
      <c r="E1204" s="10" t="inlineStr">
        <is>
          <t>TikTok Shop</t>
        </is>
      </c>
      <c r="F1204" s="10" t="inlineStr">
        <is>
          <t>Jabodetabek</t>
        </is>
      </c>
      <c r="G1204" s="10" t="inlineStr">
        <is>
          <t>Elektronik</t>
        </is>
      </c>
      <c r="H1204" s="10" t="inlineStr">
        <is>
          <t>Power Bank 20K</t>
        </is>
      </c>
      <c r="I1204" s="10" t="n">
        <v>3</v>
      </c>
      <c r="J1204" s="10" t="n">
        <v>185000</v>
      </c>
      <c r="K1204" s="10" t="n">
        <v>555000</v>
      </c>
    </row>
    <row r="1205">
      <c r="A1205" s="10" t="inlineStr">
        <is>
          <t>INV-71473</t>
        </is>
      </c>
      <c r="B1205" s="10" t="inlineStr">
        <is>
          <t>27 May 2025</t>
        </is>
      </c>
      <c r="C1205" s="10" t="inlineStr">
        <is>
          <t>C1406</t>
        </is>
      </c>
      <c r="D1205" s="10" t="inlineStr">
        <is>
          <t>regular</t>
        </is>
      </c>
      <c r="E1205" s="10" t="inlineStr">
        <is>
          <t xml:space="preserve">Offline store </t>
        </is>
      </c>
      <c r="F1205" s="10" t="inlineStr">
        <is>
          <t>Jawa Barat</t>
        </is>
      </c>
      <c r="G1205" s="10" t="inlineStr">
        <is>
          <t>Elektronik</t>
        </is>
      </c>
      <c r="H1205" s="10" t="inlineStr">
        <is>
          <t>Webcam HD</t>
        </is>
      </c>
      <c r="I1205" s="10" t="n">
        <v>1</v>
      </c>
      <c r="J1205" s="10" t="n">
        <v>210000</v>
      </c>
      <c r="K1205" s="10" t="n">
        <v>210000</v>
      </c>
    </row>
    <row r="1206">
      <c r="A1206" s="10" t="inlineStr">
        <is>
          <t>INV-71340</t>
        </is>
      </c>
      <c r="B1206" s="10" t="inlineStr">
        <is>
          <t>06/03/2026</t>
        </is>
      </c>
      <c r="C1206" s="10" t="inlineStr">
        <is>
          <t>C1369</t>
        </is>
      </c>
      <c r="D1206" s="10" t="inlineStr">
        <is>
          <t>loyal</t>
        </is>
      </c>
      <c r="E1206" s="10" t="inlineStr">
        <is>
          <t>Offline Store</t>
        </is>
      </c>
      <c r="F1206" s="10" t="inlineStr">
        <is>
          <t>Jabodetabek</t>
        </is>
      </c>
      <c r="G1206" s="10" t="inlineStr">
        <is>
          <t>Rumah Tangga</t>
        </is>
      </c>
      <c r="H1206" s="10" t="inlineStr">
        <is>
          <t>Organizer Laci</t>
        </is>
      </c>
      <c r="I1206" s="10" t="n">
        <v>2</v>
      </c>
      <c r="J1206" s="10" t="n">
        <v>78000</v>
      </c>
      <c r="K1206" s="10" t="inlineStr">
        <is>
          <t>Rp 156.000</t>
        </is>
      </c>
    </row>
    <row r="1207">
      <c r="A1207" s="10" t="inlineStr">
        <is>
          <t>INV-71551</t>
        </is>
      </c>
      <c r="B1207" s="10" t="inlineStr">
        <is>
          <t>2025-05-15</t>
        </is>
      </c>
      <c r="C1207" s="10" t="inlineStr">
        <is>
          <t>C1427</t>
        </is>
      </c>
      <c r="D1207" s="10" t="inlineStr">
        <is>
          <t>occasional</t>
        </is>
      </c>
      <c r="E1207" s="10" t="inlineStr">
        <is>
          <t>Offline Store</t>
        </is>
      </c>
      <c r="F1207" s="10" t="inlineStr">
        <is>
          <t>Jabodetabek</t>
        </is>
      </c>
      <c r="G1207" s="10" t="inlineStr">
        <is>
          <t>rumah tangga</t>
        </is>
      </c>
      <c r="H1207" s="10" t="inlineStr">
        <is>
          <t>Lampu Meja LED</t>
        </is>
      </c>
      <c r="I1207" s="10" t="n">
        <v>1</v>
      </c>
      <c r="J1207" s="10" t="n">
        <v>165000</v>
      </c>
      <c r="K1207" s="10" t="inlineStr">
        <is>
          <t>Rp 165.000</t>
        </is>
      </c>
    </row>
    <row r="1208">
      <c r="A1208" s="10" t="inlineStr">
        <is>
          <t>INV-71140</t>
        </is>
      </c>
      <c r="B1208" s="10" t="inlineStr">
        <is>
          <t>2026-05-21</t>
        </is>
      </c>
      <c r="C1208" s="10" t="inlineStr">
        <is>
          <t>C1322</t>
        </is>
      </c>
      <c r="D1208" s="10" t="inlineStr">
        <is>
          <t>loyal</t>
        </is>
      </c>
      <c r="E1208" s="10" t="inlineStr">
        <is>
          <t>TIKTOK SHOP</t>
        </is>
      </c>
      <c r="F1208" s="10" t="inlineStr">
        <is>
          <t>Sumatera</t>
        </is>
      </c>
      <c r="G1208" s="10" t="inlineStr">
        <is>
          <t>Elektronik</t>
        </is>
      </c>
      <c r="H1208" s="10" t="inlineStr">
        <is>
          <t>Power Bank 20K</t>
        </is>
      </c>
      <c r="I1208" s="10" t="n">
        <v>1</v>
      </c>
      <c r="J1208" s="10" t="n">
        <v>185000</v>
      </c>
      <c r="K1208" s="10" t="n">
        <v>185000</v>
      </c>
    </row>
    <row r="1209">
      <c r="A1209" s="10" t="inlineStr">
        <is>
          <t>INV-70845</t>
        </is>
      </c>
      <c r="B1209" s="10" t="inlineStr">
        <is>
          <t>2026-05-09</t>
        </is>
      </c>
      <c r="C1209" s="10" t="inlineStr">
        <is>
          <t>C1237</t>
        </is>
      </c>
      <c r="D1209" s="10" t="inlineStr">
        <is>
          <t>champion</t>
        </is>
      </c>
      <c r="E1209" s="10" t="inlineStr">
        <is>
          <t>TIKTOK SHOP</t>
        </is>
      </c>
      <c r="F1209" s="10" t="inlineStr">
        <is>
          <t>Jabodetabek</t>
        </is>
      </c>
      <c r="G1209" s="10" t="inlineStr">
        <is>
          <t>Rumah Tangga</t>
        </is>
      </c>
      <c r="H1209" s="10" t="inlineStr">
        <is>
          <t>Diffuser Aroma</t>
        </is>
      </c>
      <c r="I1209" s="10" t="n">
        <v>1</v>
      </c>
      <c r="J1209" s="10" t="n">
        <v>195000</v>
      </c>
      <c r="K1209" s="10" t="n">
        <v>195000</v>
      </c>
    </row>
    <row r="1210">
      <c r="A1210" s="10" t="inlineStr">
        <is>
          <t>INV-70543</t>
        </is>
      </c>
      <c r="B1210" s="10" t="inlineStr">
        <is>
          <t>16/09/2025</t>
        </is>
      </c>
      <c r="C1210" s="10" t="inlineStr">
        <is>
          <t>C1150</t>
        </is>
      </c>
      <c r="D1210" s="10" t="inlineStr">
        <is>
          <t>champion</t>
        </is>
      </c>
      <c r="E1210" s="10" t="inlineStr">
        <is>
          <t>TikTok Shop</t>
        </is>
      </c>
      <c r="F1210" s="10" t="inlineStr">
        <is>
          <t>Jawa Tengah</t>
        </is>
      </c>
      <c r="G1210" s="10" t="inlineStr">
        <is>
          <t>Fashion</t>
        </is>
      </c>
      <c r="H1210" s="10" t="inlineStr">
        <is>
          <t>Celana Chino</t>
        </is>
      </c>
      <c r="I1210" s="10" t="n">
        <v>3</v>
      </c>
      <c r="J1210" s="10" t="n">
        <v>195000</v>
      </c>
      <c r="K1210" s="10" t="inlineStr">
        <is>
          <t>Rp 585.000</t>
        </is>
      </c>
    </row>
    <row r="1211">
      <c r="A1211" s="10" t="inlineStr">
        <is>
          <t>INV-71007</t>
        </is>
      </c>
      <c r="B1211" s="10" t="inlineStr">
        <is>
          <t>27 Apr 2025</t>
        </is>
      </c>
      <c r="C1211" s="10" t="inlineStr">
        <is>
          <t>C1287</t>
        </is>
      </c>
      <c r="D1211" s="10" t="inlineStr">
        <is>
          <t>champion</t>
        </is>
      </c>
      <c r="E1211" s="10" t="inlineStr">
        <is>
          <t>SHOPEE</t>
        </is>
      </c>
      <c r="F1211" s="10" t="inlineStr">
        <is>
          <t>Jabodetabek</t>
        </is>
      </c>
      <c r="G1211" s="10" t="inlineStr">
        <is>
          <t>Kecantikan</t>
        </is>
      </c>
      <c r="H1211" s="10" t="inlineStr">
        <is>
          <t>Masker Wajah (5s)</t>
        </is>
      </c>
      <c r="I1211" s="10" t="n">
        <v>4</v>
      </c>
      <c r="J1211" s="10" t="n">
        <v>55000</v>
      </c>
      <c r="K1211" s="10" t="inlineStr">
        <is>
          <t>Rp 220.000</t>
        </is>
      </c>
    </row>
    <row r="1212">
      <c r="A1212" s="10" t="inlineStr">
        <is>
          <t>INV-70116</t>
        </is>
      </c>
      <c r="B1212" s="10" t="inlineStr">
        <is>
          <t>2025-02-08</t>
        </is>
      </c>
      <c r="C1212" s="10" t="inlineStr">
        <is>
          <t>C1036</t>
        </is>
      </c>
      <c r="D1212" s="10" t="inlineStr">
        <is>
          <t>onetime</t>
        </is>
      </c>
      <c r="E1212" s="10" t="inlineStr">
        <is>
          <t>Shopee</t>
        </is>
      </c>
      <c r="F1212" s="10" t="inlineStr">
        <is>
          <t>Jawa Barat</t>
        </is>
      </c>
      <c r="G1212" s="10" t="inlineStr">
        <is>
          <t>Kecantikan</t>
        </is>
      </c>
      <c r="H1212" s="10" t="inlineStr">
        <is>
          <t>Serum Vit C</t>
        </is>
      </c>
      <c r="I1212" s="10" t="n">
        <v>4</v>
      </c>
      <c r="J1212" s="10" t="n">
        <v>145000</v>
      </c>
      <c r="K1212" s="10" t="n">
        <v>580000</v>
      </c>
    </row>
    <row r="1213">
      <c r="A1213" s="10" t="inlineStr">
        <is>
          <t>INV-71536</t>
        </is>
      </c>
      <c r="B1213" s="10" t="inlineStr">
        <is>
          <t>2026-05-22</t>
        </is>
      </c>
      <c r="C1213" s="10" t="inlineStr">
        <is>
          <t>C1424</t>
        </is>
      </c>
      <c r="D1213" s="10" t="inlineStr">
        <is>
          <t>loyal</t>
        </is>
      </c>
      <c r="E1213" s="10" t="inlineStr">
        <is>
          <t>Shopee</t>
        </is>
      </c>
      <c r="F1213" s="10" t="inlineStr">
        <is>
          <t>Jawa Timur</t>
        </is>
      </c>
      <c r="G1213" s="10" t="inlineStr">
        <is>
          <t>rumah tangga</t>
        </is>
      </c>
      <c r="H1213" s="10" t="inlineStr">
        <is>
          <t>Set Wadah Kedap</t>
        </is>
      </c>
      <c r="I1213" s="10" t="n">
        <v>3</v>
      </c>
      <c r="J1213" s="10" t="n">
        <v>135000</v>
      </c>
      <c r="K1213" s="10" t="n">
        <v>405000</v>
      </c>
    </row>
    <row r="1214">
      <c r="A1214" s="10" t="inlineStr">
        <is>
          <t>INV-71057</t>
        </is>
      </c>
      <c r="B1214" s="10" t="inlineStr">
        <is>
          <t>2026-04-06</t>
        </is>
      </c>
      <c r="C1214" s="10" t="inlineStr">
        <is>
          <t>C1300</t>
        </is>
      </c>
      <c r="D1214" s="10" t="inlineStr">
        <is>
          <t>regular</t>
        </is>
      </c>
      <c r="E1214" s="10" t="inlineStr">
        <is>
          <t>shopee</t>
        </is>
      </c>
      <c r="F1214" s="10" t="inlineStr">
        <is>
          <t>Jabodetabek</t>
        </is>
      </c>
      <c r="G1214" s="10" t="inlineStr">
        <is>
          <t>Fashion</t>
        </is>
      </c>
      <c r="H1214" s="10" t="inlineStr">
        <is>
          <t>Dress Casual</t>
        </is>
      </c>
      <c r="I1214" s="10" t="n">
        <v>2</v>
      </c>
      <c r="J1214" s="10" t="n">
        <v>225000</v>
      </c>
      <c r="K1214" s="10" t="n">
        <v>450000</v>
      </c>
    </row>
    <row r="1215">
      <c r="A1215" s="10" t="inlineStr">
        <is>
          <t>INV-70093</t>
        </is>
      </c>
      <c r="B1215" s="10" t="inlineStr">
        <is>
          <t>16 Aug 2025</t>
        </is>
      </c>
      <c r="C1215" s="10" t="inlineStr">
        <is>
          <t>C1028</t>
        </is>
      </c>
      <c r="D1215" s="10" t="inlineStr">
        <is>
          <t>occasional</t>
        </is>
      </c>
      <c r="E1215" s="10" t="inlineStr">
        <is>
          <t>Shopee</t>
        </is>
      </c>
      <c r="F1215" s="10" t="inlineStr">
        <is>
          <t>Jabodetabek</t>
        </is>
      </c>
      <c r="G1215" s="10" t="inlineStr">
        <is>
          <t>Makanan</t>
        </is>
      </c>
      <c r="H1215" s="10" t="inlineStr">
        <is>
          <t>Granola 500g</t>
        </is>
      </c>
      <c r="I1215" s="10" t="n">
        <v>1</v>
      </c>
      <c r="J1215" s="10" t="n">
        <v>92000</v>
      </c>
      <c r="K1215" s="10" t="n">
        <v>92000</v>
      </c>
    </row>
    <row r="1216">
      <c r="A1216" s="10" t="inlineStr">
        <is>
          <t>INV-70900</t>
        </is>
      </c>
      <c r="B1216" s="10" t="inlineStr">
        <is>
          <t>2025-03-24</t>
        </is>
      </c>
      <c r="C1216" s="10" t="inlineStr">
        <is>
          <t>C1253</t>
        </is>
      </c>
      <c r="D1216" s="10" t="inlineStr">
        <is>
          <t>regular</t>
        </is>
      </c>
      <c r="E1216" s="10" t="inlineStr">
        <is>
          <t>SHOPEE</t>
        </is>
      </c>
      <c r="F1216" s="10" t="inlineStr">
        <is>
          <t>Sumatera</t>
        </is>
      </c>
      <c r="G1216" s="10" t="inlineStr">
        <is>
          <t>Rumah Tangga</t>
        </is>
      </c>
      <c r="H1216" s="10" t="inlineStr">
        <is>
          <t>Set Wadah Kedap</t>
        </is>
      </c>
      <c r="I1216" s="10" t="n">
        <v>2</v>
      </c>
      <c r="J1216" s="10" t="n">
        <v>135000</v>
      </c>
      <c r="K1216" s="10" t="n">
        <v>270000</v>
      </c>
    </row>
    <row r="1217">
      <c r="A1217" s="10" t="inlineStr">
        <is>
          <t>INV-71174</t>
        </is>
      </c>
      <c r="B1217" s="10" t="inlineStr">
        <is>
          <t>21/05/2025</t>
        </is>
      </c>
      <c r="C1217" s="10" t="inlineStr">
        <is>
          <t>C1333</t>
        </is>
      </c>
      <c r="D1217" s="10" t="inlineStr">
        <is>
          <t>regular</t>
        </is>
      </c>
      <c r="E1217" s="10" t="inlineStr">
        <is>
          <t>Offline Store</t>
        </is>
      </c>
      <c r="F1217" s="10" t="inlineStr">
        <is>
          <t>Jawa Tengah</t>
        </is>
      </c>
      <c r="G1217" s="10" t="inlineStr">
        <is>
          <t>Elektronik</t>
        </is>
      </c>
      <c r="H1217" s="10" t="inlineStr">
        <is>
          <t>Smartwatch</t>
        </is>
      </c>
      <c r="I1217" s="10" t="n">
        <v>2</v>
      </c>
      <c r="J1217" s="10" t="n">
        <v>450000</v>
      </c>
      <c r="K1217" s="10" t="n">
        <v>900000</v>
      </c>
    </row>
    <row r="1218">
      <c r="A1218" s="10" t="inlineStr">
        <is>
          <t>INV-70767</t>
        </is>
      </c>
      <c r="B1218" s="10" t="inlineStr">
        <is>
          <t>14/10/2025</t>
        </is>
      </c>
      <c r="C1218" s="10" t="inlineStr">
        <is>
          <t>C1215</t>
        </is>
      </c>
      <c r="D1218" s="10" t="inlineStr">
        <is>
          <t>loyal</t>
        </is>
      </c>
      <c r="E1218" s="10" t="inlineStr">
        <is>
          <t>Shopee</t>
        </is>
      </c>
      <c r="F1218" s="10" t="inlineStr">
        <is>
          <t>Jawa Barat</t>
        </is>
      </c>
      <c r="G1218" s="10" t="inlineStr">
        <is>
          <t>Rumah Tangga</t>
        </is>
      </c>
      <c r="H1218" s="10" t="inlineStr">
        <is>
          <t>Set Wadah Kedap</t>
        </is>
      </c>
      <c r="I1218" s="10" t="n">
        <v>1</v>
      </c>
      <c r="J1218" s="10" t="n">
        <v>135000</v>
      </c>
      <c r="K1218" s="10" t="n">
        <v>135000</v>
      </c>
    </row>
    <row r="1219">
      <c r="A1219" s="10" t="inlineStr">
        <is>
          <t>INV-71267</t>
        </is>
      </c>
      <c r="B1219" s="10" t="inlineStr">
        <is>
          <t>2025-08-06</t>
        </is>
      </c>
      <c r="C1219" s="10" t="inlineStr">
        <is>
          <t>C1358</t>
        </is>
      </c>
      <c r="D1219" s="10" t="inlineStr">
        <is>
          <t>champion</t>
        </is>
      </c>
      <c r="E1219" s="10" t="inlineStr">
        <is>
          <t>TikTok Shop</t>
        </is>
      </c>
      <c r="F1219" s="10" t="inlineStr">
        <is>
          <t>Jabodetabek</t>
        </is>
      </c>
      <c r="G1219" s="10" t="inlineStr">
        <is>
          <t>Elektronik</t>
        </is>
      </c>
      <c r="H1219" s="10" t="inlineStr">
        <is>
          <t>Keyboard Mekanik</t>
        </is>
      </c>
      <c r="I1219" s="10" t="n">
        <v>1</v>
      </c>
      <c r="J1219" s="10" t="n">
        <v>380000</v>
      </c>
      <c r="K1219" s="10" t="n">
        <v>380000</v>
      </c>
    </row>
    <row r="1220">
      <c r="A1220" s="10" t="inlineStr">
        <is>
          <t>INV-71456</t>
        </is>
      </c>
      <c r="B1220" s="10" t="inlineStr">
        <is>
          <t>2025-02-05</t>
        </is>
      </c>
      <c r="C1220" s="10" t="inlineStr">
        <is>
          <t>C1403</t>
        </is>
      </c>
      <c r="D1220" s="10" t="inlineStr">
        <is>
          <t>regular</t>
        </is>
      </c>
      <c r="E1220" s="10" t="inlineStr">
        <is>
          <t xml:space="preserve">Shopee </t>
        </is>
      </c>
      <c r="F1220" s="10" t="inlineStr">
        <is>
          <t>Sumatera</t>
        </is>
      </c>
      <c r="G1220" s="10" t="inlineStr">
        <is>
          <t>Makanan</t>
        </is>
      </c>
      <c r="H1220" s="10" t="inlineStr">
        <is>
          <t>Keripik Sehat</t>
        </is>
      </c>
      <c r="I1220" s="10" t="n">
        <v>1</v>
      </c>
      <c r="J1220" s="10" t="n">
        <v>45000</v>
      </c>
      <c r="K1220" s="10" t="n">
        <v>45000</v>
      </c>
    </row>
    <row r="1221">
      <c r="A1221" s="10" t="inlineStr">
        <is>
          <t>INV-70431</t>
        </is>
      </c>
      <c r="B1221" s="10" t="inlineStr">
        <is>
          <t>2025-06-05</t>
        </is>
      </c>
      <c r="C1221" s="10" t="inlineStr">
        <is>
          <t>C1122</t>
        </is>
      </c>
      <c r="D1221" s="10" t="inlineStr">
        <is>
          <t>loyal</t>
        </is>
      </c>
      <c r="E1221" s="10" t="inlineStr">
        <is>
          <t>SHOPEE</t>
        </is>
      </c>
      <c r="F1221" s="10" t="inlineStr">
        <is>
          <t>Jabodetabek</t>
        </is>
      </c>
      <c r="G1221" s="10" t="inlineStr">
        <is>
          <t>Rumah Tangga</t>
        </is>
      </c>
      <c r="H1221" s="10" t="inlineStr">
        <is>
          <t>Diffuser Aroma</t>
        </is>
      </c>
      <c r="I1221" s="10" t="n">
        <v>2</v>
      </c>
      <c r="J1221" s="10" t="n">
        <v>195000</v>
      </c>
      <c r="K1221" s="10" t="n">
        <v>390000</v>
      </c>
    </row>
    <row r="1222">
      <c r="A1222" s="10" t="inlineStr">
        <is>
          <t>INV-71403</t>
        </is>
      </c>
      <c r="B1222" s="10" t="inlineStr">
        <is>
          <t>2026-03-01</t>
        </is>
      </c>
      <c r="C1222" s="10" t="inlineStr">
        <is>
          <t>C1386</t>
        </is>
      </c>
      <c r="D1222" s="10" t="inlineStr">
        <is>
          <t>loyal</t>
        </is>
      </c>
      <c r="E1222" s="10" t="inlineStr">
        <is>
          <t>Shopee</t>
        </is>
      </c>
      <c r="F1222" s="10" t="inlineStr">
        <is>
          <t>Jawa Barat</t>
        </is>
      </c>
      <c r="G1222" s="10" t="inlineStr">
        <is>
          <t>Rumah Tangga</t>
        </is>
      </c>
      <c r="H1222" s="10" t="inlineStr">
        <is>
          <t>Set Wadah Kedap</t>
        </is>
      </c>
      <c r="I1222" s="10" t="n">
        <v>4</v>
      </c>
      <c r="J1222" s="10" t="n">
        <v>135000</v>
      </c>
      <c r="K1222" s="10" t="n">
        <v>540000</v>
      </c>
    </row>
    <row r="1223">
      <c r="A1223" s="10" t="inlineStr">
        <is>
          <t>INV-70990</t>
        </is>
      </c>
      <c r="B1223" s="10" t="inlineStr">
        <is>
          <t>2025-02-01</t>
        </is>
      </c>
      <c r="C1223" s="10" t="inlineStr">
        <is>
          <t>C1285</t>
        </is>
      </c>
      <c r="D1223" s="10" t="inlineStr">
        <is>
          <t>loyal</t>
        </is>
      </c>
      <c r="E1223" s="10" t="inlineStr">
        <is>
          <t>Shopee</t>
        </is>
      </c>
      <c r="F1223" s="10" t="inlineStr">
        <is>
          <t>Sumatera</t>
        </is>
      </c>
      <c r="G1223" s="10" t="inlineStr">
        <is>
          <t>Kecantikan</t>
        </is>
      </c>
      <c r="H1223" s="10" t="inlineStr">
        <is>
          <t>Masker Wajah (5s)</t>
        </is>
      </c>
      <c r="I1223" s="10" t="n">
        <v>2</v>
      </c>
      <c r="J1223" s="10" t="n">
        <v>55000</v>
      </c>
      <c r="K1223" s="10" t="n">
        <v>110000</v>
      </c>
    </row>
    <row r="1224">
      <c r="A1224" s="10" t="inlineStr">
        <is>
          <t>INV-70015</t>
        </is>
      </c>
      <c r="B1224" s="10" t="inlineStr">
        <is>
          <t>2025-09-03</t>
        </is>
      </c>
      <c r="C1224" s="10" t="inlineStr">
        <is>
          <t>C1003</t>
        </is>
      </c>
      <c r="D1224" s="10" t="inlineStr">
        <is>
          <t>regular</t>
        </is>
      </c>
      <c r="E1224" s="10" t="inlineStr">
        <is>
          <t>Tokopedia</t>
        </is>
      </c>
      <c r="F1224" s="10" t="inlineStr">
        <is>
          <t>Jawa Tengah</t>
        </is>
      </c>
      <c r="G1224" s="10" t="inlineStr">
        <is>
          <t>Elektronik</t>
        </is>
      </c>
      <c r="H1224" s="10" t="inlineStr">
        <is>
          <t>Earbuds TWS</t>
        </is>
      </c>
      <c r="I1224" s="10" t="n">
        <v>2</v>
      </c>
      <c r="J1224" s="10" t="n">
        <v>265000</v>
      </c>
      <c r="K1224" s="10" t="n">
        <v>530000</v>
      </c>
    </row>
    <row r="1225">
      <c r="A1225" s="10" t="inlineStr">
        <is>
          <t>INV-70969</t>
        </is>
      </c>
      <c r="B1225" s="10" t="inlineStr">
        <is>
          <t>04 Jan 2025</t>
        </is>
      </c>
      <c r="C1225" s="10" t="inlineStr">
        <is>
          <t>C1277</t>
        </is>
      </c>
      <c r="D1225" s="10" t="inlineStr">
        <is>
          <t>onetime</t>
        </is>
      </c>
      <c r="E1225" s="10" t="inlineStr">
        <is>
          <t>Offline Store</t>
        </is>
      </c>
      <c r="F1225" s="10" t="inlineStr">
        <is>
          <t>Jabodetabek</t>
        </is>
      </c>
      <c r="G1225" s="10" t="inlineStr">
        <is>
          <t>Makanan</t>
        </is>
      </c>
      <c r="H1225" s="10" t="inlineStr">
        <is>
          <t>Granola 500g</t>
        </is>
      </c>
      <c r="I1225" s="10" t="n">
        <v>4</v>
      </c>
      <c r="J1225" s="10" t="n">
        <v>92000</v>
      </c>
      <c r="K1225" s="10" t="n">
        <v>368000</v>
      </c>
    </row>
    <row r="1226">
      <c r="A1226" s="10" t="inlineStr">
        <is>
          <t>INV-70496</t>
        </is>
      </c>
      <c r="B1226" s="10" t="inlineStr">
        <is>
          <t>2025-07-22</t>
        </is>
      </c>
      <c r="C1226" s="10" t="inlineStr">
        <is>
          <t>C1139</t>
        </is>
      </c>
      <c r="D1226" s="10" t="inlineStr">
        <is>
          <t>champion</t>
        </is>
      </c>
      <c r="E1226" s="10" t="inlineStr">
        <is>
          <t>TikTok Shop</t>
        </is>
      </c>
      <c r="F1226" s="10" t="inlineStr">
        <is>
          <t>Sumatera</t>
        </is>
      </c>
      <c r="G1226" s="10" t="inlineStr">
        <is>
          <t>Rumah Tangga</t>
        </is>
      </c>
      <c r="H1226" s="10" t="inlineStr">
        <is>
          <t>Set Wadah Kedap</t>
        </is>
      </c>
      <c r="I1226" s="10" t="n">
        <v>2</v>
      </c>
      <c r="J1226" s="10" t="n">
        <v>135000</v>
      </c>
      <c r="K1226" s="10" t="n">
        <v>270000</v>
      </c>
    </row>
    <row r="1227">
      <c r="A1227" s="10" t="inlineStr">
        <is>
          <t>INV-70875</t>
        </is>
      </c>
      <c r="B1227" s="10" t="inlineStr">
        <is>
          <t>02 Nov 2025</t>
        </is>
      </c>
      <c r="C1227" s="10" t="inlineStr">
        <is>
          <t>C1246</t>
        </is>
      </c>
      <c r="D1227" s="10" t="inlineStr">
        <is>
          <t>champion</t>
        </is>
      </c>
      <c r="E1227" s="10" t="inlineStr">
        <is>
          <t xml:space="preserve">Tokopedia </t>
        </is>
      </c>
      <c r="F1227" s="10" t="inlineStr">
        <is>
          <t>Jabodetabek</t>
        </is>
      </c>
      <c r="G1227" s="10" t="inlineStr">
        <is>
          <t>Rumah Tangga</t>
        </is>
      </c>
      <c r="H1227" s="10" t="inlineStr">
        <is>
          <t>Set Wadah Kedap</t>
        </is>
      </c>
      <c r="I1227" s="10" t="n">
        <v>1</v>
      </c>
      <c r="J1227" s="10" t="n">
        <v>135000</v>
      </c>
      <c r="K1227" s="10" t="inlineStr">
        <is>
          <t>Rp 135.000</t>
        </is>
      </c>
    </row>
    <row r="1228">
      <c r="A1228" s="10" t="inlineStr">
        <is>
          <t>INV-70579</t>
        </is>
      </c>
      <c r="B1228" s="10" t="inlineStr">
        <is>
          <t>27 Sep 2025</t>
        </is>
      </c>
      <c r="C1228" s="10" t="inlineStr">
        <is>
          <t>C1157</t>
        </is>
      </c>
      <c r="D1228" s="10" t="inlineStr">
        <is>
          <t>loyal</t>
        </is>
      </c>
      <c r="E1228" s="10" t="inlineStr">
        <is>
          <t>Tokopedia</t>
        </is>
      </c>
      <c r="F1228" s="10" t="inlineStr">
        <is>
          <t>Jabodetabek</t>
        </is>
      </c>
      <c r="G1228" s="10" t="inlineStr">
        <is>
          <t>Kecantikan</t>
        </is>
      </c>
      <c r="H1228" s="10" t="inlineStr">
        <is>
          <t>Masker Wajah (5s)</t>
        </is>
      </c>
      <c r="I1228" s="10" t="n">
        <v>2</v>
      </c>
      <c r="J1228" s="10" t="n">
        <v>55000</v>
      </c>
      <c r="K1228" s="10" t="inlineStr">
        <is>
          <t>Rp 110.000</t>
        </is>
      </c>
    </row>
    <row r="1229">
      <c r="A1229" s="10" t="inlineStr">
        <is>
          <t>INV-71365</t>
        </is>
      </c>
      <c r="B1229" s="10" t="inlineStr">
        <is>
          <t>2026-02-14</t>
        </is>
      </c>
      <c r="C1229" s="10" t="inlineStr">
        <is>
          <t>C1377</t>
        </is>
      </c>
      <c r="D1229" s="10" t="inlineStr">
        <is>
          <t>champion</t>
        </is>
      </c>
      <c r="E1229" s="10" t="inlineStr">
        <is>
          <t xml:space="preserve">Shopee </t>
        </is>
      </c>
      <c r="F1229" s="10" t="inlineStr">
        <is>
          <t>Jawa Barat</t>
        </is>
      </c>
      <c r="G1229" s="10" t="inlineStr">
        <is>
          <t>Rumah Tangga</t>
        </is>
      </c>
      <c r="H1229" s="10" t="inlineStr">
        <is>
          <t>Organizer Laci</t>
        </is>
      </c>
      <c r="I1229" s="10" t="n">
        <v>2</v>
      </c>
      <c r="J1229" s="10" t="n">
        <v>78000</v>
      </c>
      <c r="K1229" s="10" t="n">
        <v>156000</v>
      </c>
    </row>
    <row r="1230">
      <c r="A1230" s="10" t="inlineStr">
        <is>
          <t>INV-71067</t>
        </is>
      </c>
      <c r="B1230" s="10" t="inlineStr">
        <is>
          <t>2025-04-06</t>
        </is>
      </c>
      <c r="C1230" s="10" t="inlineStr">
        <is>
          <t>C1301</t>
        </is>
      </c>
      <c r="D1230" s="10" t="inlineStr">
        <is>
          <t>regular</t>
        </is>
      </c>
      <c r="E1230" s="10" t="inlineStr">
        <is>
          <t>offline store</t>
        </is>
      </c>
      <c r="F1230" s="10" t="inlineStr">
        <is>
          <t>Jabodetabek</t>
        </is>
      </c>
      <c r="G1230" s="10" t="inlineStr">
        <is>
          <t>Elektronik</t>
        </is>
      </c>
      <c r="H1230" s="10" t="inlineStr">
        <is>
          <t>Power Bank 20K</t>
        </is>
      </c>
      <c r="I1230" s="10" t="n">
        <v>1</v>
      </c>
      <c r="J1230" s="10" t="n">
        <v>185000</v>
      </c>
      <c r="K1230" s="10" t="n">
        <v>185000</v>
      </c>
    </row>
    <row r="1231">
      <c r="A1231" s="10" t="inlineStr">
        <is>
          <t>INV-71275</t>
        </is>
      </c>
      <c r="B1231" s="10" t="inlineStr">
        <is>
          <t>2025-02-02</t>
        </is>
      </c>
      <c r="C1231" s="10" t="inlineStr">
        <is>
          <t>C1358</t>
        </is>
      </c>
      <c r="D1231" s="10" t="inlineStr">
        <is>
          <t>champion</t>
        </is>
      </c>
      <c r="E1231" s="10" t="inlineStr">
        <is>
          <t xml:space="preserve">Tokopedia </t>
        </is>
      </c>
      <c r="F1231" s="10" t="inlineStr">
        <is>
          <t>Jabodetabek</t>
        </is>
      </c>
      <c r="G1231" s="10" t="inlineStr">
        <is>
          <t>Rumah Tangga</t>
        </is>
      </c>
      <c r="H1231" s="10" t="inlineStr">
        <is>
          <t>Set Wadah Kedap</t>
        </is>
      </c>
      <c r="I1231" s="10" t="n">
        <v>1</v>
      </c>
      <c r="J1231" s="10" t="n">
        <v>135000</v>
      </c>
      <c r="K1231" s="10" t="n">
        <v>135000</v>
      </c>
    </row>
    <row r="1232">
      <c r="A1232" s="10" t="inlineStr">
        <is>
          <t>INV-70422</t>
        </is>
      </c>
      <c r="B1232" s="10" t="inlineStr">
        <is>
          <t>2025-02-03</t>
        </is>
      </c>
      <c r="C1232" s="10" t="inlineStr">
        <is>
          <t>C1118</t>
        </is>
      </c>
      <c r="D1232" s="10" t="inlineStr">
        <is>
          <t>onetime</t>
        </is>
      </c>
      <c r="E1232" s="10" t="inlineStr">
        <is>
          <t>Offline Store</t>
        </is>
      </c>
      <c r="F1232" s="10" t="inlineStr">
        <is>
          <t>Jawa Tengah</t>
        </is>
      </c>
      <c r="G1232" s="10" t="inlineStr">
        <is>
          <t>makanan</t>
        </is>
      </c>
      <c r="H1232" s="10" t="inlineStr">
        <is>
          <t>Granola 500g</t>
        </is>
      </c>
      <c r="I1232" s="10" t="n">
        <v>1</v>
      </c>
      <c r="J1232" s="10" t="n">
        <v>92000</v>
      </c>
      <c r="K1232" s="10" t="n">
        <v>92000</v>
      </c>
    </row>
    <row r="1233">
      <c r="A1233" s="10" t="inlineStr">
        <is>
          <t>INV-70655</t>
        </is>
      </c>
      <c r="B1233" s="10" t="inlineStr">
        <is>
          <t>2025-09-24</t>
        </is>
      </c>
      <c r="C1233" s="10" t="inlineStr">
        <is>
          <t>C1179</t>
        </is>
      </c>
      <c r="D1233" s="10" t="inlineStr">
        <is>
          <t>loyal</t>
        </is>
      </c>
      <c r="E1233" s="10" t="inlineStr">
        <is>
          <t>Offline Store</t>
        </is>
      </c>
      <c r="F1233" s="10" t="inlineStr">
        <is>
          <t>Jabodetabek</t>
        </is>
      </c>
      <c r="G1233" s="10" t="inlineStr">
        <is>
          <t>Rumah Tangga</t>
        </is>
      </c>
      <c r="H1233" s="10" t="inlineStr">
        <is>
          <t>Set Wadah Kedap</t>
        </is>
      </c>
      <c r="I1233" s="10" t="n">
        <v>1</v>
      </c>
      <c r="J1233" s="10" t="n">
        <v>135000</v>
      </c>
      <c r="K1233" s="10" t="inlineStr">
        <is>
          <t>Rp 135.000</t>
        </is>
      </c>
    </row>
    <row r="1234">
      <c r="A1234" s="10" t="inlineStr">
        <is>
          <t>INV-70055</t>
        </is>
      </c>
      <c r="B1234" s="10" t="inlineStr">
        <is>
          <t>2025-04-07</t>
        </is>
      </c>
      <c r="C1234" s="10" t="inlineStr">
        <is>
          <t>C1015</t>
        </is>
      </c>
      <c r="D1234" s="10" t="inlineStr">
        <is>
          <t>occasional</t>
        </is>
      </c>
      <c r="E1234" s="10" t="inlineStr">
        <is>
          <t>SHOPEE</t>
        </is>
      </c>
      <c r="F1234" s="10" t="inlineStr">
        <is>
          <t>Lainnya</t>
        </is>
      </c>
      <c r="G1234" s="10" t="inlineStr">
        <is>
          <t>Rumah Tangga</t>
        </is>
      </c>
      <c r="H1234" s="10" t="inlineStr">
        <is>
          <t>Set Wadah Kedap</t>
        </is>
      </c>
      <c r="I1234" s="10" t="n">
        <v>1</v>
      </c>
      <c r="J1234" s="10" t="n">
        <v>135000</v>
      </c>
      <c r="K1234" s="10" t="n">
        <v>135000</v>
      </c>
    </row>
    <row r="1235">
      <c r="A1235" s="10" t="inlineStr">
        <is>
          <t>INV-70440</t>
        </is>
      </c>
      <c r="B1235" s="10" t="inlineStr">
        <is>
          <t>11/12/2025</t>
        </is>
      </c>
      <c r="C1235" s="10" t="inlineStr">
        <is>
          <t>C1123</t>
        </is>
      </c>
      <c r="D1235" s="10" t="inlineStr">
        <is>
          <t>regular</t>
        </is>
      </c>
      <c r="E1235" s="10" t="inlineStr">
        <is>
          <t>Shopee</t>
        </is>
      </c>
      <c r="F1235" s="10" t="inlineStr">
        <is>
          <t>Jabodetabek</t>
        </is>
      </c>
      <c r="G1235" s="10" t="inlineStr">
        <is>
          <t>Makanan</t>
        </is>
      </c>
      <c r="H1235" s="10" t="inlineStr">
        <is>
          <t>Keripik Sehat</t>
        </is>
      </c>
      <c r="I1235" s="10" t="n">
        <v>3</v>
      </c>
      <c r="J1235" s="10" t="n">
        <v>45000</v>
      </c>
      <c r="K1235" s="10" t="inlineStr">
        <is>
          <t>Rp 135.000</t>
        </is>
      </c>
    </row>
    <row r="1236">
      <c r="A1236" s="10" t="inlineStr">
        <is>
          <t>INV-70278</t>
        </is>
      </c>
      <c r="B1236" s="10" t="inlineStr">
        <is>
          <t>2025-08-11</t>
        </is>
      </c>
      <c r="C1236" s="10" t="inlineStr">
        <is>
          <t>C1078</t>
        </is>
      </c>
      <c r="D1236" s="10" t="inlineStr">
        <is>
          <t>regular</t>
        </is>
      </c>
      <c r="E1236" s="10" t="inlineStr">
        <is>
          <t>Tokopedia</t>
        </is>
      </c>
      <c r="F1236" s="10" t="inlineStr">
        <is>
          <t>Jabodetabek</t>
        </is>
      </c>
      <c r="G1236" s="10" t="inlineStr">
        <is>
          <t>Elektronik</t>
        </is>
      </c>
      <c r="H1236" s="10" t="inlineStr">
        <is>
          <t>Earbuds TWS</t>
        </is>
      </c>
      <c r="I1236" s="10" t="n">
        <v>2</v>
      </c>
      <c r="J1236" s="10" t="n">
        <v>265000</v>
      </c>
      <c r="K1236" s="10" t="inlineStr">
        <is>
          <t>Rp 530.000</t>
        </is>
      </c>
    </row>
    <row r="1237">
      <c r="A1237" s="10" t="inlineStr">
        <is>
          <t>INV-70980</t>
        </is>
      </c>
      <c r="B1237" s="10" t="inlineStr">
        <is>
          <t>2026-03-12</t>
        </is>
      </c>
      <c r="C1237" s="10" t="inlineStr">
        <is>
          <t>C1281</t>
        </is>
      </c>
      <c r="D1237" s="10" t="inlineStr">
        <is>
          <t>regular</t>
        </is>
      </c>
      <c r="E1237" s="10" t="inlineStr">
        <is>
          <t>offline store</t>
        </is>
      </c>
      <c r="F1237" s="10" t="inlineStr">
        <is>
          <t>Jabodetabek</t>
        </is>
      </c>
      <c r="G1237" s="10" t="inlineStr">
        <is>
          <t>Rumah Tangga</t>
        </is>
      </c>
      <c r="H1237" s="10" t="inlineStr">
        <is>
          <t>Set Wadah Kedap</t>
        </is>
      </c>
      <c r="I1237" s="10" t="n">
        <v>2</v>
      </c>
      <c r="J1237" s="10" t="n">
        <v>135000</v>
      </c>
      <c r="K1237" s="10" t="n">
        <v>270000</v>
      </c>
    </row>
    <row r="1238">
      <c r="A1238" s="10" t="inlineStr">
        <is>
          <t>INV-70485</t>
        </is>
      </c>
      <c r="B1238" s="10" t="inlineStr">
        <is>
          <t>2025-12-06</t>
        </is>
      </c>
      <c r="C1238" s="10" t="inlineStr">
        <is>
          <t>C1139</t>
        </is>
      </c>
      <c r="D1238" s="10" t="inlineStr">
        <is>
          <t>champion</t>
        </is>
      </c>
      <c r="E1238" s="10" t="inlineStr">
        <is>
          <t>Tokopedia</t>
        </is>
      </c>
      <c r="F1238" s="10" t="inlineStr">
        <is>
          <t>Jawa Barat</t>
        </is>
      </c>
      <c r="G1238" s="10" t="inlineStr">
        <is>
          <t>Kecantikan</t>
        </is>
      </c>
      <c r="H1238" s="10" t="inlineStr">
        <is>
          <t>Serum Vit C</t>
        </is>
      </c>
      <c r="I1238" s="10" t="n">
        <v>1</v>
      </c>
      <c r="J1238" s="10" t="n">
        <v>145000</v>
      </c>
      <c r="K1238" s="10" t="n">
        <v>145000</v>
      </c>
    </row>
    <row r="1239">
      <c r="A1239" s="10" t="inlineStr">
        <is>
          <t>INV-70393</t>
        </is>
      </c>
      <c r="B1239" s="10" t="inlineStr">
        <is>
          <t>2025-05-01</t>
        </is>
      </c>
      <c r="C1239" s="10" t="inlineStr">
        <is>
          <t>C1111</t>
        </is>
      </c>
      <c r="D1239" s="10" t="inlineStr">
        <is>
          <t>champion</t>
        </is>
      </c>
      <c r="E1239" s="10" t="inlineStr">
        <is>
          <t>Shopee</t>
        </is>
      </c>
      <c r="F1239" s="10" t="inlineStr">
        <is>
          <t>Sumatera</t>
        </is>
      </c>
      <c r="G1239" s="10" t="inlineStr">
        <is>
          <t>Elektronik</t>
        </is>
      </c>
      <c r="H1239" s="10" t="inlineStr">
        <is>
          <t>Webcam HD</t>
        </is>
      </c>
      <c r="I1239" s="10" t="n">
        <v>2</v>
      </c>
      <c r="J1239" s="10" t="n">
        <v>210000</v>
      </c>
      <c r="K1239" s="10" t="n">
        <v>420000</v>
      </c>
    </row>
    <row r="1240">
      <c r="A1240" s="10" t="inlineStr">
        <is>
          <t>INV-71367</t>
        </is>
      </c>
      <c r="B1240" s="10" t="inlineStr">
        <is>
          <t>2025-01-09</t>
        </is>
      </c>
      <c r="C1240" s="10" t="inlineStr">
        <is>
          <t>C1377</t>
        </is>
      </c>
      <c r="D1240" s="10" t="inlineStr">
        <is>
          <t>champion</t>
        </is>
      </c>
      <c r="E1240" s="10" t="inlineStr">
        <is>
          <t>Tokopedia</t>
        </is>
      </c>
      <c r="F1240" s="10" t="inlineStr">
        <is>
          <t>Jabodetabek</t>
        </is>
      </c>
      <c r="G1240" s="10" t="inlineStr">
        <is>
          <t>Rumah Tangga</t>
        </is>
      </c>
      <c r="H1240" s="10" t="inlineStr">
        <is>
          <t>Set Wadah Kedap</t>
        </is>
      </c>
      <c r="I1240" s="10" t="n">
        <v>4</v>
      </c>
      <c r="J1240" s="10" t="n">
        <v>135000</v>
      </c>
      <c r="K1240" s="10" t="n">
        <v>540000</v>
      </c>
    </row>
    <row r="1241">
      <c r="A1241" s="10" t="inlineStr">
        <is>
          <t>INV-71117</t>
        </is>
      </c>
      <c r="B1241" s="10" t="inlineStr">
        <is>
          <t>2025-08-21</t>
        </is>
      </c>
      <c r="C1241" s="10" t="inlineStr">
        <is>
          <t>C1312</t>
        </is>
      </c>
      <c r="D1241" s="10" t="inlineStr">
        <is>
          <t>champion</t>
        </is>
      </c>
      <c r="E1241" s="10" t="inlineStr">
        <is>
          <t>Offline Store</t>
        </is>
      </c>
      <c r="F1241" s="10" t="inlineStr">
        <is>
          <t>Jawa Barat</t>
        </is>
      </c>
      <c r="G1241" s="10" t="inlineStr">
        <is>
          <t>Rumah Tangga</t>
        </is>
      </c>
      <c r="H1241" s="10" t="inlineStr">
        <is>
          <t>Set Wadah Kedap</t>
        </is>
      </c>
      <c r="I1241" s="10" t="n">
        <v>1</v>
      </c>
      <c r="J1241" s="10" t="n">
        <v>135000</v>
      </c>
      <c r="K1241" s="10" t="n">
        <v>135000</v>
      </c>
    </row>
    <row r="1242">
      <c r="A1242" s="10" t="inlineStr">
        <is>
          <t>INV-70229</t>
        </is>
      </c>
      <c r="B1242" s="10" t="inlineStr">
        <is>
          <t>2025-12-08</t>
        </is>
      </c>
      <c r="C1242" s="10" t="inlineStr">
        <is>
          <t>C1064</t>
        </is>
      </c>
      <c r="D1242" s="10" t="inlineStr">
        <is>
          <t>loyal</t>
        </is>
      </c>
      <c r="E1242" s="10" t="inlineStr">
        <is>
          <t xml:space="preserve">Offline store </t>
        </is>
      </c>
      <c r="F1242" s="10" t="inlineStr">
        <is>
          <t>Jawa Tengah</t>
        </is>
      </c>
      <c r="G1242" s="10" t="inlineStr">
        <is>
          <t>rumah tangga</t>
        </is>
      </c>
      <c r="H1242" s="10" t="inlineStr">
        <is>
          <t>Set Wadah Kedap</t>
        </is>
      </c>
      <c r="I1242" s="10" t="n">
        <v>3</v>
      </c>
      <c r="J1242" s="10" t="n">
        <v>135000</v>
      </c>
      <c r="K1242" s="10" t="n">
        <v>405000</v>
      </c>
    </row>
    <row r="1243">
      <c r="A1243" s="10" t="inlineStr">
        <is>
          <t>INV-70408</t>
        </is>
      </c>
      <c r="B1243" s="10" t="inlineStr">
        <is>
          <t>2026-03-01</t>
        </is>
      </c>
      <c r="C1243" s="10" t="inlineStr">
        <is>
          <t>C1113</t>
        </is>
      </c>
      <c r="D1243" s="10" t="inlineStr">
        <is>
          <t>loyal</t>
        </is>
      </c>
      <c r="E1243" s="10" t="inlineStr">
        <is>
          <t>TIKTOK SHOP</t>
        </is>
      </c>
      <c r="F1243" s="10" t="inlineStr">
        <is>
          <t>Jabodetabek</t>
        </is>
      </c>
      <c r="G1243" s="10" t="inlineStr">
        <is>
          <t>Rumah Tangga</t>
        </is>
      </c>
      <c r="H1243" s="10" t="inlineStr">
        <is>
          <t>Set Wadah Kedap</t>
        </is>
      </c>
      <c r="I1243" s="10" t="n">
        <v>1</v>
      </c>
      <c r="J1243" s="10" t="n">
        <v>135000</v>
      </c>
      <c r="K1243" s="10" t="n">
        <v>135000</v>
      </c>
    </row>
    <row r="1244">
      <c r="A1244" s="10" t="inlineStr">
        <is>
          <t>INV-70242</t>
        </is>
      </c>
      <c r="B1244" s="10" t="inlineStr">
        <is>
          <t>2025-04-14</t>
        </is>
      </c>
      <c r="C1244" s="10" t="inlineStr">
        <is>
          <t>C1069</t>
        </is>
      </c>
      <c r="D1244" s="10" t="inlineStr">
        <is>
          <t>loyal</t>
        </is>
      </c>
      <c r="E1244" s="10" t="inlineStr">
        <is>
          <t xml:space="preserve"> tokopedia</t>
        </is>
      </c>
      <c r="F1244" s="10" t="inlineStr">
        <is>
          <t>Lainnya</t>
        </is>
      </c>
      <c r="G1244" s="10" t="inlineStr">
        <is>
          <t>Rumah Tangga</t>
        </is>
      </c>
      <c r="H1244" s="10" t="inlineStr">
        <is>
          <t>Set Wadah Kedap</t>
        </is>
      </c>
      <c r="I1244" s="10" t="n">
        <v>1</v>
      </c>
      <c r="J1244" s="10" t="n">
        <v>135000</v>
      </c>
      <c r="K1244" s="10" t="n">
        <v>135000</v>
      </c>
    </row>
    <row r="1245">
      <c r="A1245" s="10" t="inlineStr">
        <is>
          <t>INV-70989</t>
        </is>
      </c>
      <c r="B1245" s="10" t="inlineStr">
        <is>
          <t>2025-12-26</t>
        </is>
      </c>
      <c r="C1245" s="10" t="inlineStr">
        <is>
          <t>C1285</t>
        </is>
      </c>
      <c r="D1245" s="10" t="inlineStr">
        <is>
          <t>loyal</t>
        </is>
      </c>
      <c r="E1245" s="10" t="inlineStr">
        <is>
          <t>Tokopedia</t>
        </is>
      </c>
      <c r="F1245" s="10" t="inlineStr">
        <is>
          <t>Jabodetabek</t>
        </is>
      </c>
      <c r="G1245" s="10" t="inlineStr">
        <is>
          <t>Makanan</t>
        </is>
      </c>
      <c r="H1245" s="10" t="inlineStr">
        <is>
          <t>Madu Hutan 250ml</t>
        </is>
      </c>
      <c r="I1245" s="10" t="n">
        <v>1</v>
      </c>
      <c r="J1245" s="10" t="n">
        <v>110000</v>
      </c>
      <c r="K1245" s="10" t="inlineStr">
        <is>
          <t>Rp 110.000</t>
        </is>
      </c>
    </row>
    <row r="1246">
      <c r="A1246" s="10" t="inlineStr">
        <is>
          <t>INV-70541</t>
        </is>
      </c>
      <c r="B1246" s="10" t="inlineStr">
        <is>
          <t>2025-08-08</t>
        </is>
      </c>
      <c r="C1246" s="10" t="inlineStr">
        <is>
          <t>C1149</t>
        </is>
      </c>
      <c r="D1246" s="10" t="inlineStr">
        <is>
          <t>loyal</t>
        </is>
      </c>
      <c r="E1246" s="10" t="inlineStr">
        <is>
          <t>Offline Store</t>
        </is>
      </c>
      <c r="F1246" s="10" t="inlineStr">
        <is>
          <t>Jabodetabek</t>
        </is>
      </c>
      <c r="G1246" s="10" t="inlineStr">
        <is>
          <t>Fashion</t>
        </is>
      </c>
      <c r="H1246" s="10" t="inlineStr">
        <is>
          <t>Celana Chino</t>
        </is>
      </c>
      <c r="I1246" s="10" t="n">
        <v>1</v>
      </c>
      <c r="J1246" s="10" t="n">
        <v>195000</v>
      </c>
      <c r="K1246" s="10" t="inlineStr">
        <is>
          <t>Rp 195.000</t>
        </is>
      </c>
    </row>
    <row r="1247">
      <c r="A1247" s="10" t="inlineStr">
        <is>
          <t>INV-71331</t>
        </is>
      </c>
      <c r="B1247" s="10" t="inlineStr">
        <is>
          <t>23 Mar 2025</t>
        </is>
      </c>
      <c r="C1247" s="10" t="inlineStr">
        <is>
          <t>C1367</t>
        </is>
      </c>
      <c r="D1247" s="10" t="inlineStr">
        <is>
          <t>regular</t>
        </is>
      </c>
      <c r="E1247" s="10" t="inlineStr">
        <is>
          <t>Tokopedia</t>
        </is>
      </c>
      <c r="F1247" s="10" t="inlineStr">
        <is>
          <t>Jawa Timur</t>
        </is>
      </c>
      <c r="G1247" s="10" t="inlineStr">
        <is>
          <t>Elektronik</t>
        </is>
      </c>
      <c r="H1247" s="10" t="inlineStr">
        <is>
          <t>Smartwatch</t>
        </is>
      </c>
      <c r="I1247" s="10" t="n">
        <v>3</v>
      </c>
      <c r="J1247" s="10" t="n">
        <v>450000</v>
      </c>
      <c r="K1247" s="10" t="n">
        <v>1350000</v>
      </c>
    </row>
    <row r="1248">
      <c r="A1248" s="10" t="inlineStr">
        <is>
          <t>INV-71402</t>
        </is>
      </c>
      <c r="B1248" s="10" t="inlineStr">
        <is>
          <t>17 Aug 2025</t>
        </is>
      </c>
      <c r="C1248" s="10" t="inlineStr">
        <is>
          <t>C1386</t>
        </is>
      </c>
      <c r="D1248" s="10" t="inlineStr">
        <is>
          <t>loyal</t>
        </is>
      </c>
      <c r="E1248" s="10" t="inlineStr">
        <is>
          <t>Shopee</t>
        </is>
      </c>
      <c r="F1248" s="10" t="inlineStr">
        <is>
          <t>Jawa Tengah</t>
        </is>
      </c>
      <c r="G1248" s="10" t="inlineStr">
        <is>
          <t>Makanan</t>
        </is>
      </c>
      <c r="H1248" s="10" t="inlineStr">
        <is>
          <t>Granola 500g</t>
        </is>
      </c>
      <c r="I1248" s="10" t="n">
        <v>2</v>
      </c>
      <c r="J1248" s="10" t="n">
        <v>92000</v>
      </c>
      <c r="K1248" s="10" t="n">
        <v>184000</v>
      </c>
    </row>
    <row r="1249">
      <c r="A1249" s="10" t="inlineStr">
        <is>
          <t>INV-71558</t>
        </is>
      </c>
      <c r="B1249" s="10" t="inlineStr">
        <is>
          <t>2026-05-16</t>
        </is>
      </c>
      <c r="C1249" s="10" t="inlineStr">
        <is>
          <t>C1428</t>
        </is>
      </c>
      <c r="D1249" s="10" t="inlineStr">
        <is>
          <t>loyal</t>
        </is>
      </c>
      <c r="E1249" s="10" t="inlineStr">
        <is>
          <t>Tokopedia</t>
        </is>
      </c>
      <c r="F1249" s="10" t="inlineStr">
        <is>
          <t>Jawa Barat</t>
        </is>
      </c>
      <c r="G1249" s="10" t="inlineStr">
        <is>
          <t>Rumah Tangga</t>
        </is>
      </c>
      <c r="H1249" s="10" t="inlineStr">
        <is>
          <t>Set Wadah Kedap</t>
        </is>
      </c>
      <c r="I1249" s="10" t="n">
        <v>3</v>
      </c>
      <c r="J1249" s="10" t="n">
        <v>135000</v>
      </c>
      <c r="K1249" s="10" t="n">
        <v>405000</v>
      </c>
    </row>
    <row r="1250">
      <c r="A1250" s="10" t="inlineStr">
        <is>
          <t>INV-71532</t>
        </is>
      </c>
      <c r="B1250" s="10" t="inlineStr">
        <is>
          <t>2025-02-06</t>
        </is>
      </c>
      <c r="C1250" s="10" t="inlineStr">
        <is>
          <t>C1422</t>
        </is>
      </c>
      <c r="D1250" s="10" t="inlineStr">
        <is>
          <t>regular</t>
        </is>
      </c>
      <c r="E1250" s="10" t="inlineStr">
        <is>
          <t>Shopee</t>
        </is>
      </c>
      <c r="F1250" s="10" t="inlineStr">
        <is>
          <t>Sumatera</t>
        </is>
      </c>
      <c r="G1250" s="10" t="inlineStr">
        <is>
          <t>Rumah Tangga</t>
        </is>
      </c>
      <c r="H1250" s="10" t="inlineStr">
        <is>
          <t>Set Wadah Kedap</t>
        </is>
      </c>
      <c r="I1250" s="10" t="n">
        <v>1</v>
      </c>
      <c r="J1250" s="10" t="n">
        <v>135000</v>
      </c>
      <c r="K1250" s="10" t="n">
        <v>135000</v>
      </c>
    </row>
    <row r="1251">
      <c r="A1251" s="10" t="inlineStr">
        <is>
          <t>INV-71516</t>
        </is>
      </c>
      <c r="B1251" s="10" t="inlineStr">
        <is>
          <t>2025-03-04</t>
        </is>
      </c>
      <c r="C1251" s="10" t="inlineStr">
        <is>
          <t>C1416</t>
        </is>
      </c>
      <c r="D1251" s="10" t="inlineStr">
        <is>
          <t>regular</t>
        </is>
      </c>
      <c r="E1251" s="10" t="inlineStr">
        <is>
          <t>Tokopedia</t>
        </is>
      </c>
      <c r="F1251" s="10" t="inlineStr">
        <is>
          <t>Jabodetabek</t>
        </is>
      </c>
      <c r="G1251" s="10" t="inlineStr">
        <is>
          <t>Elektronik</t>
        </is>
      </c>
      <c r="H1251" s="10" t="inlineStr">
        <is>
          <t>Power Bank 20K</t>
        </is>
      </c>
      <c r="I1251" s="10" t="n">
        <v>4</v>
      </c>
      <c r="J1251" s="10" t="n">
        <v>185000</v>
      </c>
      <c r="K1251" s="10" t="n">
        <v>740000</v>
      </c>
    </row>
    <row r="1252">
      <c r="A1252" s="10" t="inlineStr">
        <is>
          <t>INV-70587</t>
        </is>
      </c>
      <c r="B1252" s="10" t="inlineStr">
        <is>
          <t>2025-06-14</t>
        </is>
      </c>
      <c r="C1252" s="10" t="inlineStr">
        <is>
          <t>C1159</t>
        </is>
      </c>
      <c r="D1252" s="10" t="inlineStr">
        <is>
          <t>regular</t>
        </is>
      </c>
      <c r="E1252" s="10" t="inlineStr">
        <is>
          <t>shopee</t>
        </is>
      </c>
      <c r="F1252" s="10" t="inlineStr">
        <is>
          <t>Jawa Timur</t>
        </is>
      </c>
      <c r="G1252" s="10" t="inlineStr">
        <is>
          <t>Rumah Tangga</t>
        </is>
      </c>
      <c r="H1252" s="10" t="inlineStr">
        <is>
          <t>Diffuser Aroma</t>
        </is>
      </c>
      <c r="I1252" s="10" t="n">
        <v>1</v>
      </c>
      <c r="J1252" s="10" t="n">
        <v>195000</v>
      </c>
      <c r="K1252" s="10" t="n">
        <v>195000</v>
      </c>
    </row>
    <row r="1253">
      <c r="A1253" s="10" t="inlineStr">
        <is>
          <t>INV-70412</t>
        </is>
      </c>
      <c r="B1253" s="10" t="inlineStr">
        <is>
          <t>2025-04-06</t>
        </is>
      </c>
      <c r="C1253" s="10" t="inlineStr">
        <is>
          <t>C1114</t>
        </is>
      </c>
      <c r="D1253" s="10" t="inlineStr">
        <is>
          <t>occasional</t>
        </is>
      </c>
      <c r="E1253" s="10" t="inlineStr">
        <is>
          <t>Tokopedia</t>
        </is>
      </c>
      <c r="F1253" s="10" t="inlineStr">
        <is>
          <t>Jabodetabek</t>
        </is>
      </c>
      <c r="G1253" s="10" t="inlineStr">
        <is>
          <t>Elektronik</t>
        </is>
      </c>
      <c r="H1253" s="10" t="inlineStr">
        <is>
          <t>Earbuds TWS</t>
        </is>
      </c>
      <c r="I1253" s="10" t="n">
        <v>1</v>
      </c>
      <c r="J1253" s="10" t="n">
        <v>265000</v>
      </c>
      <c r="K1253" s="10" t="n">
        <v>265000</v>
      </c>
    </row>
    <row r="1254">
      <c r="A1254" s="10" t="inlineStr">
        <is>
          <t>INV-71472</t>
        </is>
      </c>
      <c r="B1254" s="10" t="inlineStr">
        <is>
          <t>2026-01-20</t>
        </is>
      </c>
      <c r="C1254" s="10" t="inlineStr">
        <is>
          <t>C1406</t>
        </is>
      </c>
      <c r="D1254" s="10" t="inlineStr">
        <is>
          <t>regular</t>
        </is>
      </c>
      <c r="E1254" s="10" t="inlineStr">
        <is>
          <t>SHOPEE</t>
        </is>
      </c>
      <c r="F1254" s="10" t="inlineStr">
        <is>
          <t>Jawa Barat</t>
        </is>
      </c>
      <c r="G1254" s="10" t="inlineStr">
        <is>
          <t>Rumah Tangga</t>
        </is>
      </c>
      <c r="H1254" s="10" t="inlineStr">
        <is>
          <t>Set Wadah Kedap</t>
        </is>
      </c>
      <c r="I1254" s="10" t="n">
        <v>1</v>
      </c>
      <c r="J1254" s="10" t="n">
        <v>135000</v>
      </c>
      <c r="K1254" s="10" t="inlineStr">
        <is>
          <t>Rp 135.000</t>
        </is>
      </c>
    </row>
    <row r="1255">
      <c r="A1255" s="10" t="inlineStr">
        <is>
          <t>INV-71187</t>
        </is>
      </c>
      <c r="B1255" s="10" t="inlineStr">
        <is>
          <t>08 Sep 2025</t>
        </is>
      </c>
      <c r="C1255" s="10" t="inlineStr">
        <is>
          <t>C1334</t>
        </is>
      </c>
      <c r="D1255" s="10" t="inlineStr">
        <is>
          <t>champion</t>
        </is>
      </c>
      <c r="E1255" s="10" t="inlineStr">
        <is>
          <t>Shopee</t>
        </is>
      </c>
      <c r="F1255" s="10" t="inlineStr">
        <is>
          <t>Jabodetabek</t>
        </is>
      </c>
      <c r="G1255" s="10" t="inlineStr">
        <is>
          <t>Rumah Tangga</t>
        </is>
      </c>
      <c r="H1255" s="10" t="inlineStr">
        <is>
          <t>Set Wadah Kedap</t>
        </is>
      </c>
      <c r="I1255" s="10" t="n">
        <v>2</v>
      </c>
      <c r="J1255" s="10" t="n">
        <v>135000</v>
      </c>
      <c r="K1255" s="10" t="n">
        <v>270000</v>
      </c>
    </row>
    <row r="1256">
      <c r="A1256" s="10" t="inlineStr">
        <is>
          <t>INV-71538</t>
        </is>
      </c>
      <c r="B1256" s="10" t="inlineStr">
        <is>
          <t>11 Apr 2026</t>
        </is>
      </c>
      <c r="C1256" s="10" t="inlineStr">
        <is>
          <t>C1424</t>
        </is>
      </c>
      <c r="D1256" s="10" t="inlineStr">
        <is>
          <t>loyal</t>
        </is>
      </c>
      <c r="E1256" s="10" t="inlineStr">
        <is>
          <t>Shopee</t>
        </is>
      </c>
      <c r="F1256" s="10" t="inlineStr">
        <is>
          <t>Jabodetabek</t>
        </is>
      </c>
      <c r="G1256" s="10" t="inlineStr">
        <is>
          <t>Fashion</t>
        </is>
      </c>
      <c r="H1256" s="10" t="inlineStr">
        <is>
          <t>Celana Chino</t>
        </is>
      </c>
      <c r="I1256" s="10" t="n">
        <v>1</v>
      </c>
      <c r="J1256" s="10" t="n">
        <v>195000</v>
      </c>
      <c r="K1256" s="10" t="n">
        <v>195000</v>
      </c>
    </row>
    <row r="1257">
      <c r="A1257" s="10" t="inlineStr">
        <is>
          <t>INV-70880</t>
        </is>
      </c>
      <c r="B1257" s="10" t="inlineStr">
        <is>
          <t>21 Apr 2025</t>
        </is>
      </c>
      <c r="C1257" s="10" t="inlineStr">
        <is>
          <t>C1247</t>
        </is>
      </c>
      <c r="D1257" s="10" t="inlineStr">
        <is>
          <t>champion</t>
        </is>
      </c>
      <c r="E1257" s="10" t="inlineStr">
        <is>
          <t>Tokopedia</t>
        </is>
      </c>
      <c r="F1257" s="10" t="inlineStr">
        <is>
          <t>Jabodetabek</t>
        </is>
      </c>
      <c r="G1257" s="10" t="inlineStr">
        <is>
          <t>Elektronik</t>
        </is>
      </c>
      <c r="H1257" s="10" t="inlineStr">
        <is>
          <t>Power Bank 20K</t>
        </is>
      </c>
      <c r="I1257" s="10" t="n">
        <v>4</v>
      </c>
      <c r="J1257" s="10" t="n">
        <v>185000</v>
      </c>
      <c r="K1257" s="10" t="n">
        <v>740000</v>
      </c>
    </row>
    <row r="1258">
      <c r="A1258" s="10" t="inlineStr">
        <is>
          <t>INV-70794</t>
        </is>
      </c>
      <c r="B1258" s="10" t="inlineStr">
        <is>
          <t>2025-03-19</t>
        </is>
      </c>
      <c r="C1258" s="10" t="inlineStr">
        <is>
          <t>C1223</t>
        </is>
      </c>
      <c r="D1258" s="10" t="inlineStr">
        <is>
          <t>loyal</t>
        </is>
      </c>
      <c r="E1258" s="10" t="inlineStr">
        <is>
          <t xml:space="preserve">Tokopedia </t>
        </is>
      </c>
      <c r="F1258" s="10" t="inlineStr">
        <is>
          <t>Jabodetabek</t>
        </is>
      </c>
      <c r="G1258" s="10" t="inlineStr">
        <is>
          <t>Rumah Tangga</t>
        </is>
      </c>
      <c r="H1258" s="10" t="inlineStr">
        <is>
          <t>Karpet Bulu</t>
        </is>
      </c>
      <c r="I1258" s="10" t="n">
        <v>1</v>
      </c>
      <c r="J1258" s="10" t="n">
        <v>240000</v>
      </c>
      <c r="K1258" s="10" t="n">
        <v>240000</v>
      </c>
    </row>
    <row r="1259">
      <c r="A1259" s="10" t="inlineStr">
        <is>
          <t>INV-70542</t>
        </is>
      </c>
      <c r="B1259" s="10" t="inlineStr">
        <is>
          <t>2025-05-23</t>
        </is>
      </c>
      <c r="C1259" s="10" t="inlineStr">
        <is>
          <t>C1150</t>
        </is>
      </c>
      <c r="D1259" s="10" t="inlineStr">
        <is>
          <t>champion</t>
        </is>
      </c>
      <c r="E1259" s="10" t="inlineStr">
        <is>
          <t>Shopee</t>
        </is>
      </c>
      <c r="F1259" s="10" t="inlineStr">
        <is>
          <t>Jabodetabek</t>
        </is>
      </c>
      <c r="G1259" s="10" t="inlineStr">
        <is>
          <t>Rumah Tangga</t>
        </is>
      </c>
      <c r="H1259" s="10" t="inlineStr">
        <is>
          <t>Set Wadah Kedap</t>
        </is>
      </c>
      <c r="I1259" s="10" t="n">
        <v>2</v>
      </c>
      <c r="J1259" s="10" t="n">
        <v>135000</v>
      </c>
      <c r="K1259" s="10" t="n">
        <v>270000</v>
      </c>
    </row>
    <row r="1260">
      <c r="A1260" s="10" t="inlineStr">
        <is>
          <t>INV-71552</t>
        </is>
      </c>
      <c r="B1260" s="10" t="inlineStr">
        <is>
          <t>10 Jun 2026</t>
        </is>
      </c>
      <c r="C1260" s="10" t="inlineStr">
        <is>
          <t>C1428</t>
        </is>
      </c>
      <c r="D1260" s="10" t="inlineStr">
        <is>
          <t>loyal</t>
        </is>
      </c>
      <c r="E1260" s="10" t="inlineStr">
        <is>
          <t>Offline Store</t>
        </is>
      </c>
      <c r="F1260" s="10" t="inlineStr">
        <is>
          <t>Jabodetabek</t>
        </is>
      </c>
      <c r="G1260" s="10" t="inlineStr">
        <is>
          <t>Rumah Tangga</t>
        </is>
      </c>
      <c r="H1260" s="10" t="inlineStr">
        <is>
          <t>Set Wadah Kedap</t>
        </is>
      </c>
      <c r="I1260" s="10" t="n"/>
      <c r="J1260" s="10" t="n">
        <v>135000</v>
      </c>
      <c r="K1260" s="10" t="n">
        <v>270000</v>
      </c>
    </row>
    <row r="1261">
      <c r="A1261" s="10" t="inlineStr">
        <is>
          <t>INV-70923</t>
        </is>
      </c>
      <c r="B1261" s="10" t="inlineStr">
        <is>
          <t>17 Apr 2026</t>
        </is>
      </c>
      <c r="C1261" s="10" t="inlineStr">
        <is>
          <t>C1261</t>
        </is>
      </c>
      <c r="D1261" s="10" t="inlineStr">
        <is>
          <t>champion</t>
        </is>
      </c>
      <c r="E1261" s="10" t="inlineStr">
        <is>
          <t>Offline Store</t>
        </is>
      </c>
      <c r="F1261" s="10" t="inlineStr">
        <is>
          <t>Jawa Tengah</t>
        </is>
      </c>
      <c r="G1261" s="10" t="inlineStr">
        <is>
          <t>Fashion</t>
        </is>
      </c>
      <c r="H1261" s="10" t="inlineStr">
        <is>
          <t>Celana Chino</t>
        </is>
      </c>
      <c r="I1261" s="10" t="n">
        <v>1</v>
      </c>
      <c r="J1261" s="10" t="n">
        <v>195000</v>
      </c>
      <c r="K1261" s="10" t="n">
        <v>195000</v>
      </c>
    </row>
    <row r="1262">
      <c r="A1262" s="10" t="inlineStr">
        <is>
          <t>INV-70254</t>
        </is>
      </c>
      <c r="B1262" s="10" t="inlineStr">
        <is>
          <t>2025-06-11</t>
        </is>
      </c>
      <c r="C1262" s="10" t="inlineStr">
        <is>
          <t>C1072</t>
        </is>
      </c>
      <c r="D1262" s="10" t="inlineStr">
        <is>
          <t>champion</t>
        </is>
      </c>
      <c r="E1262" s="10" t="inlineStr">
        <is>
          <t>Tokopedia</t>
        </is>
      </c>
      <c r="F1262" s="10" t="inlineStr">
        <is>
          <t>Jawa Timur</t>
        </is>
      </c>
      <c r="G1262" s="10" t="inlineStr">
        <is>
          <t>Fashion</t>
        </is>
      </c>
      <c r="H1262" s="10" t="inlineStr">
        <is>
          <t>Dress Casual</t>
        </is>
      </c>
      <c r="I1262" s="10" t="n">
        <v>1</v>
      </c>
      <c r="J1262" s="10" t="n">
        <v>225000</v>
      </c>
      <c r="K1262" s="10" t="inlineStr">
        <is>
          <t>Rp 225.000</t>
        </is>
      </c>
    </row>
    <row r="1263">
      <c r="A1263" s="10" t="inlineStr">
        <is>
          <t>INV-71169</t>
        </is>
      </c>
      <c r="B1263" s="10" t="inlineStr">
        <is>
          <t>2025-06-25</t>
        </is>
      </c>
      <c r="C1263" s="10" t="inlineStr">
        <is>
          <t>C1331</t>
        </is>
      </c>
      <c r="D1263" s="10" t="inlineStr">
        <is>
          <t>regular</t>
        </is>
      </c>
      <c r="E1263" s="10" t="inlineStr">
        <is>
          <t>TikTok Shop</t>
        </is>
      </c>
      <c r="F1263" s="10" t="inlineStr">
        <is>
          <t>Lainnya</t>
        </is>
      </c>
      <c r="G1263" s="10" t="inlineStr">
        <is>
          <t>Rumah Tangga</t>
        </is>
      </c>
      <c r="H1263" s="10" t="inlineStr">
        <is>
          <t>Set Wadah Kedap</t>
        </is>
      </c>
      <c r="I1263" s="10" t="n">
        <v>2</v>
      </c>
      <c r="J1263" s="10" t="n">
        <v>135000</v>
      </c>
      <c r="K1263" s="10" t="inlineStr">
        <is>
          <t>Rp 270.000</t>
        </is>
      </c>
    </row>
    <row r="1264">
      <c r="A1264" s="10" t="inlineStr">
        <is>
          <t>INV-70510</t>
        </is>
      </c>
      <c r="B1264" s="10" t="inlineStr">
        <is>
          <t>2026-04-23</t>
        </is>
      </c>
      <c r="C1264" s="10" t="inlineStr">
        <is>
          <t>C1142</t>
        </is>
      </c>
      <c r="D1264" s="10" t="inlineStr">
        <is>
          <t>champion</t>
        </is>
      </c>
      <c r="E1264" s="10" t="inlineStr">
        <is>
          <t>shopee</t>
        </is>
      </c>
      <c r="F1264" s="10" t="inlineStr">
        <is>
          <t>Jabodetabek</t>
        </is>
      </c>
      <c r="G1264" s="10" t="inlineStr">
        <is>
          <t>Elektronik</t>
        </is>
      </c>
      <c r="H1264" s="10" t="inlineStr">
        <is>
          <t>Earbuds TWS</t>
        </is>
      </c>
      <c r="I1264" s="10" t="n">
        <v>2</v>
      </c>
      <c r="J1264" s="10" t="n">
        <v>265000</v>
      </c>
      <c r="K1264" s="10" t="n">
        <v>530000</v>
      </c>
    </row>
    <row r="1265">
      <c r="A1265" s="10" t="inlineStr">
        <is>
          <t>INV-70239</t>
        </is>
      </c>
      <c r="B1265" s="10" t="inlineStr">
        <is>
          <t>2025-04-03</t>
        </is>
      </c>
      <c r="C1265" s="10" t="inlineStr">
        <is>
          <t>C1068</t>
        </is>
      </c>
      <c r="D1265" s="10" t="inlineStr">
        <is>
          <t>onetime</t>
        </is>
      </c>
      <c r="E1265" s="10" t="inlineStr">
        <is>
          <t>Tokopedia</t>
        </is>
      </c>
      <c r="F1265" s="10" t="inlineStr">
        <is>
          <t>Jabodetabek</t>
        </is>
      </c>
      <c r="G1265" s="10" t="inlineStr">
        <is>
          <t>Elektronik</t>
        </is>
      </c>
      <c r="H1265" s="10" t="inlineStr">
        <is>
          <t>Webcam HD</t>
        </is>
      </c>
      <c r="I1265" s="10" t="n">
        <v>3</v>
      </c>
      <c r="J1265" s="10" t="n">
        <v>210000</v>
      </c>
      <c r="K1265" s="10" t="n">
        <v>630000</v>
      </c>
    </row>
    <row r="1266">
      <c r="A1266" s="10" t="inlineStr">
        <is>
          <t>INV-70724</t>
        </is>
      </c>
      <c r="B1266" s="10" t="inlineStr">
        <is>
          <t>2025-10-12</t>
        </is>
      </c>
      <c r="C1266" s="10" t="inlineStr">
        <is>
          <t>C1201</t>
        </is>
      </c>
      <c r="D1266" s="10" t="inlineStr">
        <is>
          <t>regular</t>
        </is>
      </c>
      <c r="E1266" s="10" t="inlineStr">
        <is>
          <t>Tokopedia</t>
        </is>
      </c>
      <c r="F1266" s="10" t="inlineStr">
        <is>
          <t>Jawa Timur</t>
        </is>
      </c>
      <c r="G1266" s="10" t="inlineStr">
        <is>
          <t>Elektronik</t>
        </is>
      </c>
      <c r="H1266" s="10" t="inlineStr">
        <is>
          <t>Webcam HD</t>
        </is>
      </c>
      <c r="I1266" s="10" t="n">
        <v>4</v>
      </c>
      <c r="J1266" s="10" t="n">
        <v>210000</v>
      </c>
      <c r="K1266" s="10" t="n">
        <v>840000</v>
      </c>
    </row>
    <row r="1267">
      <c r="A1267" s="10" t="inlineStr">
        <is>
          <t>INV-71458</t>
        </is>
      </c>
      <c r="B1267" s="10" t="inlineStr">
        <is>
          <t>2025-04-13</t>
        </is>
      </c>
      <c r="C1267" s="10" t="inlineStr">
        <is>
          <t>C1403</t>
        </is>
      </c>
      <c r="D1267" s="10" t="inlineStr">
        <is>
          <t>regular</t>
        </is>
      </c>
      <c r="E1267" s="10" t="inlineStr">
        <is>
          <t>Offline Store</t>
        </is>
      </c>
      <c r="F1267" s="10" t="inlineStr">
        <is>
          <t>Jawa Barat</t>
        </is>
      </c>
      <c r="G1267" s="10" t="inlineStr">
        <is>
          <t>Elektronik</t>
        </is>
      </c>
      <c r="H1267" s="10" t="inlineStr">
        <is>
          <t>Power Bank 20K</t>
        </is>
      </c>
      <c r="I1267" s="10" t="n">
        <v>1</v>
      </c>
      <c r="J1267" s="10" t="n">
        <v>185000</v>
      </c>
      <c r="K1267" s="10" t="n">
        <v>185000</v>
      </c>
    </row>
    <row r="1268">
      <c r="A1268" s="10" t="inlineStr">
        <is>
          <t>INV-71323</t>
        </is>
      </c>
      <c r="B1268" s="10" t="inlineStr">
        <is>
          <t>2026-04-12</t>
        </is>
      </c>
      <c r="C1268" s="10" t="inlineStr">
        <is>
          <t>C1365</t>
        </is>
      </c>
      <c r="D1268" s="10" t="inlineStr">
        <is>
          <t>regular</t>
        </is>
      </c>
      <c r="E1268" s="10" t="inlineStr">
        <is>
          <t>Shopee</t>
        </is>
      </c>
      <c r="F1268" s="10" t="inlineStr">
        <is>
          <t>Sumatera</t>
        </is>
      </c>
      <c r="G1268" s="10" t="inlineStr">
        <is>
          <t>Kecantikan</t>
        </is>
      </c>
      <c r="H1268" s="10" t="inlineStr">
        <is>
          <t>Masker Wajah (5s)</t>
        </is>
      </c>
      <c r="I1268" s="10" t="n">
        <v>1</v>
      </c>
      <c r="J1268" s="10" t="n">
        <v>55000</v>
      </c>
      <c r="K1268" s="10" t="inlineStr">
        <is>
          <t>Rp 55.000</t>
        </is>
      </c>
    </row>
    <row r="1269">
      <c r="A1269" s="10" t="inlineStr">
        <is>
          <t>INV-71469</t>
        </is>
      </c>
      <c r="B1269" s="10" t="inlineStr">
        <is>
          <t>12 Mar 2025</t>
        </is>
      </c>
      <c r="C1269" s="10" t="inlineStr">
        <is>
          <t>C1405</t>
        </is>
      </c>
      <c r="D1269" s="10" t="inlineStr">
        <is>
          <t>regular</t>
        </is>
      </c>
      <c r="E1269" s="10" t="inlineStr">
        <is>
          <t>Tokopedia</t>
        </is>
      </c>
      <c r="F1269" s="10" t="inlineStr">
        <is>
          <t>Jabodetabek</t>
        </is>
      </c>
      <c r="G1269" s="10" t="inlineStr">
        <is>
          <t>Rumah Tangga</t>
        </is>
      </c>
      <c r="H1269" s="10" t="inlineStr">
        <is>
          <t>Set Wadah Kedap</t>
        </is>
      </c>
      <c r="I1269" s="10" t="n">
        <v>1</v>
      </c>
      <c r="J1269" s="10" t="n">
        <v>135000</v>
      </c>
      <c r="K1269" s="10" t="n">
        <v>135000</v>
      </c>
    </row>
    <row r="1270">
      <c r="A1270" s="10" t="inlineStr">
        <is>
          <t>INV-71135</t>
        </is>
      </c>
      <c r="B1270" s="10" t="inlineStr">
        <is>
          <t>2026-02-15</t>
        </is>
      </c>
      <c r="C1270" s="10" t="inlineStr">
        <is>
          <t>C1322</t>
        </is>
      </c>
      <c r="D1270" s="10" t="inlineStr">
        <is>
          <t>loyal</t>
        </is>
      </c>
      <c r="E1270" s="10" t="inlineStr">
        <is>
          <t>Shopee</t>
        </is>
      </c>
      <c r="F1270" s="10" t="inlineStr">
        <is>
          <t>Jabodetabek</t>
        </is>
      </c>
      <c r="G1270" s="10" t="inlineStr">
        <is>
          <t>Rumah Tangga</t>
        </is>
      </c>
      <c r="H1270" s="10" t="inlineStr">
        <is>
          <t>Set Wadah Kedap</t>
        </is>
      </c>
      <c r="I1270" s="10" t="n">
        <v>4</v>
      </c>
      <c r="J1270" s="10" t="n">
        <v>135000</v>
      </c>
      <c r="K1270" s="10" t="n">
        <v>540000</v>
      </c>
    </row>
    <row r="1271">
      <c r="A1271" s="10" t="inlineStr">
        <is>
          <t>INV-70657</t>
        </is>
      </c>
      <c r="B1271" s="10" t="inlineStr">
        <is>
          <t>05/02/2026</t>
        </is>
      </c>
      <c r="C1271" s="10" t="inlineStr">
        <is>
          <t>C1179</t>
        </is>
      </c>
      <c r="D1271" s="10" t="inlineStr">
        <is>
          <t>loyal</t>
        </is>
      </c>
      <c r="E1271" s="10" t="inlineStr">
        <is>
          <t>TikTok Shop</t>
        </is>
      </c>
      <c r="F1271" s="10" t="n"/>
      <c r="G1271" s="10" t="inlineStr">
        <is>
          <t>Kecantikan</t>
        </is>
      </c>
      <c r="H1271" s="10" t="inlineStr">
        <is>
          <t>Masker Wajah (5s)</t>
        </is>
      </c>
      <c r="I1271" s="10" t="n">
        <v>2</v>
      </c>
      <c r="J1271" s="10" t="n">
        <v>55000</v>
      </c>
      <c r="K1271" s="10" t="n">
        <v>110000</v>
      </c>
    </row>
    <row r="1272">
      <c r="A1272" s="10" t="inlineStr">
        <is>
          <t>INV-70708</t>
        </is>
      </c>
      <c r="B1272" s="10" t="inlineStr">
        <is>
          <t>2025-06-13</t>
        </is>
      </c>
      <c r="C1272" s="10" t="inlineStr">
        <is>
          <t>C1195</t>
        </is>
      </c>
      <c r="D1272" s="10" t="inlineStr">
        <is>
          <t>champion</t>
        </is>
      </c>
      <c r="E1272" s="10" t="inlineStr">
        <is>
          <t>TikTok Shop</t>
        </is>
      </c>
      <c r="F1272" s="10" t="inlineStr">
        <is>
          <t>Jabodetabek</t>
        </is>
      </c>
      <c r="G1272" s="10" t="inlineStr">
        <is>
          <t>Fashion</t>
        </is>
      </c>
      <c r="H1272" s="10" t="inlineStr">
        <is>
          <t>Celana Chino</t>
        </is>
      </c>
      <c r="I1272" s="10" t="n">
        <v>1</v>
      </c>
      <c r="J1272" s="10" t="n">
        <v>195000</v>
      </c>
      <c r="K1272" s="10" t="inlineStr">
        <is>
          <t>Rp 195.000</t>
        </is>
      </c>
    </row>
    <row r="1273">
      <c r="A1273" s="10" t="inlineStr">
        <is>
          <t>INV-71302</t>
        </is>
      </c>
      <c r="B1273" s="10" t="inlineStr">
        <is>
          <t>2025-02-09</t>
        </is>
      </c>
      <c r="C1273" s="10" t="inlineStr">
        <is>
          <t>C1361</t>
        </is>
      </c>
      <c r="D1273" s="10" t="inlineStr">
        <is>
          <t>champion</t>
        </is>
      </c>
      <c r="E1273" s="10" t="inlineStr">
        <is>
          <t xml:space="preserve">Shopee </t>
        </is>
      </c>
      <c r="F1273" s="10" t="inlineStr">
        <is>
          <t>Lainnya</t>
        </is>
      </c>
      <c r="G1273" s="10" t="inlineStr">
        <is>
          <t>Rumah Tangga</t>
        </is>
      </c>
      <c r="H1273" s="10" t="inlineStr">
        <is>
          <t>Set Wadah Kedap</t>
        </is>
      </c>
      <c r="I1273" s="10" t="n">
        <v>4</v>
      </c>
      <c r="J1273" s="10" t="n">
        <v>135000</v>
      </c>
      <c r="K1273" s="10" t="n">
        <v>540000</v>
      </c>
    </row>
    <row r="1274">
      <c r="A1274" s="10" t="inlineStr">
        <is>
          <t>INV-70398</t>
        </is>
      </c>
      <c r="B1274" s="10" t="inlineStr">
        <is>
          <t>19 Jan 2026</t>
        </is>
      </c>
      <c r="C1274" s="10" t="inlineStr">
        <is>
          <t>C1112</t>
        </is>
      </c>
      <c r="D1274" s="10" t="inlineStr">
        <is>
          <t>loyal</t>
        </is>
      </c>
      <c r="E1274" s="10" t="inlineStr">
        <is>
          <t>Shopee</t>
        </is>
      </c>
      <c r="F1274" s="10" t="inlineStr">
        <is>
          <t>Jawa Tengah</t>
        </is>
      </c>
      <c r="G1274" s="10" t="inlineStr">
        <is>
          <t>Kecantikan</t>
        </is>
      </c>
      <c r="H1274" s="10" t="inlineStr">
        <is>
          <t>Masker Wajah (5s)</t>
        </is>
      </c>
      <c r="I1274" s="10" t="n">
        <v>4</v>
      </c>
      <c r="J1274" s="10" t="n">
        <v>55000</v>
      </c>
      <c r="K1274" s="10" t="n">
        <v>220000</v>
      </c>
    </row>
    <row r="1275">
      <c r="A1275" s="10" t="inlineStr">
        <is>
          <t>INV-71562</t>
        </is>
      </c>
      <c r="B1275" s="10" t="inlineStr">
        <is>
          <t>2026-04-04</t>
        </is>
      </c>
      <c r="C1275" s="10" t="inlineStr">
        <is>
          <t>C1429</t>
        </is>
      </c>
      <c r="D1275" s="10" t="inlineStr">
        <is>
          <t>regular</t>
        </is>
      </c>
      <c r="E1275" s="10" t="inlineStr">
        <is>
          <t xml:space="preserve">Offline store </t>
        </is>
      </c>
      <c r="F1275" s="10" t="inlineStr">
        <is>
          <t>Jawa Timur</t>
        </is>
      </c>
      <c r="G1275" s="10" t="inlineStr">
        <is>
          <t>Fashion</t>
        </is>
      </c>
      <c r="H1275" s="10" t="inlineStr">
        <is>
          <t>Celana Chino</t>
        </is>
      </c>
      <c r="I1275" s="10" t="n">
        <v>4</v>
      </c>
      <c r="J1275" s="10" t="n">
        <v>195000</v>
      </c>
      <c r="K1275" s="10" t="inlineStr">
        <is>
          <t>Rp 780.000</t>
        </is>
      </c>
    </row>
    <row r="1276">
      <c r="A1276" s="10" t="inlineStr">
        <is>
          <t>INV-71025</t>
        </is>
      </c>
      <c r="B1276" s="10" t="inlineStr">
        <is>
          <t>18/06/2025</t>
        </is>
      </c>
      <c r="C1276" s="10" t="inlineStr">
        <is>
          <t>C1291</t>
        </is>
      </c>
      <c r="D1276" s="10" t="inlineStr">
        <is>
          <t>regular</t>
        </is>
      </c>
      <c r="E1276" s="10" t="inlineStr">
        <is>
          <t>Tokopedia</t>
        </is>
      </c>
      <c r="F1276" s="10" t="inlineStr">
        <is>
          <t>Jabodetabek</t>
        </is>
      </c>
      <c r="G1276" s="10" t="inlineStr">
        <is>
          <t>Rumah Tangga</t>
        </is>
      </c>
      <c r="H1276" s="10" t="inlineStr">
        <is>
          <t>Organizer Laci</t>
        </is>
      </c>
      <c r="I1276" s="10" t="n">
        <v>1</v>
      </c>
      <c r="J1276" s="10" t="n">
        <v>78000</v>
      </c>
      <c r="K1276" s="10" t="n">
        <v>78000</v>
      </c>
    </row>
    <row r="1277">
      <c r="A1277" s="10" t="inlineStr">
        <is>
          <t>INV-71250</t>
        </is>
      </c>
      <c r="B1277" s="10" t="inlineStr">
        <is>
          <t>2025-09-01</t>
        </is>
      </c>
      <c r="C1277" s="10" t="inlineStr">
        <is>
          <t>C1352</t>
        </is>
      </c>
      <c r="D1277" s="10" t="inlineStr">
        <is>
          <t>loyal</t>
        </is>
      </c>
      <c r="E1277" s="10" t="inlineStr">
        <is>
          <t>TikTok Shop</t>
        </is>
      </c>
      <c r="F1277" s="10" t="inlineStr">
        <is>
          <t>Jabodetabek</t>
        </is>
      </c>
      <c r="G1277" s="10" t="inlineStr">
        <is>
          <t>rumah tangga</t>
        </is>
      </c>
      <c r="H1277" s="10" t="inlineStr">
        <is>
          <t>Organizer Laci</t>
        </is>
      </c>
      <c r="I1277" s="10" t="n">
        <v>1</v>
      </c>
      <c r="J1277" s="10" t="n">
        <v>78000</v>
      </c>
      <c r="K1277" s="10" t="inlineStr">
        <is>
          <t>Rp 78.000</t>
        </is>
      </c>
    </row>
    <row r="1278">
      <c r="A1278" s="10" t="inlineStr">
        <is>
          <t>INV-70797</t>
        </is>
      </c>
      <c r="B1278" s="10" t="inlineStr">
        <is>
          <t>2025-05-02</t>
        </is>
      </c>
      <c r="C1278" s="10" t="inlineStr">
        <is>
          <t>C1223</t>
        </is>
      </c>
      <c r="D1278" s="10" t="inlineStr">
        <is>
          <t>loyal</t>
        </is>
      </c>
      <c r="E1278" s="10" t="inlineStr">
        <is>
          <t>shopee</t>
        </is>
      </c>
      <c r="F1278" s="10" t="inlineStr">
        <is>
          <t>Jawa Barat</t>
        </is>
      </c>
      <c r="G1278" s="10" t="inlineStr">
        <is>
          <t>Rumah Tangga</t>
        </is>
      </c>
      <c r="H1278" s="10" t="inlineStr">
        <is>
          <t>Set Wadah Kedap</t>
        </is>
      </c>
      <c r="I1278" s="10" t="n">
        <v>2</v>
      </c>
      <c r="J1278" s="10" t="n">
        <v>135000</v>
      </c>
      <c r="K1278" s="10" t="n">
        <v>270000</v>
      </c>
    </row>
    <row r="1279">
      <c r="A1279" s="10" t="inlineStr">
        <is>
          <t>INV-70698</t>
        </is>
      </c>
      <c r="B1279" s="10" t="inlineStr">
        <is>
          <t>2025-10-07</t>
        </is>
      </c>
      <c r="C1279" s="10" t="inlineStr">
        <is>
          <t>C1193</t>
        </is>
      </c>
      <c r="D1279" s="10" t="inlineStr">
        <is>
          <t>loyal</t>
        </is>
      </c>
      <c r="E1279" s="10" t="inlineStr">
        <is>
          <t>TIKTOK SHOP</t>
        </is>
      </c>
      <c r="F1279" s="10" t="inlineStr">
        <is>
          <t>Jawa Timur</t>
        </is>
      </c>
      <c r="G1279" s="10" t="inlineStr">
        <is>
          <t>Makanan</t>
        </is>
      </c>
      <c r="H1279" s="10" t="inlineStr">
        <is>
          <t>Madu Hutan 250ml</t>
        </is>
      </c>
      <c r="I1279" s="10" t="n">
        <v>1</v>
      </c>
      <c r="J1279" s="10" t="n">
        <v>110000</v>
      </c>
      <c r="K1279" s="10" t="n">
        <v>110000</v>
      </c>
    </row>
    <row r="1280">
      <c r="A1280" s="10" t="inlineStr">
        <is>
          <t>INV-71560</t>
        </is>
      </c>
      <c r="B1280" s="10" t="inlineStr">
        <is>
          <t>2026-01-15</t>
        </is>
      </c>
      <c r="C1280" s="10" t="inlineStr">
        <is>
          <t>C1428</t>
        </is>
      </c>
      <c r="D1280" s="10" t="inlineStr">
        <is>
          <t>loyal</t>
        </is>
      </c>
      <c r="E1280" s="10" t="inlineStr">
        <is>
          <t>Shopee</t>
        </is>
      </c>
      <c r="F1280" s="10" t="inlineStr">
        <is>
          <t>Jabodetabek</t>
        </is>
      </c>
      <c r="G1280" s="10" t="inlineStr">
        <is>
          <t>Rumah Tangga</t>
        </is>
      </c>
      <c r="H1280" s="10" t="inlineStr">
        <is>
          <t>Set Wadah Kedap</t>
        </is>
      </c>
      <c r="I1280" s="10" t="n">
        <v>1</v>
      </c>
      <c r="J1280" s="10" t="n">
        <v>135000</v>
      </c>
      <c r="K1280" s="10" t="n">
        <v>135000</v>
      </c>
    </row>
    <row r="1281">
      <c r="A1281" s="10" t="inlineStr">
        <is>
          <t>INV-70641</t>
        </is>
      </c>
      <c r="B1281" s="10" t="inlineStr">
        <is>
          <t>2025-11-16</t>
        </is>
      </c>
      <c r="C1281" s="10" t="inlineStr">
        <is>
          <t>C1174</t>
        </is>
      </c>
      <c r="D1281" s="10" t="inlineStr">
        <is>
          <t>loyal</t>
        </is>
      </c>
      <c r="E1281" s="10" t="inlineStr">
        <is>
          <t>Shopee</t>
        </is>
      </c>
      <c r="F1281" s="10" t="inlineStr">
        <is>
          <t>Jabodetabek</t>
        </is>
      </c>
      <c r="G1281" s="10" t="inlineStr">
        <is>
          <t>Elektronik</t>
        </is>
      </c>
      <c r="H1281" s="10" t="inlineStr">
        <is>
          <t>Earbuds TWS</t>
        </is>
      </c>
      <c r="I1281" s="10" t="n">
        <v>2</v>
      </c>
      <c r="J1281" s="10" t="n">
        <v>265000</v>
      </c>
      <c r="K1281" s="10" t="n">
        <v>530000</v>
      </c>
    </row>
    <row r="1282">
      <c r="A1282" s="10" t="inlineStr">
        <is>
          <t>INV-70570</t>
        </is>
      </c>
      <c r="B1282" s="10" t="inlineStr">
        <is>
          <t>2025-04-05</t>
        </is>
      </c>
      <c r="C1282" s="10" t="inlineStr">
        <is>
          <t>C1156</t>
        </is>
      </c>
      <c r="D1282" s="10" t="inlineStr">
        <is>
          <t>champion</t>
        </is>
      </c>
      <c r="E1282" s="10" t="inlineStr">
        <is>
          <t>TikTok Shop</t>
        </is>
      </c>
      <c r="F1282" s="10" t="inlineStr">
        <is>
          <t>Sumatera</t>
        </is>
      </c>
      <c r="G1282" s="10" t="inlineStr">
        <is>
          <t>Rumah Tangga</t>
        </is>
      </c>
      <c r="H1282" s="10" t="inlineStr">
        <is>
          <t>Set Wadah Kedap</t>
        </is>
      </c>
      <c r="I1282" s="10" t="n">
        <v>2</v>
      </c>
      <c r="J1282" s="10" t="n">
        <v>135000</v>
      </c>
      <c r="K1282" s="10" t="n">
        <v>270000</v>
      </c>
    </row>
    <row r="1283">
      <c r="A1283" s="10" t="inlineStr">
        <is>
          <t>INV-70224</t>
        </is>
      </c>
      <c r="B1283" s="10" t="inlineStr">
        <is>
          <t>2025-05-10</t>
        </is>
      </c>
      <c r="C1283" s="10" t="inlineStr">
        <is>
          <t>C1063</t>
        </is>
      </c>
      <c r="D1283" s="10" t="inlineStr">
        <is>
          <t>occasional</t>
        </is>
      </c>
      <c r="E1283" s="10" t="inlineStr">
        <is>
          <t>Shopee</t>
        </is>
      </c>
      <c r="F1283" s="10" t="inlineStr">
        <is>
          <t>Jawa Timur</t>
        </is>
      </c>
      <c r="G1283" s="10" t="inlineStr">
        <is>
          <t>Elektronik</t>
        </is>
      </c>
      <c r="H1283" s="10" t="inlineStr">
        <is>
          <t>Earbuds TWS</t>
        </is>
      </c>
      <c r="I1283" s="10" t="n">
        <v>1</v>
      </c>
      <c r="J1283" s="10" t="n">
        <v>265000</v>
      </c>
      <c r="K1283" s="10" t="inlineStr">
        <is>
          <t>Rp 265.000</t>
        </is>
      </c>
    </row>
    <row r="1284">
      <c r="A1284" s="10" t="inlineStr">
        <is>
          <t>INV-71510</t>
        </is>
      </c>
      <c r="B1284" s="10" t="inlineStr">
        <is>
          <t>2026-02-21</t>
        </is>
      </c>
      <c r="C1284" s="10" t="inlineStr">
        <is>
          <t>C1414</t>
        </is>
      </c>
      <c r="D1284" s="10" t="inlineStr">
        <is>
          <t>occasional</t>
        </is>
      </c>
      <c r="E1284" s="10" t="inlineStr">
        <is>
          <t>Shopee</t>
        </is>
      </c>
      <c r="F1284" s="10" t="inlineStr">
        <is>
          <t>Jawa Barat</t>
        </is>
      </c>
      <c r="G1284" s="10" t="inlineStr">
        <is>
          <t>Rumah Tangga</t>
        </is>
      </c>
      <c r="H1284" s="10" t="inlineStr">
        <is>
          <t>Set Wadah Kedap</t>
        </is>
      </c>
      <c r="I1284" s="10" t="n">
        <v>1</v>
      </c>
      <c r="J1284" s="10" t="n">
        <v>135000</v>
      </c>
      <c r="K1284" s="10" t="n">
        <v>135000</v>
      </c>
    </row>
    <row r="1285">
      <c r="A1285" s="10" t="inlineStr">
        <is>
          <t>INV-71168</t>
        </is>
      </c>
      <c r="B1285" s="10" t="inlineStr">
        <is>
          <t>2026-01-15</t>
        </is>
      </c>
      <c r="C1285" s="10" t="inlineStr">
        <is>
          <t>C1330</t>
        </is>
      </c>
      <c r="D1285" s="10" t="inlineStr">
        <is>
          <t>regular</t>
        </is>
      </c>
      <c r="E1285" s="10" t="inlineStr">
        <is>
          <t xml:space="preserve">Shopee </t>
        </is>
      </c>
      <c r="F1285" s="10" t="inlineStr">
        <is>
          <t>Sumatera</t>
        </is>
      </c>
      <c r="G1285" s="10" t="inlineStr">
        <is>
          <t>Rumah Tangga</t>
        </is>
      </c>
      <c r="H1285" s="10" t="inlineStr">
        <is>
          <t>Set Wadah Kedap</t>
        </is>
      </c>
      <c r="I1285" s="10" t="n">
        <v>1</v>
      </c>
      <c r="J1285" s="10" t="n">
        <v>135000</v>
      </c>
      <c r="K1285" s="10" t="n">
        <v>135000</v>
      </c>
    </row>
    <row r="1286">
      <c r="A1286" s="10" t="inlineStr">
        <is>
          <t>INV-70148</t>
        </is>
      </c>
      <c r="B1286" s="10" t="inlineStr">
        <is>
          <t>08 Mar 2026</t>
        </is>
      </c>
      <c r="C1286" s="10" t="inlineStr">
        <is>
          <t>C1042</t>
        </is>
      </c>
      <c r="D1286" s="10" t="inlineStr">
        <is>
          <t>loyal</t>
        </is>
      </c>
      <c r="E1286" s="10" t="inlineStr">
        <is>
          <t xml:space="preserve">Tokopedia </t>
        </is>
      </c>
      <c r="F1286" s="10" t="inlineStr">
        <is>
          <t>Jabodetabek</t>
        </is>
      </c>
      <c r="G1286" s="10" t="inlineStr">
        <is>
          <t>elektronik</t>
        </is>
      </c>
      <c r="H1286" s="10" t="inlineStr">
        <is>
          <t>Webcam HD</t>
        </is>
      </c>
      <c r="I1286" s="10" t="n">
        <v>1</v>
      </c>
      <c r="J1286" s="10" t="n">
        <v>210000</v>
      </c>
      <c r="K1286" s="10" t="n">
        <v>210000</v>
      </c>
    </row>
    <row r="1287">
      <c r="A1287" s="10" t="inlineStr">
        <is>
          <t>INV-70042</t>
        </is>
      </c>
      <c r="B1287" s="10" t="inlineStr">
        <is>
          <t>08/10/2025</t>
        </is>
      </c>
      <c r="C1287" s="10" t="inlineStr">
        <is>
          <t>C1011</t>
        </is>
      </c>
      <c r="D1287" s="10" t="inlineStr">
        <is>
          <t>regular</t>
        </is>
      </c>
      <c r="E1287" s="10" t="inlineStr">
        <is>
          <t>Shopee</t>
        </is>
      </c>
      <c r="F1287" s="10" t="inlineStr">
        <is>
          <t>Jabodetabek</t>
        </is>
      </c>
      <c r="G1287" s="10" t="inlineStr">
        <is>
          <t>Elektronik</t>
        </is>
      </c>
      <c r="H1287" s="10" t="inlineStr">
        <is>
          <t>Power Bank 20K</t>
        </is>
      </c>
      <c r="I1287" s="10" t="n">
        <v>2</v>
      </c>
      <c r="J1287" s="10" t="n">
        <v>185000</v>
      </c>
      <c r="K1287" s="10" t="n">
        <v>370000</v>
      </c>
    </row>
    <row r="1288">
      <c r="A1288" s="10" t="inlineStr">
        <is>
          <t>INV-70749</t>
        </is>
      </c>
      <c r="B1288" s="10" t="inlineStr">
        <is>
          <t>2026-03-07</t>
        </is>
      </c>
      <c r="C1288" s="10" t="inlineStr">
        <is>
          <t>C1210</t>
        </is>
      </c>
      <c r="D1288" s="10" t="inlineStr">
        <is>
          <t>loyal</t>
        </is>
      </c>
      <c r="E1288" s="10" t="inlineStr">
        <is>
          <t>Shopee</t>
        </is>
      </c>
      <c r="F1288" s="10" t="inlineStr">
        <is>
          <t>Jabodetabek</t>
        </is>
      </c>
      <c r="G1288" s="10" t="inlineStr">
        <is>
          <t>Elektronik</t>
        </is>
      </c>
      <c r="H1288" s="10" t="inlineStr">
        <is>
          <t>Smartwatch</t>
        </is>
      </c>
      <c r="I1288" s="10" t="n">
        <v>1</v>
      </c>
      <c r="J1288" s="10" t="n">
        <v>450000</v>
      </c>
      <c r="K1288" s="10" t="n">
        <v>450000</v>
      </c>
    </row>
    <row r="1289">
      <c r="A1289" s="10" t="inlineStr">
        <is>
          <t>INV-70716</t>
        </is>
      </c>
      <c r="B1289" s="10" t="inlineStr">
        <is>
          <t>2026-01-04</t>
        </is>
      </c>
      <c r="C1289" s="10" t="inlineStr">
        <is>
          <t>C1199</t>
        </is>
      </c>
      <c r="D1289" s="10" t="inlineStr">
        <is>
          <t>loyal</t>
        </is>
      </c>
      <c r="E1289" s="10" t="inlineStr">
        <is>
          <t>Shopee</t>
        </is>
      </c>
      <c r="F1289" s="10" t="inlineStr">
        <is>
          <t>Jabodetabek</t>
        </is>
      </c>
      <c r="G1289" s="10" t="inlineStr">
        <is>
          <t>Rumah Tangga</t>
        </is>
      </c>
      <c r="H1289" s="10" t="inlineStr">
        <is>
          <t>Set Wadah Kedap</t>
        </is>
      </c>
      <c r="I1289" s="10" t="n">
        <v>3</v>
      </c>
      <c r="J1289" s="10" t="n">
        <v>135000</v>
      </c>
      <c r="K1289" s="10" t="n">
        <v>405000</v>
      </c>
    </row>
    <row r="1290">
      <c r="A1290" s="10" t="inlineStr">
        <is>
          <t>INV-70435</t>
        </is>
      </c>
      <c r="B1290" s="10" t="inlineStr">
        <is>
          <t>2025-12-27</t>
        </is>
      </c>
      <c r="C1290" s="10" t="inlineStr">
        <is>
          <t>C1123</t>
        </is>
      </c>
      <c r="D1290" s="10" t="inlineStr">
        <is>
          <t>regular</t>
        </is>
      </c>
      <c r="E1290" s="10" t="inlineStr">
        <is>
          <t>Tokopedia</t>
        </is>
      </c>
      <c r="F1290" s="10" t="inlineStr">
        <is>
          <t>Jawa Barat</t>
        </is>
      </c>
      <c r="G1290" s="10" t="inlineStr">
        <is>
          <t>Rumah Tangga</t>
        </is>
      </c>
      <c r="H1290" s="10" t="inlineStr">
        <is>
          <t>Diffuser Aroma</t>
        </is>
      </c>
      <c r="I1290" s="10" t="n">
        <v>1</v>
      </c>
      <c r="J1290" s="10" t="n">
        <v>195000</v>
      </c>
      <c r="K1290" s="10" t="inlineStr">
        <is>
          <t>Rp 195.000</t>
        </is>
      </c>
    </row>
    <row r="1291">
      <c r="A1291" s="10" t="inlineStr">
        <is>
          <t>INV-71143</t>
        </is>
      </c>
      <c r="B1291" s="10" t="inlineStr">
        <is>
          <t>2025-11-26</t>
        </is>
      </c>
      <c r="C1291" s="10" t="inlineStr">
        <is>
          <t>C1323</t>
        </is>
      </c>
      <c r="D1291" s="10" t="inlineStr">
        <is>
          <t>regular</t>
        </is>
      </c>
      <c r="E1291" s="10" t="inlineStr">
        <is>
          <t>Offline Store</t>
        </is>
      </c>
      <c r="F1291" s="10" t="inlineStr">
        <is>
          <t>Lainnya</t>
        </is>
      </c>
      <c r="G1291" s="10" t="inlineStr">
        <is>
          <t>Kecantikan</t>
        </is>
      </c>
      <c r="H1291" s="10" t="inlineStr">
        <is>
          <t>Masker Wajah (5s)</t>
        </is>
      </c>
      <c r="I1291" s="10" t="n">
        <v>1</v>
      </c>
      <c r="J1291" s="10" t="n">
        <v>55000</v>
      </c>
      <c r="K1291" s="10" t="inlineStr">
        <is>
          <t>Rp 55.000</t>
        </is>
      </c>
    </row>
    <row r="1292">
      <c r="A1292" s="10" t="inlineStr">
        <is>
          <t>INV-71353</t>
        </is>
      </c>
      <c r="B1292" s="10" t="inlineStr">
        <is>
          <t>2025-05-19</t>
        </is>
      </c>
      <c r="C1292" s="10" t="inlineStr">
        <is>
          <t>C1373</t>
        </is>
      </c>
      <c r="D1292" s="10" t="inlineStr">
        <is>
          <t>occasional</t>
        </is>
      </c>
      <c r="E1292" s="10" t="inlineStr">
        <is>
          <t>TikTok Shop</t>
        </is>
      </c>
      <c r="F1292" s="10" t="inlineStr">
        <is>
          <t>Jabodetabek</t>
        </is>
      </c>
      <c r="G1292" s="10" t="inlineStr">
        <is>
          <t>Elektronik</t>
        </is>
      </c>
      <c r="H1292" s="10" t="inlineStr">
        <is>
          <t>Smartwatch</t>
        </is>
      </c>
      <c r="I1292" s="10" t="n">
        <v>3</v>
      </c>
      <c r="J1292" s="10" t="n">
        <v>450000</v>
      </c>
      <c r="K1292" s="10" t="n">
        <v>1350000</v>
      </c>
    </row>
    <row r="1293">
      <c r="A1293" s="10" t="inlineStr">
        <is>
          <t>INV-70906</t>
        </is>
      </c>
      <c r="B1293" s="10" t="inlineStr">
        <is>
          <t>2026-03-14</t>
        </is>
      </c>
      <c r="C1293" s="10" t="inlineStr">
        <is>
          <t>C1256</t>
        </is>
      </c>
      <c r="D1293" s="10" t="inlineStr">
        <is>
          <t>loyal</t>
        </is>
      </c>
      <c r="E1293" s="10" t="inlineStr">
        <is>
          <t>TikTok Shop</t>
        </is>
      </c>
      <c r="F1293" s="10" t="inlineStr">
        <is>
          <t>Jawa Barat</t>
        </is>
      </c>
      <c r="G1293" s="10" t="inlineStr">
        <is>
          <t>Elektronik</t>
        </is>
      </c>
      <c r="H1293" s="10" t="inlineStr">
        <is>
          <t>Smartwatch</t>
        </is>
      </c>
      <c r="I1293" s="10" t="n">
        <v>2</v>
      </c>
      <c r="J1293" s="10" t="n">
        <v>450000</v>
      </c>
      <c r="K1293" s="10" t="n">
        <v>900000</v>
      </c>
    </row>
    <row r="1294">
      <c r="A1294" s="10" t="inlineStr">
        <is>
          <t>INV-70294</t>
        </is>
      </c>
      <c r="B1294" s="10" t="inlineStr">
        <is>
          <t>03 May 2025</t>
        </is>
      </c>
      <c r="C1294" s="10" t="inlineStr">
        <is>
          <t>C1083</t>
        </is>
      </c>
      <c r="D1294" s="10" t="inlineStr">
        <is>
          <t>loyal</t>
        </is>
      </c>
      <c r="E1294" s="10" t="inlineStr">
        <is>
          <t>Tiktok Shop</t>
        </is>
      </c>
      <c r="F1294" s="10" t="inlineStr">
        <is>
          <t>Sumatera</t>
        </is>
      </c>
      <c r="G1294" s="10" t="inlineStr">
        <is>
          <t>Elektronik</t>
        </is>
      </c>
      <c r="H1294" s="10" t="inlineStr">
        <is>
          <t>Webcam HD</t>
        </is>
      </c>
      <c r="I1294" s="10" t="n">
        <v>4</v>
      </c>
      <c r="J1294" s="10" t="n">
        <v>210000</v>
      </c>
      <c r="K1294" s="10" t="n">
        <v>840000</v>
      </c>
    </row>
    <row r="1295">
      <c r="A1295" s="10" t="inlineStr">
        <is>
          <t>INV-70011</t>
        </is>
      </c>
      <c r="B1295" s="10" t="inlineStr">
        <is>
          <t>03/06/2025</t>
        </is>
      </c>
      <c r="C1295" s="10" t="inlineStr">
        <is>
          <t>C1002</t>
        </is>
      </c>
      <c r="D1295" s="10" t="inlineStr">
        <is>
          <t>loyal</t>
        </is>
      </c>
      <c r="E1295" s="10" t="inlineStr">
        <is>
          <t>TIKTOK SHOP</t>
        </is>
      </c>
      <c r="F1295" s="10" t="inlineStr">
        <is>
          <t>Jabodetabek</t>
        </is>
      </c>
      <c r="G1295" s="10" t="inlineStr">
        <is>
          <t>Elektronik</t>
        </is>
      </c>
      <c r="H1295" s="10" t="inlineStr">
        <is>
          <t>Webcam HD</t>
        </is>
      </c>
      <c r="I1295" s="10" t="n">
        <v>2</v>
      </c>
      <c r="J1295" s="10" t="n">
        <v>210000</v>
      </c>
      <c r="K1295" s="10" t="n">
        <v>420000</v>
      </c>
    </row>
    <row r="1296">
      <c r="A1296" s="10" t="inlineStr">
        <is>
          <t>INV-71075</t>
        </is>
      </c>
      <c r="B1296" s="10" t="inlineStr">
        <is>
          <t>2025-06-05</t>
        </is>
      </c>
      <c r="C1296" s="10" t="inlineStr">
        <is>
          <t>C1302</t>
        </is>
      </c>
      <c r="D1296" s="10" t="inlineStr">
        <is>
          <t>champion</t>
        </is>
      </c>
      <c r="E1296" s="10" t="inlineStr">
        <is>
          <t xml:space="preserve">Offline store </t>
        </is>
      </c>
      <c r="F1296" s="10" t="inlineStr">
        <is>
          <t>Jabodetabek</t>
        </is>
      </c>
      <c r="G1296" s="10" t="inlineStr">
        <is>
          <t>Fashion</t>
        </is>
      </c>
      <c r="H1296" s="10" t="inlineStr">
        <is>
          <t>Dress Casual</t>
        </is>
      </c>
      <c r="I1296" s="10" t="n">
        <v>1</v>
      </c>
      <c r="J1296" s="10" t="n">
        <v>225000</v>
      </c>
      <c r="K1296" s="10" t="n">
        <v>225000</v>
      </c>
    </row>
    <row r="1297">
      <c r="A1297" s="10" t="inlineStr">
        <is>
          <t>INV-71346</t>
        </is>
      </c>
      <c r="B1297" s="10" t="inlineStr">
        <is>
          <t>2026-01-15</t>
        </is>
      </c>
      <c r="C1297" s="10" t="inlineStr">
        <is>
          <t>C1371</t>
        </is>
      </c>
      <c r="D1297" s="10" t="inlineStr">
        <is>
          <t>regular</t>
        </is>
      </c>
      <c r="E1297" s="10" t="inlineStr">
        <is>
          <t>TikTok Shop</t>
        </is>
      </c>
      <c r="F1297" s="10" t="inlineStr">
        <is>
          <t>Jawa Tengah</t>
        </is>
      </c>
      <c r="G1297" s="10" t="inlineStr">
        <is>
          <t>Makanan</t>
        </is>
      </c>
      <c r="H1297" s="10" t="inlineStr">
        <is>
          <t>Keripik Sehat</t>
        </is>
      </c>
      <c r="I1297" s="10" t="n">
        <v>4</v>
      </c>
      <c r="J1297" s="10" t="n">
        <v>45000</v>
      </c>
      <c r="K1297" s="10" t="n">
        <v>180000</v>
      </c>
    </row>
    <row r="1298">
      <c r="A1298" s="10" t="inlineStr">
        <is>
          <t>INV-70846</t>
        </is>
      </c>
      <c r="B1298" s="10" t="inlineStr">
        <is>
          <t>2026-03-24</t>
        </is>
      </c>
      <c r="C1298" s="10" t="inlineStr">
        <is>
          <t>C1237</t>
        </is>
      </c>
      <c r="D1298" s="10" t="inlineStr">
        <is>
          <t>champion</t>
        </is>
      </c>
      <c r="E1298" s="10" t="inlineStr">
        <is>
          <t>TikTok Shop</t>
        </is>
      </c>
      <c r="F1298" s="10" t="inlineStr">
        <is>
          <t>Jabodetabek</t>
        </is>
      </c>
      <c r="G1298" s="10" t="inlineStr">
        <is>
          <t>Elektronik</t>
        </is>
      </c>
      <c r="H1298" s="10" t="inlineStr">
        <is>
          <t>Power Bank 20K</t>
        </is>
      </c>
      <c r="I1298" s="10" t="n">
        <v>2</v>
      </c>
      <c r="J1298" s="10" t="n">
        <v>185000</v>
      </c>
      <c r="K1298" s="10" t="n">
        <v>370000</v>
      </c>
    </row>
    <row r="1299">
      <c r="A1299" s="10" t="inlineStr">
        <is>
          <t>INV-71184</t>
        </is>
      </c>
      <c r="B1299" s="10" t="inlineStr">
        <is>
          <t>2025-07-05</t>
        </is>
      </c>
      <c r="C1299" s="10" t="inlineStr">
        <is>
          <t>C1334</t>
        </is>
      </c>
      <c r="D1299" s="10" t="inlineStr">
        <is>
          <t>champion</t>
        </is>
      </c>
      <c r="E1299" s="10" t="inlineStr">
        <is>
          <t>TikTok Shop</t>
        </is>
      </c>
      <c r="F1299" s="10" t="inlineStr">
        <is>
          <t>Jabodetabek</t>
        </is>
      </c>
      <c r="G1299" s="10" t="inlineStr">
        <is>
          <t>Rumah Tangga</t>
        </is>
      </c>
      <c r="H1299" s="10" t="inlineStr">
        <is>
          <t>Set Wadah Kedap</t>
        </is>
      </c>
      <c r="I1299" s="10" t="n">
        <v>1</v>
      </c>
      <c r="J1299" s="10" t="n">
        <v>135000</v>
      </c>
      <c r="K1299" s="10" t="n">
        <v>135000</v>
      </c>
    </row>
    <row r="1300">
      <c r="A1300" s="10" t="inlineStr">
        <is>
          <t>INV-70784</t>
        </is>
      </c>
      <c r="B1300" s="10" t="inlineStr">
        <is>
          <t>2025-04-13</t>
        </is>
      </c>
      <c r="C1300" s="10" t="inlineStr">
        <is>
          <t>C1221</t>
        </is>
      </c>
      <c r="D1300" s="10" t="inlineStr">
        <is>
          <t>regular</t>
        </is>
      </c>
      <c r="E1300" s="10" t="inlineStr">
        <is>
          <t>Tokopedia</t>
        </is>
      </c>
      <c r="F1300" s="10" t="inlineStr">
        <is>
          <t>Jawa Timur</t>
        </is>
      </c>
      <c r="G1300" s="10" t="inlineStr">
        <is>
          <t>Rumah Tangga</t>
        </is>
      </c>
      <c r="H1300" s="10" t="inlineStr">
        <is>
          <t>Set Wadah Kedap</t>
        </is>
      </c>
      <c r="I1300" s="10" t="n">
        <v>2</v>
      </c>
      <c r="J1300" s="10" t="n">
        <v>135000</v>
      </c>
      <c r="K1300" s="10" t="n">
        <v>270000</v>
      </c>
    </row>
    <row r="1301">
      <c r="A1301" s="10" t="inlineStr">
        <is>
          <t>INV-70353</t>
        </is>
      </c>
      <c r="B1301" s="10" t="inlineStr">
        <is>
          <t>2025-07-16</t>
        </is>
      </c>
      <c r="C1301" s="10" t="inlineStr">
        <is>
          <t>C1096</t>
        </is>
      </c>
      <c r="D1301" s="10" t="inlineStr">
        <is>
          <t>occasional</t>
        </is>
      </c>
      <c r="E1301" s="10" t="inlineStr">
        <is>
          <t>TIKTOK SHOP</t>
        </is>
      </c>
      <c r="F1301" s="10" t="inlineStr">
        <is>
          <t>Jawa Barat</t>
        </is>
      </c>
      <c r="G1301" s="10" t="inlineStr">
        <is>
          <t>Rumah Tangga</t>
        </is>
      </c>
      <c r="H1301" s="10" t="inlineStr">
        <is>
          <t>Organizer Laci</t>
        </is>
      </c>
      <c r="I1301" s="10" t="n">
        <v>2</v>
      </c>
      <c r="J1301" s="10" t="n">
        <v>78000</v>
      </c>
      <c r="K1301" s="10" t="n">
        <v>156000</v>
      </c>
    </row>
    <row r="1302">
      <c r="A1302" s="10" t="inlineStr">
        <is>
          <t>INV-71149</t>
        </is>
      </c>
      <c r="B1302" s="10" t="inlineStr">
        <is>
          <t>23/03/2026</t>
        </is>
      </c>
      <c r="C1302" s="10" t="inlineStr">
        <is>
          <t>C1326</t>
        </is>
      </c>
      <c r="D1302" s="10" t="inlineStr">
        <is>
          <t>loyal</t>
        </is>
      </c>
      <c r="E1302" s="10" t="inlineStr">
        <is>
          <t>shopee</t>
        </is>
      </c>
      <c r="F1302" s="10" t="inlineStr">
        <is>
          <t>Jabodetabek</t>
        </is>
      </c>
      <c r="G1302" s="10" t="inlineStr">
        <is>
          <t>rumah tangga</t>
        </is>
      </c>
      <c r="H1302" s="10" t="inlineStr">
        <is>
          <t>Set Wadah Kedap</t>
        </is>
      </c>
      <c r="I1302" s="10" t="n">
        <v>4</v>
      </c>
      <c r="J1302" s="10" t="n">
        <v>135000</v>
      </c>
      <c r="K1302" s="10" t="inlineStr">
        <is>
          <t>Rp 540.000</t>
        </is>
      </c>
    </row>
    <row r="1303">
      <c r="A1303" s="10" t="inlineStr">
        <is>
          <t>INV-70982</t>
        </is>
      </c>
      <c r="B1303" s="10" t="inlineStr">
        <is>
          <t>08 Oct 2025</t>
        </is>
      </c>
      <c r="C1303" s="10" t="inlineStr">
        <is>
          <t>C1282</t>
        </is>
      </c>
      <c r="D1303" s="10" t="inlineStr">
        <is>
          <t>occasional</t>
        </is>
      </c>
      <c r="E1303" s="10" t="inlineStr">
        <is>
          <t>Shopee</t>
        </is>
      </c>
      <c r="F1303" s="10" t="inlineStr">
        <is>
          <t>Jabodetabek</t>
        </is>
      </c>
      <c r="G1303" s="10" t="inlineStr">
        <is>
          <t>Rumah Tangga</t>
        </is>
      </c>
      <c r="H1303" s="10" t="inlineStr">
        <is>
          <t>Set Wadah Kedap</t>
        </is>
      </c>
      <c r="I1303" s="10" t="n">
        <v>1</v>
      </c>
      <c r="J1303" s="10" t="n">
        <v>135000</v>
      </c>
      <c r="K1303" s="10" t="n">
        <v>135000</v>
      </c>
    </row>
    <row r="1304">
      <c r="A1304" s="10" t="inlineStr">
        <is>
          <t>INV-71044</t>
        </is>
      </c>
      <c r="B1304" s="10" t="inlineStr">
        <is>
          <t>2025-01-05</t>
        </is>
      </c>
      <c r="C1304" s="10" t="inlineStr">
        <is>
          <t>C1295</t>
        </is>
      </c>
      <c r="D1304" s="10" t="inlineStr">
        <is>
          <t>regular</t>
        </is>
      </c>
      <c r="E1304" s="10" t="inlineStr">
        <is>
          <t>TikTok Shop</t>
        </is>
      </c>
      <c r="F1304" s="10" t="inlineStr">
        <is>
          <t>Jabodetabek</t>
        </is>
      </c>
      <c r="G1304" s="10" t="inlineStr">
        <is>
          <t>Rumah Tangga</t>
        </is>
      </c>
      <c r="H1304" s="10" t="inlineStr">
        <is>
          <t>Set Wadah Kedap</t>
        </is>
      </c>
      <c r="I1304" s="10" t="n">
        <v>3</v>
      </c>
      <c r="J1304" s="10" t="n">
        <v>135000</v>
      </c>
      <c r="K1304" s="10" t="inlineStr">
        <is>
          <t>Rp 405.000</t>
        </is>
      </c>
    </row>
    <row r="1305">
      <c r="A1305" s="10" t="inlineStr">
        <is>
          <t>INV-70355</t>
        </is>
      </c>
      <c r="B1305" s="10" t="inlineStr">
        <is>
          <t>12 Apr 2026</t>
        </is>
      </c>
      <c r="C1305" s="10" t="inlineStr">
        <is>
          <t>C1096</t>
        </is>
      </c>
      <c r="D1305" s="10" t="inlineStr">
        <is>
          <t>occasional</t>
        </is>
      </c>
      <c r="E1305" s="10" t="inlineStr">
        <is>
          <t>Offline Store</t>
        </is>
      </c>
      <c r="F1305" s="10" t="inlineStr">
        <is>
          <t>Sumatera</t>
        </is>
      </c>
      <c r="G1305" s="10" t="inlineStr">
        <is>
          <t>Fashion</t>
        </is>
      </c>
      <c r="H1305" s="10" t="inlineStr">
        <is>
          <t>Dress Casual</t>
        </is>
      </c>
      <c r="I1305" s="10" t="n">
        <v>4</v>
      </c>
      <c r="J1305" s="10" t="n">
        <v>225000</v>
      </c>
      <c r="K1305" s="10" t="n">
        <v>900000</v>
      </c>
    </row>
    <row r="1306">
      <c r="A1306" s="10" t="inlineStr">
        <is>
          <t>INV-71428</t>
        </is>
      </c>
      <c r="B1306" s="10" t="inlineStr">
        <is>
          <t>2025-06-26</t>
        </is>
      </c>
      <c r="C1306" s="10" t="inlineStr">
        <is>
          <t>C1394</t>
        </is>
      </c>
      <c r="D1306" s="10" t="inlineStr">
        <is>
          <t>loyal</t>
        </is>
      </c>
      <c r="E1306" s="10" t="inlineStr">
        <is>
          <t>TikTok Shop</t>
        </is>
      </c>
      <c r="F1306" s="10" t="inlineStr">
        <is>
          <t>Sumatera</t>
        </is>
      </c>
      <c r="G1306" s="10" t="inlineStr">
        <is>
          <t>rumah tangga</t>
        </is>
      </c>
      <c r="H1306" s="10" t="inlineStr">
        <is>
          <t>Set Wadah Kedap</t>
        </is>
      </c>
      <c r="I1306" s="10" t="n">
        <v>4</v>
      </c>
      <c r="J1306" s="10" t="n">
        <v>135000</v>
      </c>
      <c r="K1306" s="10" t="n">
        <v>540000</v>
      </c>
    </row>
    <row r="1307">
      <c r="A1307" s="10" t="inlineStr">
        <is>
          <t>INV-71242</t>
        </is>
      </c>
      <c r="B1307" s="10" t="inlineStr">
        <is>
          <t>05 Aug 2025</t>
        </is>
      </c>
      <c r="C1307" s="10" t="inlineStr">
        <is>
          <t>C1349</t>
        </is>
      </c>
      <c r="D1307" s="10" t="inlineStr">
        <is>
          <t>champion</t>
        </is>
      </c>
      <c r="E1307" s="10" t="inlineStr">
        <is>
          <t>Tokopedia</t>
        </is>
      </c>
      <c r="F1307" s="10" t="inlineStr">
        <is>
          <t>Jawa Barat</t>
        </is>
      </c>
      <c r="G1307" s="10" t="inlineStr">
        <is>
          <t>Elektronik</t>
        </is>
      </c>
      <c r="H1307" s="10" t="inlineStr">
        <is>
          <t>Webcam HD</t>
        </is>
      </c>
      <c r="I1307" s="10" t="n">
        <v>3</v>
      </c>
      <c r="J1307" s="10" t="n">
        <v>210000</v>
      </c>
      <c r="K1307" s="10" t="n">
        <v>630000</v>
      </c>
    </row>
    <row r="1308">
      <c r="A1308" s="10" t="inlineStr">
        <is>
          <t>INV-71503</t>
        </is>
      </c>
      <c r="B1308" s="10" t="inlineStr">
        <is>
          <t>2025-04-07</t>
        </is>
      </c>
      <c r="C1308" s="10" t="inlineStr">
        <is>
          <t>C1412</t>
        </is>
      </c>
      <c r="D1308" s="10" t="inlineStr">
        <is>
          <t>champion</t>
        </is>
      </c>
      <c r="E1308" s="10" t="inlineStr">
        <is>
          <t>Offline Store</t>
        </is>
      </c>
      <c r="F1308" s="10" t="inlineStr">
        <is>
          <t>Jabodetabek</t>
        </is>
      </c>
      <c r="G1308" s="10" t="inlineStr">
        <is>
          <t>Elektronik</t>
        </is>
      </c>
      <c r="H1308" s="10" t="inlineStr">
        <is>
          <t>Keyboard Mekanik</t>
        </is>
      </c>
      <c r="I1308" s="10" t="n">
        <v>3</v>
      </c>
      <c r="J1308" s="10" t="n">
        <v>380000</v>
      </c>
      <c r="K1308" s="10" t="n">
        <v>1140000</v>
      </c>
    </row>
    <row r="1309">
      <c r="A1309" s="10" t="inlineStr">
        <is>
          <t>INV-70023</t>
        </is>
      </c>
      <c r="B1309" s="10" t="inlineStr">
        <is>
          <t>2026-03-25</t>
        </is>
      </c>
      <c r="C1309" s="10" t="inlineStr">
        <is>
          <t>C1004</t>
        </is>
      </c>
      <c r="D1309" s="10" t="inlineStr">
        <is>
          <t>loyal</t>
        </is>
      </c>
      <c r="E1309" s="10" t="inlineStr">
        <is>
          <t>shopee</t>
        </is>
      </c>
      <c r="F1309" s="10" t="inlineStr">
        <is>
          <t>Sumatera</t>
        </is>
      </c>
      <c r="G1309" s="10" t="inlineStr">
        <is>
          <t>Rumah Tangga</t>
        </is>
      </c>
      <c r="H1309" s="10" t="inlineStr">
        <is>
          <t>Set Wadah Kedap</t>
        </is>
      </c>
      <c r="I1309" s="10" t="n">
        <v>4</v>
      </c>
      <c r="J1309" s="10" t="n">
        <v>135000</v>
      </c>
      <c r="K1309" s="10" t="inlineStr">
        <is>
          <t>Rp 540.000</t>
        </is>
      </c>
    </row>
    <row r="1310">
      <c r="A1310" s="10" t="inlineStr">
        <is>
          <t>INV-70062</t>
        </is>
      </c>
      <c r="B1310" s="10" t="inlineStr">
        <is>
          <t>2025-12-04</t>
        </is>
      </c>
      <c r="C1310" s="10" t="inlineStr">
        <is>
          <t>C1017</t>
        </is>
      </c>
      <c r="D1310" s="10" t="inlineStr">
        <is>
          <t>loyal</t>
        </is>
      </c>
      <c r="E1310" s="10" t="inlineStr">
        <is>
          <t>tiktok shop</t>
        </is>
      </c>
      <c r="F1310" s="10" t="inlineStr">
        <is>
          <t>Jabodetabek</t>
        </is>
      </c>
      <c r="G1310" s="10" t="inlineStr">
        <is>
          <t>Rumah Tangga</t>
        </is>
      </c>
      <c r="H1310" s="10" t="inlineStr">
        <is>
          <t>Set Wadah Kedap</t>
        </is>
      </c>
      <c r="I1310" s="10" t="n">
        <v>2</v>
      </c>
      <c r="J1310" s="10" t="n">
        <v>135000</v>
      </c>
      <c r="K1310" s="10" t="n">
        <v>270000</v>
      </c>
    </row>
    <row r="1311">
      <c r="A1311" s="10" t="inlineStr">
        <is>
          <t>INV-71554</t>
        </is>
      </c>
      <c r="B1311" s="10" t="inlineStr">
        <is>
          <t>2025-05-07</t>
        </is>
      </c>
      <c r="C1311" s="10" t="inlineStr">
        <is>
          <t>C1428</t>
        </is>
      </c>
      <c r="D1311" s="10" t="inlineStr">
        <is>
          <t>loyal</t>
        </is>
      </c>
      <c r="E1311" s="10" t="inlineStr">
        <is>
          <t>Offline Store</t>
        </is>
      </c>
      <c r="F1311" s="10" t="inlineStr">
        <is>
          <t>Jabodetabek</t>
        </is>
      </c>
      <c r="G1311" s="10" t="inlineStr">
        <is>
          <t>rumah tangga</t>
        </is>
      </c>
      <c r="H1311" s="10" t="inlineStr">
        <is>
          <t>Diffuser Aroma</t>
        </is>
      </c>
      <c r="I1311" s="10" t="n">
        <v>2</v>
      </c>
      <c r="J1311" s="10" t="n">
        <v>195000</v>
      </c>
      <c r="K1311" s="10" t="n">
        <v>390000</v>
      </c>
    </row>
    <row r="1312">
      <c r="A1312" s="10" t="inlineStr">
        <is>
          <t>INV-70425</t>
        </is>
      </c>
      <c r="B1312" s="10" t="inlineStr">
        <is>
          <t>2025-03-20</t>
        </is>
      </c>
      <c r="C1312" s="10" t="inlineStr">
        <is>
          <t>C1119</t>
        </is>
      </c>
      <c r="D1312" s="10" t="inlineStr">
        <is>
          <t>regular</t>
        </is>
      </c>
      <c r="E1312" s="10" t="inlineStr">
        <is>
          <t>Tokopedia</t>
        </is>
      </c>
      <c r="F1312" s="10" t="inlineStr">
        <is>
          <t>Jabodetabek</t>
        </is>
      </c>
      <c r="G1312" s="10" t="inlineStr">
        <is>
          <t>Rumah Tangga</t>
        </is>
      </c>
      <c r="H1312" s="10" t="inlineStr">
        <is>
          <t>Set Wadah Kedap</t>
        </is>
      </c>
      <c r="I1312" s="10" t="n">
        <v>3</v>
      </c>
      <c r="J1312" s="10" t="n">
        <v>135000</v>
      </c>
      <c r="K1312" s="10" t="inlineStr">
        <is>
          <t>Rp 405.000</t>
        </is>
      </c>
    </row>
    <row r="1313">
      <c r="A1313" s="10" t="inlineStr">
        <is>
          <t>INV-70851</t>
        </is>
      </c>
      <c r="B1313" s="10" t="inlineStr">
        <is>
          <t>2025-08-20</t>
        </is>
      </c>
      <c r="C1313" s="10" t="inlineStr">
        <is>
          <t>C1239</t>
        </is>
      </c>
      <c r="D1313" s="10" t="inlineStr">
        <is>
          <t>onetime</t>
        </is>
      </c>
      <c r="E1313" s="10" t="inlineStr">
        <is>
          <t>Offline Store</t>
        </is>
      </c>
      <c r="F1313" s="10" t="inlineStr">
        <is>
          <t>Jabodetabek</t>
        </is>
      </c>
      <c r="G1313" s="10" t="inlineStr">
        <is>
          <t>Rumah Tangga</t>
        </is>
      </c>
      <c r="H1313" s="10" t="inlineStr">
        <is>
          <t>Organizer Laci</t>
        </is>
      </c>
      <c r="I1313" s="10" t="n">
        <v>1</v>
      </c>
      <c r="J1313" s="10" t="n">
        <v>78000</v>
      </c>
      <c r="K1313" s="10" t="n">
        <v>78000</v>
      </c>
    </row>
    <row r="1314">
      <c r="A1314" s="10" t="inlineStr">
        <is>
          <t>INV-70174</t>
        </is>
      </c>
      <c r="B1314" s="10" t="inlineStr">
        <is>
          <t>2026-03-16</t>
        </is>
      </c>
      <c r="C1314" s="10" t="inlineStr">
        <is>
          <t>C1049</t>
        </is>
      </c>
      <c r="D1314" s="10" t="inlineStr">
        <is>
          <t>champion</t>
        </is>
      </c>
      <c r="E1314" s="10" t="inlineStr">
        <is>
          <t>Shopee</t>
        </is>
      </c>
      <c r="F1314" s="10" t="inlineStr">
        <is>
          <t>Jawa Barat</t>
        </is>
      </c>
      <c r="G1314" s="10" t="inlineStr">
        <is>
          <t>Makanan</t>
        </is>
      </c>
      <c r="H1314" s="10" t="inlineStr">
        <is>
          <t>Granola 500g</t>
        </is>
      </c>
      <c r="I1314" s="10" t="n">
        <v>1</v>
      </c>
      <c r="J1314" s="10" t="n">
        <v>92000</v>
      </c>
      <c r="K1314" s="10" t="n">
        <v>92000</v>
      </c>
    </row>
    <row r="1315">
      <c r="A1315" s="10" t="inlineStr">
        <is>
          <t>INV-70285</t>
        </is>
      </c>
      <c r="B1315" s="10" t="inlineStr">
        <is>
          <t>2025-11-27</t>
        </is>
      </c>
      <c r="C1315" s="10" t="inlineStr">
        <is>
          <t>C1080</t>
        </is>
      </c>
      <c r="D1315" s="10" t="inlineStr">
        <is>
          <t>regular</t>
        </is>
      </c>
      <c r="E1315" s="10" t="inlineStr">
        <is>
          <t>Tokopedia</t>
        </is>
      </c>
      <c r="F1315" s="10" t="inlineStr">
        <is>
          <t>Jawa Tengah</t>
        </is>
      </c>
      <c r="G1315" s="10" t="inlineStr">
        <is>
          <t>Rumah Tangga</t>
        </is>
      </c>
      <c r="H1315" s="10" t="inlineStr">
        <is>
          <t>Set Wadah Kedap</t>
        </is>
      </c>
      <c r="I1315" s="10" t="n">
        <v>2</v>
      </c>
      <c r="J1315" s="10" t="n">
        <v>135000</v>
      </c>
      <c r="K1315" s="10" t="n">
        <v>270000</v>
      </c>
    </row>
    <row r="1316">
      <c r="A1316" s="10" t="inlineStr">
        <is>
          <t>INV-71359</t>
        </is>
      </c>
      <c r="B1316" s="10" t="inlineStr">
        <is>
          <t>2026-02-08</t>
        </is>
      </c>
      <c r="C1316" s="10" t="inlineStr">
        <is>
          <t>C1376</t>
        </is>
      </c>
      <c r="D1316" s="10" t="inlineStr">
        <is>
          <t>onetime</t>
        </is>
      </c>
      <c r="E1316" s="10" t="inlineStr">
        <is>
          <t>offline store</t>
        </is>
      </c>
      <c r="F1316" s="10" t="inlineStr">
        <is>
          <t>Jabodetabek</t>
        </is>
      </c>
      <c r="G1316" s="10" t="inlineStr">
        <is>
          <t>elektronik</t>
        </is>
      </c>
      <c r="H1316" s="10" t="inlineStr">
        <is>
          <t>Power Bank 20K</t>
        </is>
      </c>
      <c r="I1316" s="10" t="n">
        <v>2</v>
      </c>
      <c r="J1316" s="10" t="n">
        <v>185000</v>
      </c>
      <c r="K1316" s="10" t="n">
        <v>370000</v>
      </c>
    </row>
    <row r="1317">
      <c r="A1317" s="10" t="inlineStr">
        <is>
          <t>INV-71260</t>
        </is>
      </c>
      <c r="B1317" s="10" t="inlineStr">
        <is>
          <t>2026-01-13</t>
        </is>
      </c>
      <c r="C1317" s="10" t="inlineStr">
        <is>
          <t>C1357</t>
        </is>
      </c>
      <c r="D1317" s="10" t="inlineStr">
        <is>
          <t>onetime</t>
        </is>
      </c>
      <c r="E1317" s="10" t="inlineStr">
        <is>
          <t>Shopee</t>
        </is>
      </c>
      <c r="F1317" s="10" t="inlineStr">
        <is>
          <t>Jabodetabek</t>
        </is>
      </c>
      <c r="G1317" s="10" t="inlineStr">
        <is>
          <t>Fashion</t>
        </is>
      </c>
      <c r="H1317" s="10" t="inlineStr">
        <is>
          <t>Dress Casual</t>
        </is>
      </c>
      <c r="I1317" s="10" t="n">
        <v>4</v>
      </c>
      <c r="J1317" s="10" t="n">
        <v>225000</v>
      </c>
      <c r="K1317" s="10" t="n">
        <v>900000</v>
      </c>
    </row>
    <row r="1318">
      <c r="A1318" s="10" t="inlineStr">
        <is>
          <t>INV-70793</t>
        </is>
      </c>
      <c r="B1318" s="10" t="inlineStr">
        <is>
          <t>2025-04-26</t>
        </is>
      </c>
      <c r="C1318" s="10" t="inlineStr">
        <is>
          <t>C1222</t>
        </is>
      </c>
      <c r="D1318" s="10" t="inlineStr">
        <is>
          <t>loyal</t>
        </is>
      </c>
      <c r="E1318" s="10" t="inlineStr">
        <is>
          <t>offline store</t>
        </is>
      </c>
      <c r="F1318" s="10" t="inlineStr">
        <is>
          <t>Jawa Barat</t>
        </is>
      </c>
      <c r="G1318" s="10" t="inlineStr">
        <is>
          <t>Elektronik</t>
        </is>
      </c>
      <c r="H1318" s="10" t="inlineStr">
        <is>
          <t>Smartwatch</t>
        </is>
      </c>
      <c r="I1318" s="10" t="n">
        <v>2</v>
      </c>
      <c r="J1318" s="10" t="n">
        <v>450000</v>
      </c>
      <c r="K1318" s="10" t="n">
        <v>900000</v>
      </c>
    </row>
    <row r="1319">
      <c r="A1319" s="10" t="inlineStr">
        <is>
          <t>INV-70828</t>
        </is>
      </c>
      <c r="B1319" s="10" t="inlineStr">
        <is>
          <t>06 Dec 2025</t>
        </is>
      </c>
      <c r="C1319" s="10" t="inlineStr">
        <is>
          <t>C1234</t>
        </is>
      </c>
      <c r="D1319" s="10" t="inlineStr">
        <is>
          <t>loyal</t>
        </is>
      </c>
      <c r="E1319" s="10" t="inlineStr">
        <is>
          <t>TikTok Shop</t>
        </is>
      </c>
      <c r="F1319" s="10" t="inlineStr">
        <is>
          <t>Jawa Tengah</t>
        </is>
      </c>
      <c r="G1319" s="10" t="inlineStr">
        <is>
          <t>Rumah Tangga</t>
        </is>
      </c>
      <c r="H1319" s="10" t="inlineStr">
        <is>
          <t>Set Wadah Kedap</t>
        </is>
      </c>
      <c r="I1319" s="10" t="n">
        <v>2</v>
      </c>
      <c r="J1319" s="10" t="n">
        <v>135000</v>
      </c>
      <c r="K1319" s="10" t="n">
        <v>270000</v>
      </c>
    </row>
    <row r="1320">
      <c r="A1320" s="10" t="inlineStr">
        <is>
          <t>INV-70958</t>
        </is>
      </c>
      <c r="B1320" s="10" t="inlineStr">
        <is>
          <t>2025-07-15</t>
        </is>
      </c>
      <c r="C1320" s="10" t="inlineStr">
        <is>
          <t>C1272</t>
        </is>
      </c>
      <c r="D1320" s="10" t="inlineStr">
        <is>
          <t>regular</t>
        </is>
      </c>
      <c r="E1320" s="10" t="inlineStr">
        <is>
          <t>Shopee</t>
        </is>
      </c>
      <c r="F1320" s="10" t="inlineStr">
        <is>
          <t>Jabodetabek</t>
        </is>
      </c>
      <c r="G1320" s="10" t="inlineStr">
        <is>
          <t>Elektronik</t>
        </is>
      </c>
      <c r="H1320" s="10" t="inlineStr">
        <is>
          <t>Power Bank 20K</t>
        </is>
      </c>
      <c r="I1320" s="10" t="n">
        <v>1</v>
      </c>
      <c r="J1320" s="10" t="n">
        <v>185000</v>
      </c>
      <c r="K1320" s="10" t="n">
        <v>185000</v>
      </c>
    </row>
    <row r="1321">
      <c r="A1321" s="10" t="inlineStr">
        <is>
          <t>INV-70789</t>
        </is>
      </c>
      <c r="B1321" s="10" t="inlineStr">
        <is>
          <t>2025-12-22</t>
        </is>
      </c>
      <c r="C1321" s="10" t="inlineStr">
        <is>
          <t>C1222</t>
        </is>
      </c>
      <c r="D1321" s="10" t="inlineStr">
        <is>
          <t>loyal</t>
        </is>
      </c>
      <c r="E1321" s="10" t="inlineStr">
        <is>
          <t>Shopee</t>
        </is>
      </c>
      <c r="F1321" s="10" t="inlineStr">
        <is>
          <t>Jabodetabek</t>
        </is>
      </c>
      <c r="G1321" s="10" t="inlineStr">
        <is>
          <t>Kecantikan</t>
        </is>
      </c>
      <c r="H1321" s="10" t="inlineStr">
        <is>
          <t>Masker Wajah (5s)</t>
        </is>
      </c>
      <c r="I1321" s="10" t="n">
        <v>1</v>
      </c>
      <c r="J1321" s="10" t="n">
        <v>55000</v>
      </c>
      <c r="K1321" s="10" t="n">
        <v>55000</v>
      </c>
    </row>
    <row r="1322">
      <c r="A1322" s="10" t="inlineStr">
        <is>
          <t>INV-70665</t>
        </is>
      </c>
      <c r="B1322" s="10" t="inlineStr">
        <is>
          <t>26 Jan 2025</t>
        </is>
      </c>
      <c r="C1322" s="10" t="inlineStr">
        <is>
          <t>C1182</t>
        </is>
      </c>
      <c r="D1322" s="10" t="inlineStr">
        <is>
          <t>occasional</t>
        </is>
      </c>
      <c r="E1322" s="10" t="inlineStr">
        <is>
          <t>Offline Store</t>
        </is>
      </c>
      <c r="F1322" s="10" t="inlineStr">
        <is>
          <t>Lainnya</t>
        </is>
      </c>
      <c r="G1322" s="10" t="inlineStr">
        <is>
          <t>Rumah Tangga</t>
        </is>
      </c>
      <c r="H1322" s="10" t="inlineStr">
        <is>
          <t>Set Wadah Kedap</t>
        </is>
      </c>
      <c r="I1322" s="10" t="n">
        <v>4</v>
      </c>
      <c r="J1322" s="10" t="n">
        <v>135000</v>
      </c>
      <c r="K1322" s="10" t="n">
        <v>540000</v>
      </c>
    </row>
    <row r="1323">
      <c r="A1323" s="10" t="inlineStr">
        <is>
          <t>INV-70666</t>
        </is>
      </c>
      <c r="B1323" s="10" t="inlineStr">
        <is>
          <t>01/07/2025</t>
        </is>
      </c>
      <c r="C1323" s="10" t="inlineStr">
        <is>
          <t>C1183</t>
        </is>
      </c>
      <c r="D1323" s="10" t="inlineStr">
        <is>
          <t>regular</t>
        </is>
      </c>
      <c r="E1323" s="10" t="inlineStr">
        <is>
          <t>Tiktok Shop</t>
        </is>
      </c>
      <c r="F1323" s="10" t="inlineStr">
        <is>
          <t>Jabodetabek</t>
        </is>
      </c>
      <c r="G1323" s="10" t="inlineStr">
        <is>
          <t>rumah tangga</t>
        </is>
      </c>
      <c r="H1323" s="10" t="inlineStr">
        <is>
          <t>Set Wadah Kedap</t>
        </is>
      </c>
      <c r="I1323" s="10" t="n">
        <v>2</v>
      </c>
      <c r="J1323" s="10" t="n">
        <v>135000</v>
      </c>
      <c r="K1323" s="10" t="n">
        <v>270000</v>
      </c>
    </row>
    <row r="1324">
      <c r="A1324" s="10" t="inlineStr">
        <is>
          <t>INV-71093</t>
        </is>
      </c>
      <c r="B1324" s="10" t="inlineStr">
        <is>
          <t>15/12/2025</t>
        </is>
      </c>
      <c r="C1324" s="10" t="inlineStr">
        <is>
          <t>C1306</t>
        </is>
      </c>
      <c r="D1324" s="10" t="inlineStr">
        <is>
          <t>loyal</t>
        </is>
      </c>
      <c r="E1324" s="10" t="inlineStr">
        <is>
          <t xml:space="preserve">Offline store </t>
        </is>
      </c>
      <c r="F1324" s="10" t="inlineStr">
        <is>
          <t>Jabodetabek</t>
        </is>
      </c>
      <c r="G1324" s="10" t="inlineStr">
        <is>
          <t>Rumah Tangga</t>
        </is>
      </c>
      <c r="H1324" s="10" t="inlineStr">
        <is>
          <t>Set Wadah Kedap</t>
        </is>
      </c>
      <c r="I1324" s="10" t="n">
        <v>1</v>
      </c>
      <c r="J1324" s="10" t="n">
        <v>135000</v>
      </c>
      <c r="K1324" s="10" t="n">
        <v>135000</v>
      </c>
    </row>
    <row r="1325">
      <c r="A1325" s="10" t="inlineStr">
        <is>
          <t>INV-70091</t>
        </is>
      </c>
      <c r="B1325" s="10" t="inlineStr">
        <is>
          <t>2025-09-19</t>
        </is>
      </c>
      <c r="C1325" s="10" t="inlineStr">
        <is>
          <t>C1027</t>
        </is>
      </c>
      <c r="D1325" s="10" t="inlineStr">
        <is>
          <t>occasional</t>
        </is>
      </c>
      <c r="E1325" s="10" t="inlineStr">
        <is>
          <t>Offline Store</t>
        </is>
      </c>
      <c r="F1325" s="10" t="inlineStr">
        <is>
          <t>Sumatera</t>
        </is>
      </c>
      <c r="G1325" s="10" t="inlineStr">
        <is>
          <t>Kecantikan</t>
        </is>
      </c>
      <c r="H1325" s="10" t="inlineStr">
        <is>
          <t>Masker Wajah (5s)</t>
        </is>
      </c>
      <c r="I1325" s="10" t="n">
        <v>2</v>
      </c>
      <c r="J1325" s="10" t="n">
        <v>55000</v>
      </c>
      <c r="K1325" s="10" t="inlineStr">
        <is>
          <t>Rp 110.000</t>
        </is>
      </c>
    </row>
    <row r="1326">
      <c r="A1326" s="10" t="inlineStr">
        <is>
          <t>INV-71466</t>
        </is>
      </c>
      <c r="B1326" s="10" t="inlineStr">
        <is>
          <t>2025-10-18</t>
        </is>
      </c>
      <c r="C1326" s="10" t="inlineStr">
        <is>
          <t>C1405</t>
        </is>
      </c>
      <c r="D1326" s="10" t="inlineStr">
        <is>
          <t>regular</t>
        </is>
      </c>
      <c r="E1326" s="10" t="inlineStr">
        <is>
          <t>Shopee</t>
        </is>
      </c>
      <c r="F1326" s="10" t="inlineStr">
        <is>
          <t>Jabodetabek</t>
        </is>
      </c>
      <c r="G1326" s="10" t="inlineStr">
        <is>
          <t>Rumah Tangga</t>
        </is>
      </c>
      <c r="H1326" s="10" t="inlineStr">
        <is>
          <t>Set Wadah Kedap</t>
        </is>
      </c>
      <c r="I1326" s="10" t="n">
        <v>2</v>
      </c>
      <c r="J1326" s="10" t="n">
        <v>135000</v>
      </c>
      <c r="K1326" s="10" t="inlineStr">
        <is>
          <t>Rp 270.000</t>
        </is>
      </c>
    </row>
    <row r="1327">
      <c r="A1327" s="10" t="inlineStr">
        <is>
          <t>INV-71076</t>
        </is>
      </c>
      <c r="B1327" s="10" t="inlineStr">
        <is>
          <t>2025-02-17</t>
        </is>
      </c>
      <c r="C1327" s="10" t="inlineStr">
        <is>
          <t>C1302</t>
        </is>
      </c>
      <c r="D1327" s="10" t="inlineStr">
        <is>
          <t>champion</t>
        </is>
      </c>
      <c r="E1327" s="10" t="inlineStr">
        <is>
          <t>shopee</t>
        </is>
      </c>
      <c r="F1327" s="10" t="inlineStr">
        <is>
          <t>Jawa Barat</t>
        </is>
      </c>
      <c r="G1327" s="10" t="inlineStr">
        <is>
          <t>elektronik</t>
        </is>
      </c>
      <c r="H1327" s="10" t="inlineStr">
        <is>
          <t>Smartwatch</t>
        </is>
      </c>
      <c r="I1327" s="10" t="n">
        <v>1</v>
      </c>
      <c r="J1327" s="10" t="n">
        <v>450000</v>
      </c>
      <c r="K1327" s="10" t="inlineStr">
        <is>
          <t>Rp 450.000</t>
        </is>
      </c>
    </row>
    <row r="1328">
      <c r="A1328" s="10" t="inlineStr">
        <is>
          <t>INV-70378</t>
        </is>
      </c>
      <c r="B1328" s="10" t="inlineStr">
        <is>
          <t>2026-03-18</t>
        </is>
      </c>
      <c r="C1328" s="10" t="inlineStr">
        <is>
          <t>C1110</t>
        </is>
      </c>
      <c r="D1328" s="10" t="inlineStr">
        <is>
          <t>loyal</t>
        </is>
      </c>
      <c r="E1328" s="10" t="inlineStr">
        <is>
          <t>Offline Store</t>
        </is>
      </c>
      <c r="F1328" s="10" t="inlineStr">
        <is>
          <t>Jabodetabek</t>
        </is>
      </c>
      <c r="G1328" s="10" t="inlineStr">
        <is>
          <t>Kecantikan</t>
        </is>
      </c>
      <c r="H1328" s="10" t="inlineStr">
        <is>
          <t>Masker Wajah (5s)</t>
        </is>
      </c>
      <c r="I1328" s="10" t="n">
        <v>1</v>
      </c>
      <c r="J1328" s="10" t="n">
        <v>55000</v>
      </c>
      <c r="K1328" s="10" t="n">
        <v>55000</v>
      </c>
    </row>
    <row r="1329">
      <c r="A1329" s="10" t="inlineStr">
        <is>
          <t>INV-71528</t>
        </is>
      </c>
      <c r="B1329" s="10" t="inlineStr">
        <is>
          <t>2025-09-21</t>
        </is>
      </c>
      <c r="C1329" s="10" t="inlineStr">
        <is>
          <t>C1419</t>
        </is>
      </c>
      <c r="D1329" s="10" t="inlineStr">
        <is>
          <t>loyal</t>
        </is>
      </c>
      <c r="E1329" s="10" t="inlineStr">
        <is>
          <t>Tokopedia</t>
        </is>
      </c>
      <c r="F1329" s="10" t="inlineStr">
        <is>
          <t>Lainnya</t>
        </is>
      </c>
      <c r="G1329" s="10" t="inlineStr">
        <is>
          <t>fashion</t>
        </is>
      </c>
      <c r="H1329" s="10" t="inlineStr">
        <is>
          <t>Dress Casual</t>
        </is>
      </c>
      <c r="I1329" s="10" t="n">
        <v>1</v>
      </c>
      <c r="J1329" s="10" t="n">
        <v>225000</v>
      </c>
      <c r="K1329" s="10" t="inlineStr">
        <is>
          <t>Rp 225.000</t>
        </is>
      </c>
    </row>
    <row r="1330">
      <c r="A1330" s="10" t="inlineStr">
        <is>
          <t>INV-70858</t>
        </is>
      </c>
      <c r="B1330" s="10" t="inlineStr">
        <is>
          <t>27 Dec 2025</t>
        </is>
      </c>
      <c r="C1330" s="10" t="inlineStr">
        <is>
          <t>C1240</t>
        </is>
      </c>
      <c r="D1330" s="10" t="inlineStr">
        <is>
          <t>loyal</t>
        </is>
      </c>
      <c r="E1330" s="10" t="inlineStr">
        <is>
          <t>Shopee</t>
        </is>
      </c>
      <c r="F1330" s="10" t="n"/>
      <c r="G1330" s="10" t="inlineStr">
        <is>
          <t>Fashion</t>
        </is>
      </c>
      <c r="H1330" s="10" t="inlineStr">
        <is>
          <t>Celana Chino</t>
        </is>
      </c>
      <c r="I1330" s="10" t="n">
        <v>1</v>
      </c>
      <c r="J1330" s="10" t="n">
        <v>195000</v>
      </c>
      <c r="K1330" s="10" t="inlineStr">
        <is>
          <t>Rp 195.000</t>
        </is>
      </c>
    </row>
    <row r="1331">
      <c r="A1331" s="10" t="inlineStr">
        <is>
          <t>INV-71035</t>
        </is>
      </c>
      <c r="B1331" s="10" t="inlineStr">
        <is>
          <t>2025-07-14</t>
        </is>
      </c>
      <c r="C1331" s="10" t="inlineStr">
        <is>
          <t>C1294</t>
        </is>
      </c>
      <c r="D1331" s="10" t="inlineStr">
        <is>
          <t>loyal</t>
        </is>
      </c>
      <c r="E1331" s="10" t="inlineStr">
        <is>
          <t xml:space="preserve">Offline store </t>
        </is>
      </c>
      <c r="F1331" s="10" t="inlineStr">
        <is>
          <t>Jawa Tengah</t>
        </is>
      </c>
      <c r="G1331" s="10" t="inlineStr">
        <is>
          <t>Rumah Tangga</t>
        </is>
      </c>
      <c r="H1331" s="10" t="inlineStr">
        <is>
          <t>Organizer Laci</t>
        </is>
      </c>
      <c r="I1331" s="10" t="n">
        <v>1</v>
      </c>
      <c r="J1331" s="10" t="n">
        <v>78000</v>
      </c>
      <c r="K1331" s="10" t="inlineStr">
        <is>
          <t>Rp 78.000</t>
        </is>
      </c>
    </row>
    <row r="1332">
      <c r="A1332" s="10" t="inlineStr">
        <is>
          <t>INV-70942</t>
        </is>
      </c>
      <c r="B1332" s="10" t="inlineStr">
        <is>
          <t>03/08/2025</t>
        </is>
      </c>
      <c r="C1332" s="10" t="inlineStr">
        <is>
          <t>C1265</t>
        </is>
      </c>
      <c r="D1332" s="10" t="inlineStr">
        <is>
          <t>loyal</t>
        </is>
      </c>
      <c r="E1332" s="10" t="inlineStr">
        <is>
          <t>TikTok Shop</t>
        </is>
      </c>
      <c r="F1332" s="10" t="inlineStr">
        <is>
          <t>Jabodetabek</t>
        </is>
      </c>
      <c r="G1332" s="10" t="inlineStr">
        <is>
          <t>Makanan</t>
        </is>
      </c>
      <c r="H1332" s="10" t="inlineStr">
        <is>
          <t>Madu Hutan 250ml</t>
        </is>
      </c>
      <c r="I1332" s="10" t="n">
        <v>2</v>
      </c>
      <c r="J1332" s="10" t="n">
        <v>110000</v>
      </c>
      <c r="K1332" s="10" t="n">
        <v>220000</v>
      </c>
    </row>
    <row r="1333">
      <c r="A1333" s="10" t="inlineStr">
        <is>
          <t>INV-71425</t>
        </is>
      </c>
      <c r="B1333" s="10" t="inlineStr">
        <is>
          <t>2025-09-25</t>
        </is>
      </c>
      <c r="C1333" s="10" t="inlineStr">
        <is>
          <t>C1393</t>
        </is>
      </c>
      <c r="D1333" s="10" t="inlineStr">
        <is>
          <t>regular</t>
        </is>
      </c>
      <c r="E1333" s="10" t="inlineStr">
        <is>
          <t>Offline Store</t>
        </is>
      </c>
      <c r="F1333" s="10" t="inlineStr">
        <is>
          <t>Jabodetabek</t>
        </is>
      </c>
      <c r="G1333" s="10" t="inlineStr">
        <is>
          <t>Elektronik</t>
        </is>
      </c>
      <c r="H1333" s="10" t="inlineStr">
        <is>
          <t>Power Bank 20K</t>
        </is>
      </c>
      <c r="I1333" s="10" t="n">
        <v>1</v>
      </c>
      <c r="J1333" s="10" t="n">
        <v>185000</v>
      </c>
      <c r="K1333" s="10" t="n">
        <v>185000</v>
      </c>
    </row>
    <row r="1334">
      <c r="A1334" s="10" t="inlineStr">
        <is>
          <t>INV-70775</t>
        </is>
      </c>
      <c r="B1334" s="10" t="inlineStr">
        <is>
          <t>2026-03-13</t>
        </is>
      </c>
      <c r="C1334" s="10" t="inlineStr">
        <is>
          <t>C1219</t>
        </is>
      </c>
      <c r="D1334" s="10" t="inlineStr">
        <is>
          <t>occasional</t>
        </is>
      </c>
      <c r="E1334" s="10" t="inlineStr">
        <is>
          <t xml:space="preserve">Shopee </t>
        </is>
      </c>
      <c r="F1334" s="10" t="inlineStr">
        <is>
          <t>Jawa Timur</t>
        </is>
      </c>
      <c r="G1334" s="10" t="inlineStr">
        <is>
          <t>elektronik</t>
        </is>
      </c>
      <c r="H1334" s="10" t="inlineStr">
        <is>
          <t>Power Bank 20K</t>
        </is>
      </c>
      <c r="I1334" s="10" t="n">
        <v>2</v>
      </c>
      <c r="J1334" s="10" t="n">
        <v>185000</v>
      </c>
      <c r="K1334" s="10" t="n">
        <v>370000</v>
      </c>
    </row>
    <row r="1335">
      <c r="A1335" s="10" t="inlineStr">
        <is>
          <t>INV-71344</t>
        </is>
      </c>
      <c r="B1335" s="10" t="inlineStr">
        <is>
          <t>2025-08-07</t>
        </is>
      </c>
      <c r="C1335" s="10" t="inlineStr">
        <is>
          <t>C1369</t>
        </is>
      </c>
      <c r="D1335" s="10" t="inlineStr">
        <is>
          <t>loyal</t>
        </is>
      </c>
      <c r="E1335" s="10" t="inlineStr">
        <is>
          <t>tiktok shop</t>
        </is>
      </c>
      <c r="F1335" s="10" t="inlineStr">
        <is>
          <t>Jabodetabek</t>
        </is>
      </c>
      <c r="G1335" s="10" t="inlineStr">
        <is>
          <t>Rumah Tangga</t>
        </is>
      </c>
      <c r="H1335" s="10" t="inlineStr">
        <is>
          <t>Organizer Laci</t>
        </is>
      </c>
      <c r="I1335" s="10" t="n">
        <v>2</v>
      </c>
      <c r="J1335" s="10" t="n">
        <v>78000</v>
      </c>
      <c r="K1335" s="10" t="n">
        <v>156000</v>
      </c>
    </row>
    <row r="1336">
      <c r="A1336" s="10" t="inlineStr">
        <is>
          <t>INV-71015</t>
        </is>
      </c>
      <c r="B1336" s="10" t="inlineStr">
        <is>
          <t>2025-12-18</t>
        </is>
      </c>
      <c r="C1336" s="10" t="inlineStr">
        <is>
          <t>C1289</t>
        </is>
      </c>
      <c r="D1336" s="10" t="inlineStr">
        <is>
          <t>occasional</t>
        </is>
      </c>
      <c r="E1336" s="10" t="inlineStr">
        <is>
          <t>Offline Store</t>
        </is>
      </c>
      <c r="F1336" s="10" t="inlineStr">
        <is>
          <t>Lainnya</t>
        </is>
      </c>
      <c r="G1336" s="10" t="inlineStr">
        <is>
          <t>Rumah Tangga</t>
        </is>
      </c>
      <c r="H1336" s="10" t="inlineStr">
        <is>
          <t>Set Wadah Kedap</t>
        </is>
      </c>
      <c r="I1336" s="10" t="n">
        <v>2</v>
      </c>
      <c r="J1336" s="10" t="n">
        <v>135000</v>
      </c>
      <c r="K1336" s="10" t="n">
        <v>270000</v>
      </c>
    </row>
    <row r="1337">
      <c r="A1337" s="10" t="inlineStr">
        <is>
          <t>INV-70678</t>
        </is>
      </c>
      <c r="B1337" s="10" t="inlineStr">
        <is>
          <t>14 May 2026</t>
        </is>
      </c>
      <c r="C1337" s="10" t="inlineStr">
        <is>
          <t>C1186</t>
        </is>
      </c>
      <c r="D1337" s="10" t="inlineStr">
        <is>
          <t>loyal</t>
        </is>
      </c>
      <c r="E1337" s="10" t="inlineStr">
        <is>
          <t xml:space="preserve">Tokopedia </t>
        </is>
      </c>
      <c r="F1337" s="10" t="inlineStr">
        <is>
          <t>Sumatera</t>
        </is>
      </c>
      <c r="G1337" s="10" t="inlineStr">
        <is>
          <t>Rumah Tangga</t>
        </is>
      </c>
      <c r="H1337" s="10" t="inlineStr">
        <is>
          <t>Set Wadah Kedap</t>
        </is>
      </c>
      <c r="I1337" s="10" t="n">
        <v>1</v>
      </c>
      <c r="J1337" s="10" t="n">
        <v>135000</v>
      </c>
      <c r="K1337" s="10" t="inlineStr">
        <is>
          <t>Rp 135.000</t>
        </is>
      </c>
    </row>
    <row r="1338">
      <c r="A1338" s="10" t="inlineStr">
        <is>
          <t>INV-71218</t>
        </is>
      </c>
      <c r="B1338" s="10" t="inlineStr">
        <is>
          <t>2025-10-09</t>
        </is>
      </c>
      <c r="C1338" s="10" t="inlineStr">
        <is>
          <t>C1346</t>
        </is>
      </c>
      <c r="D1338" s="10" t="inlineStr">
        <is>
          <t>regular</t>
        </is>
      </c>
      <c r="E1338" s="10" t="inlineStr">
        <is>
          <t>Tokopedia</t>
        </is>
      </c>
      <c r="F1338" s="10" t="inlineStr">
        <is>
          <t>Jabodetabek</t>
        </is>
      </c>
      <c r="G1338" s="10" t="inlineStr">
        <is>
          <t>Elektronik</t>
        </is>
      </c>
      <c r="H1338" s="10" t="inlineStr">
        <is>
          <t>Webcam HD</t>
        </is>
      </c>
      <c r="I1338" s="10" t="n">
        <v>3</v>
      </c>
      <c r="J1338" s="10" t="n">
        <v>210000</v>
      </c>
      <c r="K1338" s="10" t="n">
        <v>630000</v>
      </c>
    </row>
    <row r="1339">
      <c r="A1339" s="10" t="inlineStr">
        <is>
          <t>INV-70014</t>
        </is>
      </c>
      <c r="B1339" s="10" t="inlineStr">
        <is>
          <t>23 Oct 2025</t>
        </is>
      </c>
      <c r="C1339" s="10" t="inlineStr">
        <is>
          <t>C1003</t>
        </is>
      </c>
      <c r="D1339" s="10" t="inlineStr">
        <is>
          <t>regular</t>
        </is>
      </c>
      <c r="E1339" s="10" t="inlineStr">
        <is>
          <t>Tokopedia</t>
        </is>
      </c>
      <c r="F1339" s="10" t="inlineStr">
        <is>
          <t>Lainnya</t>
        </is>
      </c>
      <c r="G1339" s="10" t="inlineStr">
        <is>
          <t>Elektronik</t>
        </is>
      </c>
      <c r="H1339" s="10" t="inlineStr">
        <is>
          <t>Power Bank 20K</t>
        </is>
      </c>
      <c r="I1339" s="10" t="n">
        <v>1</v>
      </c>
      <c r="J1339" s="10" t="n">
        <v>185000</v>
      </c>
      <c r="K1339" s="10" t="n">
        <v>185000</v>
      </c>
    </row>
    <row r="1340">
      <c r="A1340" s="10" t="inlineStr">
        <is>
          <t>INV-71394</t>
        </is>
      </c>
      <c r="B1340" s="10" t="inlineStr">
        <is>
          <t>2026-06-25</t>
        </is>
      </c>
      <c r="C1340" s="10" t="inlineStr">
        <is>
          <t>C1386</t>
        </is>
      </c>
      <c r="D1340" s="10" t="inlineStr">
        <is>
          <t>loyal</t>
        </is>
      </c>
      <c r="E1340" s="10" t="inlineStr">
        <is>
          <t>Offline Store</t>
        </is>
      </c>
      <c r="F1340" s="10" t="inlineStr">
        <is>
          <t>Jawa Barat</t>
        </is>
      </c>
      <c r="G1340" s="10" t="inlineStr">
        <is>
          <t>Elektronik</t>
        </is>
      </c>
      <c r="H1340" s="10" t="inlineStr">
        <is>
          <t>Earbuds TWS</t>
        </is>
      </c>
      <c r="I1340" s="10" t="n">
        <v>1</v>
      </c>
      <c r="J1340" s="10" t="n">
        <v>265000</v>
      </c>
      <c r="K1340" s="10" t="n">
        <v>265000</v>
      </c>
    </row>
    <row r="1341">
      <c r="A1341" s="10" t="inlineStr">
        <is>
          <t>INV-70771</t>
        </is>
      </c>
      <c r="B1341" s="10" t="inlineStr">
        <is>
          <t>23 Jun 2026</t>
        </is>
      </c>
      <c r="C1341" s="10" t="inlineStr">
        <is>
          <t>C1215</t>
        </is>
      </c>
      <c r="D1341" s="10" t="inlineStr">
        <is>
          <t>loyal</t>
        </is>
      </c>
      <c r="E1341" s="10" t="inlineStr">
        <is>
          <t>Tokopedia</t>
        </is>
      </c>
      <c r="F1341" s="10" t="inlineStr">
        <is>
          <t>Jabodetabek</t>
        </is>
      </c>
      <c r="G1341" s="10" t="inlineStr">
        <is>
          <t>Kecantikan</t>
        </is>
      </c>
      <c r="H1341" s="10" t="inlineStr">
        <is>
          <t>Sunscreen SPF50</t>
        </is>
      </c>
      <c r="I1341" s="10" t="n">
        <v>2</v>
      </c>
      <c r="J1341" s="10" t="n">
        <v>98000</v>
      </c>
      <c r="K1341" s="10" t="n">
        <v>196000</v>
      </c>
    </row>
    <row r="1342">
      <c r="A1342" s="10" t="inlineStr">
        <is>
          <t>INV-70206</t>
        </is>
      </c>
      <c r="B1342" s="10" t="inlineStr">
        <is>
          <t>21/04/2026</t>
        </is>
      </c>
      <c r="C1342" s="10" t="inlineStr">
        <is>
          <t>C1058</t>
        </is>
      </c>
      <c r="D1342" s="10" t="inlineStr">
        <is>
          <t>regular</t>
        </is>
      </c>
      <c r="E1342" s="10" t="inlineStr">
        <is>
          <t>Tokopedia</t>
        </is>
      </c>
      <c r="F1342" s="10" t="inlineStr">
        <is>
          <t>Jawa Barat</t>
        </is>
      </c>
      <c r="G1342" s="10" t="inlineStr">
        <is>
          <t>Rumah Tangga</t>
        </is>
      </c>
      <c r="H1342" s="10" t="inlineStr">
        <is>
          <t>Set Wadah Kedap</t>
        </is>
      </c>
      <c r="I1342" s="10" t="n">
        <v>4</v>
      </c>
      <c r="J1342" s="10" t="n">
        <v>135000</v>
      </c>
      <c r="K1342" s="10" t="n">
        <v>540000</v>
      </c>
    </row>
    <row r="1343">
      <c r="A1343" s="10" t="inlineStr">
        <is>
          <t>INV-70421</t>
        </is>
      </c>
      <c r="B1343" s="10" t="inlineStr">
        <is>
          <t>2025-04-03</t>
        </is>
      </c>
      <c r="C1343" s="10" t="inlineStr">
        <is>
          <t>C1118</t>
        </is>
      </c>
      <c r="D1343" s="10" t="inlineStr">
        <is>
          <t>onetime</t>
        </is>
      </c>
      <c r="E1343" s="10" t="inlineStr">
        <is>
          <t xml:space="preserve">Shopee </t>
        </is>
      </c>
      <c r="F1343" s="10" t="inlineStr">
        <is>
          <t>Jawa Timur</t>
        </is>
      </c>
      <c r="G1343" s="10" t="inlineStr">
        <is>
          <t>Rumah Tangga</t>
        </is>
      </c>
      <c r="H1343" s="10" t="inlineStr">
        <is>
          <t>Set Wadah Kedap</t>
        </is>
      </c>
      <c r="I1343" s="10" t="n">
        <v>1</v>
      </c>
      <c r="J1343" s="10" t="n">
        <v>135000</v>
      </c>
      <c r="K1343" s="10" t="n">
        <v>135000</v>
      </c>
    </row>
    <row r="1344">
      <c r="A1344" s="10" t="inlineStr">
        <is>
          <t>INV-71248</t>
        </is>
      </c>
      <c r="B1344" s="10" t="inlineStr">
        <is>
          <t>07 Apr 2025</t>
        </is>
      </c>
      <c r="C1344" s="10" t="inlineStr">
        <is>
          <t>C1352</t>
        </is>
      </c>
      <c r="D1344" s="10" t="inlineStr">
        <is>
          <t>loyal</t>
        </is>
      </c>
      <c r="E1344" s="10" t="inlineStr">
        <is>
          <t>Offline Store</t>
        </is>
      </c>
      <c r="F1344" s="10" t="inlineStr">
        <is>
          <t>Jawa Timur</t>
        </is>
      </c>
      <c r="G1344" s="10" t="inlineStr">
        <is>
          <t>Makanan</t>
        </is>
      </c>
      <c r="H1344" s="10" t="inlineStr">
        <is>
          <t>Madu Hutan 250ml</t>
        </is>
      </c>
      <c r="I1344" s="10" t="n">
        <v>3</v>
      </c>
      <c r="J1344" s="10" t="n">
        <v>110000</v>
      </c>
      <c r="K1344" s="10" t="n">
        <v>330000</v>
      </c>
    </row>
    <row r="1345">
      <c r="A1345" s="10" t="inlineStr">
        <is>
          <t>INV-70808</t>
        </is>
      </c>
      <c r="B1345" s="10" t="inlineStr">
        <is>
          <t>2025-08-07</t>
        </is>
      </c>
      <c r="C1345" s="10" t="inlineStr">
        <is>
          <t>C1227</t>
        </is>
      </c>
      <c r="D1345" s="10" t="inlineStr">
        <is>
          <t>occasional</t>
        </is>
      </c>
      <c r="E1345" s="10" t="inlineStr">
        <is>
          <t xml:space="preserve"> tokopedia</t>
        </is>
      </c>
      <c r="F1345" s="10" t="inlineStr">
        <is>
          <t>Jawa Timur</t>
        </is>
      </c>
      <c r="G1345" s="10" t="inlineStr">
        <is>
          <t>Makanan</t>
        </is>
      </c>
      <c r="H1345" s="10" t="inlineStr">
        <is>
          <t>Granola 500g</t>
        </is>
      </c>
      <c r="I1345" s="10" t="n">
        <v>1</v>
      </c>
      <c r="J1345" s="10" t="n">
        <v>92000</v>
      </c>
      <c r="K1345" s="10" t="n">
        <v>92000</v>
      </c>
    </row>
    <row r="1346">
      <c r="A1346" s="10" t="inlineStr">
        <is>
          <t>INV-71423</t>
        </is>
      </c>
      <c r="B1346" s="10" t="inlineStr">
        <is>
          <t>27 May 2026</t>
        </is>
      </c>
      <c r="C1346" s="10" t="inlineStr">
        <is>
          <t>C1393</t>
        </is>
      </c>
      <c r="D1346" s="10" t="inlineStr">
        <is>
          <t>regular</t>
        </is>
      </c>
      <c r="E1346" s="10" t="inlineStr">
        <is>
          <t>TikTok Shop</t>
        </is>
      </c>
      <c r="F1346" s="10" t="inlineStr">
        <is>
          <t>Jabodetabek</t>
        </is>
      </c>
      <c r="G1346" s="10" t="inlineStr">
        <is>
          <t>Kecantikan</t>
        </is>
      </c>
      <c r="H1346" s="10" t="inlineStr">
        <is>
          <t>Masker Wajah (5s)</t>
        </is>
      </c>
      <c r="I1346" s="10" t="n">
        <v>1</v>
      </c>
      <c r="J1346" s="10" t="n">
        <v>55000</v>
      </c>
      <c r="K1346" s="10" t="n">
        <v>55000</v>
      </c>
    </row>
    <row r="1347">
      <c r="A1347" s="10" t="inlineStr">
        <is>
          <t>INV-71476</t>
        </is>
      </c>
      <c r="B1347" s="10" t="inlineStr">
        <is>
          <t>2025-06-07</t>
        </is>
      </c>
      <c r="C1347" s="10" t="inlineStr">
        <is>
          <t>C1408</t>
        </is>
      </c>
      <c r="D1347" s="10" t="inlineStr">
        <is>
          <t>regular</t>
        </is>
      </c>
      <c r="E1347" s="10" t="inlineStr">
        <is>
          <t xml:space="preserve">Shopee </t>
        </is>
      </c>
      <c r="F1347" s="10" t="inlineStr">
        <is>
          <t>Lainnya</t>
        </is>
      </c>
      <c r="G1347" s="10" t="inlineStr">
        <is>
          <t>Elektronik</t>
        </is>
      </c>
      <c r="H1347" s="10" t="inlineStr">
        <is>
          <t>Smartwatch</t>
        </is>
      </c>
      <c r="I1347" s="10" t="n">
        <v>2</v>
      </c>
      <c r="J1347" s="10" t="n">
        <v>450000</v>
      </c>
      <c r="K1347" s="10" t="n">
        <v>900000</v>
      </c>
    </row>
    <row r="1348">
      <c r="A1348" s="10" t="inlineStr">
        <is>
          <t>INV-70672</t>
        </is>
      </c>
      <c r="B1348" s="10" t="inlineStr">
        <is>
          <t>2025-05-27</t>
        </is>
      </c>
      <c r="C1348" s="10" t="inlineStr">
        <is>
          <t>C1184</t>
        </is>
      </c>
      <c r="D1348" s="10" t="inlineStr">
        <is>
          <t>loyal</t>
        </is>
      </c>
      <c r="E1348" s="10" t="inlineStr">
        <is>
          <t>Offline Store</t>
        </is>
      </c>
      <c r="F1348" s="10" t="inlineStr">
        <is>
          <t>Jawa Timur</t>
        </is>
      </c>
      <c r="G1348" s="10" t="inlineStr">
        <is>
          <t>Makanan</t>
        </is>
      </c>
      <c r="H1348" s="10" t="inlineStr">
        <is>
          <t>Granola 500g</t>
        </is>
      </c>
      <c r="I1348" s="10" t="n">
        <v>4</v>
      </c>
      <c r="J1348" s="10" t="n">
        <v>92000</v>
      </c>
      <c r="K1348" s="10" t="inlineStr">
        <is>
          <t>Rp 368.000</t>
        </is>
      </c>
    </row>
    <row r="1349">
      <c r="A1349" s="10" t="inlineStr">
        <is>
          <t>INV-71041</t>
        </is>
      </c>
      <c r="B1349" s="10" t="inlineStr">
        <is>
          <t>18 Apr 2025</t>
        </is>
      </c>
      <c r="C1349" s="10" t="inlineStr">
        <is>
          <t>C1295</t>
        </is>
      </c>
      <c r="D1349" s="10" t="inlineStr">
        <is>
          <t>regular</t>
        </is>
      </c>
      <c r="E1349" s="10" t="inlineStr">
        <is>
          <t>Shopee</t>
        </is>
      </c>
      <c r="F1349" s="10" t="inlineStr">
        <is>
          <t>Jawa Barat</t>
        </is>
      </c>
      <c r="G1349" s="10" t="inlineStr">
        <is>
          <t>Makanan</t>
        </is>
      </c>
      <c r="H1349" s="10" t="inlineStr">
        <is>
          <t>Granola 500g</t>
        </is>
      </c>
      <c r="I1349" s="10" t="n">
        <v>1</v>
      </c>
      <c r="J1349" s="10" t="n">
        <v>92000</v>
      </c>
      <c r="K1349" s="10" t="n">
        <v>92000</v>
      </c>
    </row>
    <row r="1350">
      <c r="A1350" s="10" t="inlineStr">
        <is>
          <t>INV-70956</t>
        </is>
      </c>
      <c r="B1350" s="10" t="inlineStr">
        <is>
          <t>23 May 2025</t>
        </is>
      </c>
      <c r="C1350" s="10" t="inlineStr">
        <is>
          <t>C1271</t>
        </is>
      </c>
      <c r="D1350" s="10" t="inlineStr">
        <is>
          <t>regular</t>
        </is>
      </c>
      <c r="E1350" s="10" t="inlineStr">
        <is>
          <t>Tiktok Shop</t>
        </is>
      </c>
      <c r="F1350" s="10" t="inlineStr">
        <is>
          <t>Jabodetabek</t>
        </is>
      </c>
      <c r="G1350" s="10" t="inlineStr">
        <is>
          <t>Rumah Tangga</t>
        </is>
      </c>
      <c r="H1350" s="10" t="inlineStr">
        <is>
          <t>Organizer Laci</t>
        </is>
      </c>
      <c r="I1350" s="10" t="n">
        <v>1</v>
      </c>
      <c r="J1350" s="10" t="n">
        <v>78000</v>
      </c>
      <c r="K1350" s="10" t="n">
        <v>78000</v>
      </c>
    </row>
    <row r="1351">
      <c r="A1351" s="10" t="inlineStr">
        <is>
          <t>INV-71132</t>
        </is>
      </c>
      <c r="B1351" s="10" t="inlineStr">
        <is>
          <t>2026-06-13</t>
        </is>
      </c>
      <c r="C1351" s="10" t="inlineStr">
        <is>
          <t>C1322</t>
        </is>
      </c>
      <c r="D1351" s="10" t="inlineStr">
        <is>
          <t>loyal</t>
        </is>
      </c>
      <c r="E1351" s="10" t="inlineStr">
        <is>
          <t>Offline Store</t>
        </is>
      </c>
      <c r="F1351" s="10" t="inlineStr">
        <is>
          <t>Jawa Barat</t>
        </is>
      </c>
      <c r="G1351" s="10" t="inlineStr">
        <is>
          <t>rumah tangga</t>
        </is>
      </c>
      <c r="H1351" s="10" t="inlineStr">
        <is>
          <t>Diffuser Aroma</t>
        </is>
      </c>
      <c r="I1351" s="10" t="n">
        <v>2</v>
      </c>
      <c r="J1351" s="10" t="n">
        <v>195000</v>
      </c>
      <c r="K1351" s="10" t="inlineStr">
        <is>
          <t>Rp 390.000</t>
        </is>
      </c>
    </row>
    <row r="1352">
      <c r="A1352" s="10" t="inlineStr">
        <is>
          <t>INV-70432</t>
        </is>
      </c>
      <c r="B1352" s="10" t="inlineStr">
        <is>
          <t>2025-04-12</t>
        </is>
      </c>
      <c r="C1352" s="10" t="inlineStr">
        <is>
          <t>C1122</t>
        </is>
      </c>
      <c r="D1352" s="10" t="inlineStr">
        <is>
          <t>loyal</t>
        </is>
      </c>
      <c r="E1352" s="10" t="inlineStr">
        <is>
          <t>Tokopedia</t>
        </is>
      </c>
      <c r="F1352" s="10" t="inlineStr">
        <is>
          <t>Jawa Tengah</t>
        </is>
      </c>
      <c r="G1352" s="10" t="inlineStr">
        <is>
          <t>Kecantikan</t>
        </is>
      </c>
      <c r="H1352" s="10" t="inlineStr">
        <is>
          <t>Serum Vit C</t>
        </is>
      </c>
      <c r="I1352" s="10" t="n">
        <v>2</v>
      </c>
      <c r="J1352" s="10" t="n">
        <v>145000</v>
      </c>
      <c r="K1352" s="10" t="n">
        <v>290000</v>
      </c>
    </row>
    <row r="1353">
      <c r="A1353" s="10" t="inlineStr">
        <is>
          <t>INV-70634</t>
        </is>
      </c>
      <c r="B1353" s="10" t="inlineStr">
        <is>
          <t>2025-05-23</t>
        </is>
      </c>
      <c r="C1353" s="10" t="inlineStr">
        <is>
          <t>C1173</t>
        </is>
      </c>
      <c r="D1353" s="10" t="inlineStr">
        <is>
          <t>loyal</t>
        </is>
      </c>
      <c r="E1353" s="10" t="inlineStr">
        <is>
          <t xml:space="preserve">Shopee </t>
        </is>
      </c>
      <c r="F1353" s="10" t="inlineStr">
        <is>
          <t>Jawa Tengah</t>
        </is>
      </c>
      <c r="G1353" s="10" t="inlineStr">
        <is>
          <t>Rumah Tangga</t>
        </is>
      </c>
      <c r="H1353" s="10" t="inlineStr">
        <is>
          <t>Set Wadah Kedap</t>
        </is>
      </c>
      <c r="I1353" s="10" t="n">
        <v>3</v>
      </c>
      <c r="J1353" s="10" t="n">
        <v>135000</v>
      </c>
      <c r="K1353" s="10" t="n">
        <v>405000</v>
      </c>
    </row>
    <row r="1354">
      <c r="A1354" s="10" t="inlineStr">
        <is>
          <t>INV-70351</t>
        </is>
      </c>
      <c r="B1354" s="10" t="inlineStr">
        <is>
          <t>2025-12-22</t>
        </is>
      </c>
      <c r="C1354" s="10" t="inlineStr">
        <is>
          <t>C1095</t>
        </is>
      </c>
      <c r="D1354" s="10" t="inlineStr">
        <is>
          <t>regular</t>
        </is>
      </c>
      <c r="E1354" s="10" t="inlineStr">
        <is>
          <t>TikTok Shop</t>
        </is>
      </c>
      <c r="F1354" s="10" t="inlineStr">
        <is>
          <t>Jawa Barat</t>
        </is>
      </c>
      <c r="G1354" s="10" t="inlineStr">
        <is>
          <t>Makanan</t>
        </is>
      </c>
      <c r="H1354" s="10" t="inlineStr">
        <is>
          <t>Madu Hutan 250ml</t>
        </is>
      </c>
      <c r="I1354" s="10" t="n">
        <v>4</v>
      </c>
      <c r="J1354" s="10" t="n">
        <v>110000</v>
      </c>
      <c r="K1354" s="10" t="n">
        <v>440000</v>
      </c>
    </row>
    <row r="1355">
      <c r="A1355" s="10" t="inlineStr">
        <is>
          <t>INV-70391</t>
        </is>
      </c>
      <c r="B1355" s="10" t="inlineStr">
        <is>
          <t>2025-05-23</t>
        </is>
      </c>
      <c r="C1355" s="10" t="inlineStr">
        <is>
          <t>C1111</t>
        </is>
      </c>
      <c r="D1355" s="10" t="inlineStr">
        <is>
          <t>champion</t>
        </is>
      </c>
      <c r="E1355" s="10" t="inlineStr">
        <is>
          <t>offline store</t>
        </is>
      </c>
      <c r="F1355" s="10" t="inlineStr">
        <is>
          <t>Jawa Timur</t>
        </is>
      </c>
      <c r="G1355" s="10" t="inlineStr">
        <is>
          <t>Rumah Tangga</t>
        </is>
      </c>
      <c r="H1355" s="10" t="inlineStr">
        <is>
          <t>Set Wadah Kedap</t>
        </is>
      </c>
      <c r="I1355" s="10" t="n">
        <v>1</v>
      </c>
      <c r="J1355" s="10" t="n">
        <v>135000</v>
      </c>
      <c r="K1355" s="10" t="n">
        <v>135000</v>
      </c>
    </row>
    <row r="1356">
      <c r="A1356" s="10" t="inlineStr">
        <is>
          <t>INV-70503</t>
        </is>
      </c>
      <c r="B1356" s="10" t="inlineStr">
        <is>
          <t>2025-04-19</t>
        </is>
      </c>
      <c r="C1356" s="10" t="inlineStr">
        <is>
          <t>C1141</t>
        </is>
      </c>
      <c r="D1356" s="10" t="inlineStr">
        <is>
          <t>loyal</t>
        </is>
      </c>
      <c r="E1356" s="10" t="inlineStr">
        <is>
          <t>Offline Store</t>
        </is>
      </c>
      <c r="F1356" s="10" t="inlineStr">
        <is>
          <t>Jawa Timur</t>
        </is>
      </c>
      <c r="G1356" s="10" t="inlineStr">
        <is>
          <t>Elektronik</t>
        </is>
      </c>
      <c r="H1356" s="10" t="inlineStr">
        <is>
          <t>Power Bank 20K</t>
        </is>
      </c>
      <c r="I1356" s="10" t="n">
        <v>2</v>
      </c>
      <c r="J1356" s="10" t="n">
        <v>185000</v>
      </c>
      <c r="K1356" s="10" t="n">
        <v>370000</v>
      </c>
    </row>
    <row r="1357">
      <c r="A1357" s="10" t="inlineStr">
        <is>
          <t>INV-70253</t>
        </is>
      </c>
      <c r="B1357" s="10" t="inlineStr">
        <is>
          <t>2025-05-15</t>
        </is>
      </c>
      <c r="C1357" s="10" t="inlineStr">
        <is>
          <t>C1072</t>
        </is>
      </c>
      <c r="D1357" s="10" t="inlineStr">
        <is>
          <t>champion</t>
        </is>
      </c>
      <c r="E1357" s="10" t="inlineStr">
        <is>
          <t>SHOPEE</t>
        </is>
      </c>
      <c r="F1357" s="10" t="inlineStr">
        <is>
          <t>Jawa Barat</t>
        </is>
      </c>
      <c r="G1357" s="10" t="inlineStr">
        <is>
          <t>rumah tangga</t>
        </is>
      </c>
      <c r="H1357" s="10" t="inlineStr">
        <is>
          <t>Karpet Bulu</t>
        </is>
      </c>
      <c r="I1357" s="10" t="n">
        <v>2</v>
      </c>
      <c r="J1357" s="10" t="n">
        <v>240000</v>
      </c>
      <c r="K1357" s="10" t="n">
        <v>480000</v>
      </c>
    </row>
    <row r="1358">
      <c r="A1358" s="10" t="inlineStr">
        <is>
          <t>INV-70033</t>
        </is>
      </c>
      <c r="B1358" s="10" t="inlineStr">
        <is>
          <t>2026-04-03</t>
        </is>
      </c>
      <c r="C1358" s="10" t="inlineStr">
        <is>
          <t>C1007</t>
        </is>
      </c>
      <c r="D1358" s="10" t="inlineStr">
        <is>
          <t>occasional</t>
        </is>
      </c>
      <c r="E1358" s="10" t="inlineStr">
        <is>
          <t>Tokopedia</t>
        </is>
      </c>
      <c r="F1358" s="10" t="inlineStr">
        <is>
          <t>Jawa Barat</t>
        </is>
      </c>
      <c r="G1358" s="10" t="inlineStr">
        <is>
          <t>Fashion</t>
        </is>
      </c>
      <c r="H1358" s="10" t="inlineStr">
        <is>
          <t>Celana Chino</t>
        </is>
      </c>
      <c r="I1358" s="10" t="n">
        <v>4</v>
      </c>
      <c r="J1358" s="10" t="n">
        <v>195000</v>
      </c>
      <c r="K1358" s="10" t="n">
        <v>780000</v>
      </c>
    </row>
    <row r="1359">
      <c r="A1359" s="10" t="inlineStr">
        <is>
          <t>INV-71043</t>
        </is>
      </c>
      <c r="B1359" s="10" t="inlineStr">
        <is>
          <t>2025-07-06</t>
        </is>
      </c>
      <c r="C1359" s="10" t="inlineStr">
        <is>
          <t>C1295</t>
        </is>
      </c>
      <c r="D1359" s="10" t="inlineStr">
        <is>
          <t>regular</t>
        </is>
      </c>
      <c r="E1359" s="10" t="inlineStr">
        <is>
          <t>Offline Store</t>
        </is>
      </c>
      <c r="F1359" s="10" t="n"/>
      <c r="G1359" s="10" t="inlineStr">
        <is>
          <t>Rumah Tangga</t>
        </is>
      </c>
      <c r="H1359" s="10" t="inlineStr">
        <is>
          <t>Organizer Laci</t>
        </is>
      </c>
      <c r="I1359" s="10" t="n">
        <v>2</v>
      </c>
      <c r="J1359" s="10" t="n">
        <v>78000</v>
      </c>
      <c r="K1359" s="10" t="n">
        <v>156000</v>
      </c>
    </row>
    <row r="1360">
      <c r="A1360" s="10" t="inlineStr">
        <is>
          <t>INV-71061</t>
        </is>
      </c>
      <c r="B1360" s="10" t="inlineStr">
        <is>
          <t>2025-04-09</t>
        </is>
      </c>
      <c r="C1360" s="10" t="inlineStr">
        <is>
          <t>C1300</t>
        </is>
      </c>
      <c r="D1360" s="10" t="inlineStr">
        <is>
          <t>regular</t>
        </is>
      </c>
      <c r="E1360" s="10" t="inlineStr">
        <is>
          <t>shopee</t>
        </is>
      </c>
      <c r="F1360" s="10" t="inlineStr">
        <is>
          <t>Jabodetabek</t>
        </is>
      </c>
      <c r="G1360" s="10" t="inlineStr">
        <is>
          <t>Rumah Tangga</t>
        </is>
      </c>
      <c r="H1360" s="10" t="inlineStr">
        <is>
          <t>Organizer Laci</t>
        </is>
      </c>
      <c r="I1360" s="10" t="n">
        <v>1</v>
      </c>
      <c r="J1360" s="10" t="n">
        <v>78000</v>
      </c>
      <c r="K1360" s="10" t="n">
        <v>78000</v>
      </c>
    </row>
    <row r="1361">
      <c r="A1361" s="10" t="inlineStr">
        <is>
          <t>INV-70546</t>
        </is>
      </c>
      <c r="B1361" s="10" t="inlineStr">
        <is>
          <t>07/04/2025</t>
        </is>
      </c>
      <c r="C1361" s="10" t="inlineStr">
        <is>
          <t>C1150</t>
        </is>
      </c>
      <c r="D1361" s="10" t="inlineStr">
        <is>
          <t>champion</t>
        </is>
      </c>
      <c r="E1361" s="10" t="inlineStr">
        <is>
          <t>Tokopedia</t>
        </is>
      </c>
      <c r="F1361" s="10" t="inlineStr">
        <is>
          <t>Jabodetabek</t>
        </is>
      </c>
      <c r="G1361" s="10" t="inlineStr">
        <is>
          <t>Rumah Tangga</t>
        </is>
      </c>
      <c r="H1361" s="10" t="inlineStr">
        <is>
          <t>Organizer Laci</t>
        </is>
      </c>
      <c r="I1361" s="10" t="n">
        <v>2</v>
      </c>
      <c r="J1361" s="10" t="n">
        <v>78000</v>
      </c>
      <c r="K1361" s="10" t="n">
        <v>156000</v>
      </c>
    </row>
    <row r="1362">
      <c r="A1362" s="10" t="inlineStr">
        <is>
          <t>INV-70886</t>
        </is>
      </c>
      <c r="B1362" s="10" t="inlineStr">
        <is>
          <t>2025-08-12</t>
        </is>
      </c>
      <c r="C1362" s="10" t="inlineStr">
        <is>
          <t>C1248</t>
        </is>
      </c>
      <c r="D1362" s="10" t="inlineStr">
        <is>
          <t>regular</t>
        </is>
      </c>
      <c r="E1362" s="10" t="inlineStr">
        <is>
          <t>Shopee</t>
        </is>
      </c>
      <c r="F1362" s="10" t="inlineStr">
        <is>
          <t>Jawa Barat</t>
        </is>
      </c>
      <c r="G1362" s="10" t="inlineStr">
        <is>
          <t>Rumah Tangga</t>
        </is>
      </c>
      <c r="H1362" s="10" t="inlineStr">
        <is>
          <t>Set Wadah Kedap</t>
        </is>
      </c>
      <c r="I1362" s="10" t="n">
        <v>2</v>
      </c>
      <c r="J1362" s="10" t="n">
        <v>135000</v>
      </c>
      <c r="K1362" s="10" t="n">
        <v>270000</v>
      </c>
    </row>
    <row r="1363">
      <c r="A1363" s="10" t="inlineStr">
        <is>
          <t>INV-71177</t>
        </is>
      </c>
      <c r="B1363" s="10" t="inlineStr">
        <is>
          <t>2026-04-26</t>
        </is>
      </c>
      <c r="C1363" s="10" t="inlineStr">
        <is>
          <t>C1334</t>
        </is>
      </c>
      <c r="D1363" s="10" t="inlineStr">
        <is>
          <t>champion</t>
        </is>
      </c>
      <c r="E1363" s="10" t="inlineStr">
        <is>
          <t xml:space="preserve">Tokopedia </t>
        </is>
      </c>
      <c r="F1363" s="10" t="inlineStr">
        <is>
          <t>Lainnya</t>
        </is>
      </c>
      <c r="G1363" s="10" t="inlineStr">
        <is>
          <t>Elektronik</t>
        </is>
      </c>
      <c r="H1363" s="10" t="inlineStr">
        <is>
          <t>Smartwatch</t>
        </is>
      </c>
      <c r="I1363" s="10" t="n">
        <v>3</v>
      </c>
      <c r="J1363" s="10" t="n">
        <v>450000</v>
      </c>
      <c r="K1363" s="10" t="inlineStr">
        <is>
          <t>Rp 1.350.000</t>
        </is>
      </c>
    </row>
    <row r="1364">
      <c r="A1364" s="10" t="inlineStr">
        <is>
          <t>INV-70441</t>
        </is>
      </c>
      <c r="B1364" s="10" t="inlineStr">
        <is>
          <t>15 Sep 2025</t>
        </is>
      </c>
      <c r="C1364" s="10" t="inlineStr">
        <is>
          <t>C1124</t>
        </is>
      </c>
      <c r="D1364" s="10" t="inlineStr">
        <is>
          <t>onetime</t>
        </is>
      </c>
      <c r="E1364" s="10" t="inlineStr">
        <is>
          <t>Offline Store</t>
        </is>
      </c>
      <c r="F1364" s="10" t="inlineStr">
        <is>
          <t>Jabodetabek</t>
        </is>
      </c>
      <c r="G1364" s="10" t="inlineStr">
        <is>
          <t>Kecantikan</t>
        </is>
      </c>
      <c r="H1364" s="10" t="inlineStr">
        <is>
          <t>Serum Vit C</t>
        </is>
      </c>
      <c r="I1364" s="10" t="n">
        <v>2</v>
      </c>
      <c r="J1364" s="10" t="n">
        <v>145000</v>
      </c>
      <c r="K1364" s="10" t="n">
        <v>290000</v>
      </c>
    </row>
    <row r="1365">
      <c r="A1365" s="10" t="inlineStr">
        <is>
          <t>INV-70396</t>
        </is>
      </c>
      <c r="B1365" s="10" t="inlineStr">
        <is>
          <t>03 Jul 2025</t>
        </is>
      </c>
      <c r="C1365" s="10" t="inlineStr">
        <is>
          <t>C1111</t>
        </is>
      </c>
      <c r="D1365" s="10" t="inlineStr">
        <is>
          <t>champion</t>
        </is>
      </c>
      <c r="E1365" s="10" t="inlineStr">
        <is>
          <t>Tokopedia</t>
        </is>
      </c>
      <c r="F1365" s="10" t="inlineStr">
        <is>
          <t>Jawa Barat</t>
        </is>
      </c>
      <c r="G1365" s="10" t="inlineStr">
        <is>
          <t>Kecantikan</t>
        </is>
      </c>
      <c r="H1365" s="10" t="inlineStr">
        <is>
          <t>Masker Wajah (5s)</t>
        </is>
      </c>
      <c r="I1365" s="10" t="n">
        <v>2</v>
      </c>
      <c r="J1365" s="10" t="n">
        <v>55000</v>
      </c>
      <c r="K1365" s="10" t="n">
        <v>110000</v>
      </c>
    </row>
    <row r="1366">
      <c r="A1366" s="10" t="inlineStr">
        <is>
          <t>INV-71156</t>
        </is>
      </c>
      <c r="B1366" s="10" t="inlineStr">
        <is>
          <t>2025-02-05</t>
        </is>
      </c>
      <c r="C1366" s="10" t="inlineStr">
        <is>
          <t>C1326</t>
        </is>
      </c>
      <c r="D1366" s="10" t="inlineStr">
        <is>
          <t>loyal</t>
        </is>
      </c>
      <c r="E1366" s="10" t="inlineStr">
        <is>
          <t>Tokopedia</t>
        </is>
      </c>
      <c r="F1366" s="10" t="n"/>
      <c r="G1366" s="10" t="inlineStr">
        <is>
          <t>Rumah Tangga</t>
        </is>
      </c>
      <c r="H1366" s="10" t="inlineStr">
        <is>
          <t>Organizer Laci</t>
        </is>
      </c>
      <c r="I1366" s="10" t="n">
        <v>2</v>
      </c>
      <c r="J1366" s="10" t="n">
        <v>78000</v>
      </c>
      <c r="K1366" s="10" t="n">
        <v>156000</v>
      </c>
    </row>
    <row r="1367">
      <c r="A1367" s="10" t="inlineStr">
        <is>
          <t>INV-70298</t>
        </is>
      </c>
      <c r="B1367" s="10" t="inlineStr">
        <is>
          <t>2026-06-01</t>
        </is>
      </c>
      <c r="C1367" s="10" t="inlineStr">
        <is>
          <t>C1084</t>
        </is>
      </c>
      <c r="D1367" s="10" t="inlineStr">
        <is>
          <t>loyal</t>
        </is>
      </c>
      <c r="E1367" s="10" t="inlineStr">
        <is>
          <t>Shopee</t>
        </is>
      </c>
      <c r="F1367" s="10" t="inlineStr">
        <is>
          <t>Jabodetabek</t>
        </is>
      </c>
      <c r="G1367" s="10" t="inlineStr">
        <is>
          <t>Rumah Tangga</t>
        </is>
      </c>
      <c r="H1367" s="10" t="inlineStr">
        <is>
          <t>Organizer Laci</t>
        </is>
      </c>
      <c r="I1367" s="10" t="n">
        <v>1</v>
      </c>
      <c r="J1367" s="10" t="n">
        <v>78000</v>
      </c>
      <c r="K1367" s="10" t="inlineStr">
        <is>
          <t>Rp 78.000</t>
        </is>
      </c>
    </row>
    <row r="1368">
      <c r="A1368" s="10" t="inlineStr">
        <is>
          <t>INV-71196</t>
        </is>
      </c>
      <c r="B1368" s="10" t="inlineStr">
        <is>
          <t>19 Mar 2026</t>
        </is>
      </c>
      <c r="C1368" s="10" t="inlineStr">
        <is>
          <t>C1336</t>
        </is>
      </c>
      <c r="D1368" s="10" t="inlineStr">
        <is>
          <t>regular</t>
        </is>
      </c>
      <c r="E1368" s="10" t="inlineStr">
        <is>
          <t>Shopee</t>
        </is>
      </c>
      <c r="F1368" s="10" t="inlineStr">
        <is>
          <t>Sumatera</t>
        </is>
      </c>
      <c r="G1368" s="10" t="inlineStr">
        <is>
          <t>Elektronik</t>
        </is>
      </c>
      <c r="H1368" s="10" t="inlineStr">
        <is>
          <t>Webcam HD</t>
        </is>
      </c>
      <c r="I1368" s="10" t="n">
        <v>1</v>
      </c>
      <c r="J1368" s="10" t="n">
        <v>210000</v>
      </c>
      <c r="K1368" s="10" t="n">
        <v>210000</v>
      </c>
    </row>
    <row r="1369">
      <c r="A1369" s="10" t="inlineStr">
        <is>
          <t>INV-70750</t>
        </is>
      </c>
      <c r="B1369" s="10" t="inlineStr">
        <is>
          <t>2025-03-25</t>
        </is>
      </c>
      <c r="C1369" s="10" t="inlineStr">
        <is>
          <t>C1210</t>
        </is>
      </c>
      <c r="D1369" s="10" t="inlineStr">
        <is>
          <t>loyal</t>
        </is>
      </c>
      <c r="E1369" s="10" t="inlineStr">
        <is>
          <t>TIKTOK SHOP</t>
        </is>
      </c>
      <c r="F1369" s="10" t="inlineStr">
        <is>
          <t>Sumatera</t>
        </is>
      </c>
      <c r="G1369" s="10" t="inlineStr">
        <is>
          <t>Fashion</t>
        </is>
      </c>
      <c r="H1369" s="10" t="inlineStr">
        <is>
          <t>Kaos Premium</t>
        </is>
      </c>
      <c r="I1369" s="10" t="n">
        <v>1</v>
      </c>
      <c r="J1369" s="10" t="n">
        <v>95000</v>
      </c>
      <c r="K1369" s="10" t="n">
        <v>95000</v>
      </c>
    </row>
    <row r="1370">
      <c r="A1370" s="10" t="inlineStr">
        <is>
          <t>INV-70879</t>
        </is>
      </c>
      <c r="B1370" s="10" t="inlineStr">
        <is>
          <t>21 Nov 2025</t>
        </is>
      </c>
      <c r="C1370" s="10" t="inlineStr">
        <is>
          <t>C1246</t>
        </is>
      </c>
      <c r="D1370" s="10" t="inlineStr">
        <is>
          <t>champion</t>
        </is>
      </c>
      <c r="E1370" s="10" t="inlineStr">
        <is>
          <t>TikTok Shop</t>
        </is>
      </c>
      <c r="F1370" s="10" t="inlineStr">
        <is>
          <t>Jawa Tengah</t>
        </is>
      </c>
      <c r="G1370" s="10" t="inlineStr">
        <is>
          <t>Rumah Tangga</t>
        </is>
      </c>
      <c r="H1370" s="10" t="inlineStr">
        <is>
          <t>Diffuser Aroma</t>
        </is>
      </c>
      <c r="I1370" s="10" t="n">
        <v>2</v>
      </c>
      <c r="J1370" s="10" t="n">
        <v>195000</v>
      </c>
      <c r="K1370" s="10" t="inlineStr">
        <is>
          <t>Rp 390.000</t>
        </is>
      </c>
    </row>
    <row r="1371">
      <c r="A1371" s="10" t="inlineStr">
        <is>
          <t>INV-71482</t>
        </is>
      </c>
      <c r="B1371" s="10" t="inlineStr">
        <is>
          <t>2026-03-02</t>
        </is>
      </c>
      <c r="C1371" s="10" t="inlineStr">
        <is>
          <t>C1409</t>
        </is>
      </c>
      <c r="D1371" s="10" t="inlineStr">
        <is>
          <t>loyal</t>
        </is>
      </c>
      <c r="E1371" s="10" t="inlineStr">
        <is>
          <t>Shopee</t>
        </is>
      </c>
      <c r="F1371" s="10" t="inlineStr">
        <is>
          <t>Jawa Timur</t>
        </is>
      </c>
      <c r="G1371" s="10" t="inlineStr">
        <is>
          <t>Rumah Tangga</t>
        </is>
      </c>
      <c r="H1371" s="10" t="inlineStr">
        <is>
          <t>Set Wadah Kedap</t>
        </is>
      </c>
      <c r="I1371" s="10" t="n">
        <v>1</v>
      </c>
      <c r="J1371" s="10" t="n">
        <v>135000</v>
      </c>
      <c r="K1371" s="10" t="n">
        <v>135000</v>
      </c>
    </row>
    <row r="1372">
      <c r="A1372" s="10" t="inlineStr">
        <is>
          <t>INV-70832</t>
        </is>
      </c>
      <c r="B1372" s="10" t="inlineStr">
        <is>
          <t>19 Apr 2026</t>
        </is>
      </c>
      <c r="C1372" s="10" t="inlineStr">
        <is>
          <t>C1234</t>
        </is>
      </c>
      <c r="D1372" s="10" t="inlineStr">
        <is>
          <t>loyal</t>
        </is>
      </c>
      <c r="E1372" s="10" t="inlineStr">
        <is>
          <t>shopee</t>
        </is>
      </c>
      <c r="F1372" s="10" t="inlineStr">
        <is>
          <t>Jabodetabek</t>
        </is>
      </c>
      <c r="G1372" s="10" t="inlineStr">
        <is>
          <t>kecantikan</t>
        </is>
      </c>
      <c r="H1372" s="10" t="inlineStr">
        <is>
          <t>Serum Vit C</t>
        </is>
      </c>
      <c r="I1372" s="10" t="n">
        <v>1</v>
      </c>
      <c r="J1372" s="10" t="n">
        <v>145000</v>
      </c>
      <c r="K1372" s="10" t="n">
        <v>145000</v>
      </c>
    </row>
    <row r="1373">
      <c r="A1373" s="10" t="inlineStr">
        <is>
          <t>INV-70352</t>
        </is>
      </c>
      <c r="B1373" s="10" t="inlineStr">
        <is>
          <t>2025-09-27</t>
        </is>
      </c>
      <c r="C1373" s="10" t="inlineStr">
        <is>
          <t>C1096</t>
        </is>
      </c>
      <c r="D1373" s="10" t="inlineStr">
        <is>
          <t>occasional</t>
        </is>
      </c>
      <c r="E1373" s="10" t="inlineStr">
        <is>
          <t>Shopee</t>
        </is>
      </c>
      <c r="F1373" s="10" t="inlineStr">
        <is>
          <t>Jabodetabek</t>
        </is>
      </c>
      <c r="G1373" s="10" t="inlineStr">
        <is>
          <t>Fashion</t>
        </is>
      </c>
      <c r="H1373" s="10" t="inlineStr">
        <is>
          <t>Celana Chino</t>
        </is>
      </c>
      <c r="I1373" s="10" t="n">
        <v>4</v>
      </c>
      <c r="J1373" s="10" t="n">
        <v>195000</v>
      </c>
      <c r="K1373" s="10" t="n">
        <v>780000</v>
      </c>
    </row>
    <row r="1374">
      <c r="A1374" s="10" t="inlineStr">
        <is>
          <t>INV-71414</t>
        </is>
      </c>
      <c r="B1374" s="10" t="inlineStr">
        <is>
          <t>2025-05-20</t>
        </is>
      </c>
      <c r="C1374" s="10" t="inlineStr">
        <is>
          <t>C1392</t>
        </is>
      </c>
      <c r="D1374" s="10" t="inlineStr">
        <is>
          <t>loyal</t>
        </is>
      </c>
      <c r="E1374" s="10" t="inlineStr">
        <is>
          <t>shopee</t>
        </is>
      </c>
      <c r="F1374" s="10" t="inlineStr">
        <is>
          <t>Jawa Barat</t>
        </is>
      </c>
      <c r="G1374" s="10" t="inlineStr">
        <is>
          <t>Makanan</t>
        </is>
      </c>
      <c r="H1374" s="10" t="inlineStr">
        <is>
          <t>Granola 500g</t>
        </is>
      </c>
      <c r="I1374" s="10" t="n">
        <v>1</v>
      </c>
      <c r="J1374" s="10" t="n">
        <v>92000</v>
      </c>
      <c r="K1374" s="10" t="n">
        <v>92000</v>
      </c>
    </row>
    <row r="1375">
      <c r="A1375" s="10" t="inlineStr">
        <is>
          <t>INV-70930</t>
        </is>
      </c>
      <c r="B1375" s="10" t="inlineStr">
        <is>
          <t>26 Feb 2026</t>
        </is>
      </c>
      <c r="C1375" s="10" t="inlineStr">
        <is>
          <t>C1261</t>
        </is>
      </c>
      <c r="D1375" s="10" t="inlineStr">
        <is>
          <t>champion</t>
        </is>
      </c>
      <c r="E1375" s="10" t="inlineStr">
        <is>
          <t xml:space="preserve"> tokopedia</t>
        </is>
      </c>
      <c r="F1375" s="10" t="inlineStr">
        <is>
          <t>Jabodetabek</t>
        </is>
      </c>
      <c r="G1375" s="10" t="inlineStr">
        <is>
          <t>Elektronik</t>
        </is>
      </c>
      <c r="H1375" s="10" t="inlineStr">
        <is>
          <t>Keyboard Mekanik</t>
        </is>
      </c>
      <c r="I1375" s="10" t="n">
        <v>1</v>
      </c>
      <c r="J1375" s="10" t="n">
        <v>380000</v>
      </c>
      <c r="K1375" s="10" t="n">
        <v>380000</v>
      </c>
    </row>
    <row r="1376">
      <c r="A1376" s="10" t="inlineStr">
        <is>
          <t>INV-70269</t>
        </is>
      </c>
      <c r="B1376" s="10" t="inlineStr">
        <is>
          <t>2025-02-26</t>
        </is>
      </c>
      <c r="C1376" s="10" t="inlineStr">
        <is>
          <t>C1075</t>
        </is>
      </c>
      <c r="D1376" s="10" t="inlineStr">
        <is>
          <t>occasional</t>
        </is>
      </c>
      <c r="E1376" s="10" t="inlineStr">
        <is>
          <t>TikTok Shop</t>
        </is>
      </c>
      <c r="F1376" s="10" t="inlineStr">
        <is>
          <t>Jawa Barat</t>
        </is>
      </c>
      <c r="G1376" s="10" t="inlineStr">
        <is>
          <t>Elektronik</t>
        </is>
      </c>
      <c r="H1376" s="10" t="inlineStr">
        <is>
          <t>Keyboard Mekanik</t>
        </is>
      </c>
      <c r="I1376" s="10" t="n">
        <v>1</v>
      </c>
      <c r="J1376" s="10" t="n">
        <v>380000</v>
      </c>
      <c r="K1376" s="10" t="n">
        <v>380000</v>
      </c>
    </row>
    <row r="1377">
      <c r="A1377" s="10" t="inlineStr">
        <is>
          <t>INV-70296</t>
        </is>
      </c>
      <c r="B1377" s="10" t="inlineStr">
        <is>
          <t>2025-03-20</t>
        </is>
      </c>
      <c r="C1377" s="10" t="inlineStr">
        <is>
          <t>C1084</t>
        </is>
      </c>
      <c r="D1377" s="10" t="inlineStr">
        <is>
          <t>loyal</t>
        </is>
      </c>
      <c r="E1377" s="10" t="inlineStr">
        <is>
          <t>TikTok Shop</t>
        </is>
      </c>
      <c r="F1377" s="10" t="inlineStr">
        <is>
          <t>Jawa Timur</t>
        </is>
      </c>
      <c r="G1377" s="10" t="inlineStr">
        <is>
          <t>Rumah Tangga</t>
        </is>
      </c>
      <c r="H1377" s="10" t="inlineStr">
        <is>
          <t>Set Wadah Kedap</t>
        </is>
      </c>
      <c r="I1377" s="10" t="n">
        <v>1</v>
      </c>
      <c r="J1377" s="10" t="n">
        <v>135000</v>
      </c>
      <c r="K1377" s="10" t="n">
        <v>135000</v>
      </c>
    </row>
    <row r="1378">
      <c r="A1378" s="10" t="inlineStr">
        <is>
          <t>INV-70320</t>
        </is>
      </c>
      <c r="B1378" s="10" t="inlineStr">
        <is>
          <t>27 Oct 2025</t>
        </is>
      </c>
      <c r="C1378" s="10" t="inlineStr">
        <is>
          <t>C1088</t>
        </is>
      </c>
      <c r="D1378" s="10" t="inlineStr">
        <is>
          <t>champion</t>
        </is>
      </c>
      <c r="E1378" s="10" t="inlineStr">
        <is>
          <t xml:space="preserve">Tokopedia </t>
        </is>
      </c>
      <c r="F1378" s="10" t="inlineStr">
        <is>
          <t>Jabodetabek</t>
        </is>
      </c>
      <c r="G1378" s="10" t="inlineStr">
        <is>
          <t>Rumah Tangga</t>
        </is>
      </c>
      <c r="H1378" s="10" t="inlineStr">
        <is>
          <t>Set Wadah Kedap</t>
        </is>
      </c>
      <c r="I1378" s="10" t="n">
        <v>1</v>
      </c>
      <c r="J1378" s="10" t="n">
        <v>135000</v>
      </c>
      <c r="K1378" s="10" t="inlineStr">
        <is>
          <t>Rp 135.000</t>
        </is>
      </c>
    </row>
    <row r="1379">
      <c r="A1379" s="10" t="inlineStr">
        <is>
          <t>INV-70624</t>
        </is>
      </c>
      <c r="B1379" s="10" t="inlineStr">
        <is>
          <t>27 Nov 2025</t>
        </is>
      </c>
      <c r="C1379" s="10" t="inlineStr">
        <is>
          <t>C1170</t>
        </is>
      </c>
      <c r="D1379" s="10" t="inlineStr">
        <is>
          <t>champion</t>
        </is>
      </c>
      <c r="E1379" s="10" t="inlineStr">
        <is>
          <t>Tokopedia</t>
        </is>
      </c>
      <c r="F1379" s="10" t="inlineStr">
        <is>
          <t>Lainnya</t>
        </is>
      </c>
      <c r="G1379" s="10" t="inlineStr">
        <is>
          <t>Kecantikan</t>
        </is>
      </c>
      <c r="H1379" s="10" t="inlineStr">
        <is>
          <t>Masker Wajah (5s)</t>
        </is>
      </c>
      <c r="I1379" s="10" t="n">
        <v>1</v>
      </c>
      <c r="J1379" s="10" t="n">
        <v>55000</v>
      </c>
      <c r="K1379" s="10" t="n">
        <v>55000</v>
      </c>
    </row>
    <row r="1380">
      <c r="A1380" s="10" t="inlineStr">
        <is>
          <t>INV-70297</t>
        </is>
      </c>
      <c r="B1380" s="10" t="inlineStr">
        <is>
          <t>2026-01-21</t>
        </is>
      </c>
      <c r="C1380" s="10" t="inlineStr">
        <is>
          <t>C1084</t>
        </is>
      </c>
      <c r="D1380" s="10" t="inlineStr">
        <is>
          <t>loyal</t>
        </is>
      </c>
      <c r="E1380" s="10" t="inlineStr">
        <is>
          <t xml:space="preserve"> tokopedia</t>
        </is>
      </c>
      <c r="F1380" s="10" t="inlineStr">
        <is>
          <t>Jabodetabek</t>
        </is>
      </c>
      <c r="G1380" s="10" t="inlineStr">
        <is>
          <t>elektronik</t>
        </is>
      </c>
      <c r="H1380" s="10" t="inlineStr">
        <is>
          <t>Power Bank 20K</t>
        </is>
      </c>
      <c r="I1380" s="10" t="n">
        <v>3</v>
      </c>
      <c r="J1380" s="10" t="n">
        <v>185000</v>
      </c>
      <c r="K1380" s="10" t="n">
        <v>555000</v>
      </c>
    </row>
    <row r="1381">
      <c r="A1381" s="10" t="inlineStr">
        <is>
          <t>INV-70212</t>
        </is>
      </c>
      <c r="B1381" s="10" t="inlineStr">
        <is>
          <t>16/03/2026</t>
        </is>
      </c>
      <c r="C1381" s="10" t="inlineStr">
        <is>
          <t>C1060</t>
        </is>
      </c>
      <c r="D1381" s="10" t="inlineStr">
        <is>
          <t>loyal</t>
        </is>
      </c>
      <c r="E1381" s="10" t="inlineStr">
        <is>
          <t>Shopee</t>
        </is>
      </c>
      <c r="F1381" s="10" t="inlineStr">
        <is>
          <t>Jawa Timur</t>
        </is>
      </c>
      <c r="G1381" s="10" t="inlineStr">
        <is>
          <t>Rumah Tangga</t>
        </is>
      </c>
      <c r="H1381" s="10" t="inlineStr">
        <is>
          <t>Set Wadah Kedap</t>
        </is>
      </c>
      <c r="I1381" s="10" t="n">
        <v>1</v>
      </c>
      <c r="J1381" s="10" t="n">
        <v>135000</v>
      </c>
      <c r="K1381" s="10" t="n">
        <v>135000</v>
      </c>
    </row>
    <row r="1382">
      <c r="A1382" s="10" t="inlineStr">
        <is>
          <t>INV-71491</t>
        </is>
      </c>
      <c r="B1382" s="10" t="inlineStr">
        <is>
          <t>2025-11-07</t>
        </is>
      </c>
      <c r="C1382" s="10" t="inlineStr">
        <is>
          <t>C1411</t>
        </is>
      </c>
      <c r="D1382" s="10" t="inlineStr">
        <is>
          <t>regular</t>
        </is>
      </c>
      <c r="E1382" s="10" t="inlineStr">
        <is>
          <t>Tokopedia</t>
        </is>
      </c>
      <c r="F1382" s="10" t="inlineStr">
        <is>
          <t>Jabodetabek</t>
        </is>
      </c>
      <c r="G1382" s="10" t="inlineStr">
        <is>
          <t>Rumah Tangga</t>
        </is>
      </c>
      <c r="H1382" s="10" t="inlineStr">
        <is>
          <t>Organizer Laci</t>
        </is>
      </c>
      <c r="I1382" s="10" t="n">
        <v>2</v>
      </c>
      <c r="J1382" s="10" t="n">
        <v>78000</v>
      </c>
      <c r="K1382" s="10" t="n">
        <v>156000</v>
      </c>
    </row>
    <row r="1383">
      <c r="A1383" s="10" t="inlineStr">
        <is>
          <t>INV-70133</t>
        </is>
      </c>
      <c r="B1383" s="10" t="inlineStr">
        <is>
          <t>03 Sep 2025</t>
        </is>
      </c>
      <c r="C1383" s="10" t="inlineStr">
        <is>
          <t>C1038</t>
        </is>
      </c>
      <c r="D1383" s="10" t="inlineStr">
        <is>
          <t>champion</t>
        </is>
      </c>
      <c r="E1383" s="10" t="inlineStr">
        <is>
          <t>Offline Store</t>
        </is>
      </c>
      <c r="F1383" s="10" t="inlineStr">
        <is>
          <t>Jawa Timur</t>
        </is>
      </c>
      <c r="G1383" s="10" t="inlineStr">
        <is>
          <t>Rumah Tangga</t>
        </is>
      </c>
      <c r="H1383" s="10" t="inlineStr">
        <is>
          <t>Organizer Laci</t>
        </is>
      </c>
      <c r="I1383" s="10" t="n">
        <v>2</v>
      </c>
      <c r="J1383" s="10" t="n">
        <v>78000</v>
      </c>
      <c r="K1383" s="10" t="n">
        <v>156000</v>
      </c>
    </row>
    <row r="1384">
      <c r="A1384" s="10" t="inlineStr">
        <is>
          <t>INV-70869</t>
        </is>
      </c>
      <c r="B1384" s="10" t="inlineStr">
        <is>
          <t>2025-07-21</t>
        </is>
      </c>
      <c r="C1384" s="10" t="inlineStr">
        <is>
          <t>C1245</t>
        </is>
      </c>
      <c r="D1384" s="10" t="inlineStr">
        <is>
          <t>regular</t>
        </is>
      </c>
      <c r="E1384" s="10" t="inlineStr">
        <is>
          <t>TikTok Shop</t>
        </is>
      </c>
      <c r="F1384" s="10" t="inlineStr">
        <is>
          <t>Jawa Tengah</t>
        </is>
      </c>
      <c r="G1384" s="10" t="inlineStr">
        <is>
          <t>Rumah Tangga</t>
        </is>
      </c>
      <c r="H1384" s="10" t="inlineStr">
        <is>
          <t>Set Wadah Kedap</t>
        </is>
      </c>
      <c r="I1384" s="10" t="n">
        <v>1</v>
      </c>
      <c r="J1384" s="10" t="n">
        <v>135000</v>
      </c>
      <c r="K1384" s="10" t="n">
        <v>135000</v>
      </c>
    </row>
    <row r="1385">
      <c r="A1385" s="10" t="inlineStr">
        <is>
          <t>INV-71051</t>
        </is>
      </c>
      <c r="B1385" s="10" t="inlineStr">
        <is>
          <t>2026-04-03</t>
        </is>
      </c>
      <c r="C1385" s="10" t="inlineStr">
        <is>
          <t>C1297</t>
        </is>
      </c>
      <c r="D1385" s="10" t="inlineStr">
        <is>
          <t>occasional</t>
        </is>
      </c>
      <c r="E1385" s="10" t="inlineStr">
        <is>
          <t xml:space="preserve"> tokopedia</t>
        </is>
      </c>
      <c r="F1385" s="10" t="inlineStr">
        <is>
          <t>Jabodetabek</t>
        </is>
      </c>
      <c r="G1385" s="10" t="inlineStr">
        <is>
          <t>makanan</t>
        </is>
      </c>
      <c r="H1385" s="10" t="inlineStr">
        <is>
          <t>Granola 500g</t>
        </is>
      </c>
      <c r="I1385" s="10" t="n">
        <v>2</v>
      </c>
      <c r="J1385" s="10" t="n">
        <v>92000</v>
      </c>
      <c r="K1385" s="10" t="n">
        <v>184000</v>
      </c>
    </row>
    <row r="1386">
      <c r="A1386" s="10" t="inlineStr">
        <is>
          <t>INV-70627</t>
        </is>
      </c>
      <c r="B1386" s="10" t="inlineStr">
        <is>
          <t>2025-12-26</t>
        </is>
      </c>
      <c r="C1386" s="10" t="inlineStr">
        <is>
          <t>C1171</t>
        </is>
      </c>
      <c r="D1386" s="10" t="inlineStr">
        <is>
          <t>regular</t>
        </is>
      </c>
      <c r="E1386" s="10" t="inlineStr">
        <is>
          <t>offline store</t>
        </is>
      </c>
      <c r="F1386" s="10" t="inlineStr">
        <is>
          <t>Jawa Tengah</t>
        </is>
      </c>
      <c r="G1386" s="10" t="inlineStr">
        <is>
          <t>Kecantikan</t>
        </is>
      </c>
      <c r="H1386" s="10" t="inlineStr">
        <is>
          <t>Masker Wajah (5s)</t>
        </is>
      </c>
      <c r="I1386" s="10" t="n">
        <v>2</v>
      </c>
      <c r="J1386" s="10" t="n">
        <v>55000</v>
      </c>
      <c r="K1386" s="10" t="n">
        <v>110000</v>
      </c>
    </row>
    <row r="1387">
      <c r="A1387" s="10" t="inlineStr">
        <is>
          <t>INV-71150</t>
        </is>
      </c>
      <c r="B1387" s="10" t="inlineStr">
        <is>
          <t>2025-03-17</t>
        </is>
      </c>
      <c r="C1387" s="10" t="inlineStr">
        <is>
          <t>C1326</t>
        </is>
      </c>
      <c r="D1387" s="10" t="inlineStr">
        <is>
          <t>loyal</t>
        </is>
      </c>
      <c r="E1387" s="10" t="inlineStr">
        <is>
          <t>Shopee</t>
        </is>
      </c>
      <c r="F1387" s="10" t="inlineStr">
        <is>
          <t>Jabodetabek</t>
        </is>
      </c>
      <c r="G1387" s="10" t="inlineStr">
        <is>
          <t>Rumah Tangga</t>
        </is>
      </c>
      <c r="H1387" s="10" t="inlineStr">
        <is>
          <t>Set Wadah Kedap</t>
        </is>
      </c>
      <c r="I1387" s="10" t="n">
        <v>3</v>
      </c>
      <c r="J1387" s="10" t="n">
        <v>135000</v>
      </c>
      <c r="K1387" s="10" t="n">
        <v>405000</v>
      </c>
    </row>
    <row r="1388">
      <c r="A1388" s="10" t="inlineStr">
        <is>
          <t>INV-70597</t>
        </is>
      </c>
      <c r="B1388" s="10" t="inlineStr">
        <is>
          <t>2026-01-15</t>
        </is>
      </c>
      <c r="C1388" s="10" t="inlineStr">
        <is>
          <t>C1161</t>
        </is>
      </c>
      <c r="D1388" s="10" t="inlineStr">
        <is>
          <t>champion</t>
        </is>
      </c>
      <c r="E1388" s="10" t="inlineStr">
        <is>
          <t>Tokopedia</t>
        </is>
      </c>
      <c r="F1388" s="10" t="inlineStr">
        <is>
          <t>Jawa Barat</t>
        </is>
      </c>
      <c r="G1388" s="10" t="inlineStr">
        <is>
          <t>Rumah Tangga</t>
        </is>
      </c>
      <c r="H1388" s="10" t="inlineStr">
        <is>
          <t>Set Wadah Kedap</t>
        </is>
      </c>
      <c r="I1388" s="10" t="n">
        <v>4</v>
      </c>
      <c r="J1388" s="10" t="n">
        <v>135000</v>
      </c>
      <c r="K1388" s="10" t="n">
        <v>540000</v>
      </c>
    </row>
    <row r="1389">
      <c r="A1389" s="10" t="inlineStr">
        <is>
          <t>INV-70675</t>
        </is>
      </c>
      <c r="B1389" s="10" t="inlineStr">
        <is>
          <t>2025-10-15</t>
        </is>
      </c>
      <c r="C1389" s="10" t="inlineStr">
        <is>
          <t>C1185</t>
        </is>
      </c>
      <c r="D1389" s="10" t="inlineStr">
        <is>
          <t>occasional</t>
        </is>
      </c>
      <c r="E1389" s="10" t="inlineStr">
        <is>
          <t>Shopee</t>
        </is>
      </c>
      <c r="F1389" s="10" t="inlineStr">
        <is>
          <t>Jabodetabek</t>
        </is>
      </c>
      <c r="G1389" s="10" t="inlineStr">
        <is>
          <t>Rumah Tangga</t>
        </is>
      </c>
      <c r="H1389" s="10" t="inlineStr">
        <is>
          <t>Set Wadah Kedap</t>
        </is>
      </c>
      <c r="I1389" s="10" t="n">
        <v>1</v>
      </c>
      <c r="J1389" s="10" t="n">
        <v>135000</v>
      </c>
      <c r="K1389" s="10" t="n">
        <v>135000</v>
      </c>
    </row>
    <row r="1390">
      <c r="A1390" s="10" t="inlineStr">
        <is>
          <t>INV-71034</t>
        </is>
      </c>
      <c r="B1390" s="10" t="inlineStr">
        <is>
          <t>2025-03-19</t>
        </is>
      </c>
      <c r="C1390" s="10" t="inlineStr">
        <is>
          <t>C1294</t>
        </is>
      </c>
      <c r="D1390" s="10" t="inlineStr">
        <is>
          <t>loyal</t>
        </is>
      </c>
      <c r="E1390" s="10" t="inlineStr">
        <is>
          <t xml:space="preserve">Shopee </t>
        </is>
      </c>
      <c r="F1390" s="10" t="inlineStr">
        <is>
          <t>Jawa Timur</t>
        </is>
      </c>
      <c r="G1390" s="10" t="inlineStr">
        <is>
          <t>Kecantikan</t>
        </is>
      </c>
      <c r="H1390" s="10" t="inlineStr">
        <is>
          <t>Masker Wajah (5s)</t>
        </is>
      </c>
      <c r="I1390" s="10" t="n">
        <v>1</v>
      </c>
      <c r="J1390" s="10" t="n">
        <v>55000</v>
      </c>
      <c r="K1390" s="10" t="n">
        <v>55000</v>
      </c>
    </row>
    <row r="1391">
      <c r="A1391" s="10" t="inlineStr">
        <is>
          <t>INV-71185</t>
        </is>
      </c>
      <c r="B1391" s="10" t="inlineStr">
        <is>
          <t>2025-03-16</t>
        </is>
      </c>
      <c r="C1391" s="10" t="inlineStr">
        <is>
          <t>C1334</t>
        </is>
      </c>
      <c r="D1391" s="10" t="inlineStr">
        <is>
          <t>champion</t>
        </is>
      </c>
      <c r="E1391" s="10" t="inlineStr">
        <is>
          <t>TikTok Shop</t>
        </is>
      </c>
      <c r="F1391" s="10" t="inlineStr">
        <is>
          <t>Jawa Tengah</t>
        </is>
      </c>
      <c r="G1391" s="10" t="inlineStr">
        <is>
          <t>Rumah Tangga</t>
        </is>
      </c>
      <c r="H1391" s="10" t="inlineStr">
        <is>
          <t>Organizer Laci</t>
        </is>
      </c>
      <c r="I1391" s="10" t="n">
        <v>1</v>
      </c>
      <c r="J1391" s="10" t="n">
        <v>78000</v>
      </c>
      <c r="K1391" s="10" t="n">
        <v>78000</v>
      </c>
    </row>
    <row r="1392">
      <c r="A1392" s="10" t="inlineStr">
        <is>
          <t>INV-70588</t>
        </is>
      </c>
      <c r="B1392" s="10" t="inlineStr">
        <is>
          <t>2026-05-23</t>
        </is>
      </c>
      <c r="C1392" s="10" t="inlineStr">
        <is>
          <t>C1160</t>
        </is>
      </c>
      <c r="D1392" s="10" t="inlineStr">
        <is>
          <t>occasional</t>
        </is>
      </c>
      <c r="E1392" s="10" t="inlineStr">
        <is>
          <t>Offline Store</t>
        </is>
      </c>
      <c r="F1392" s="10" t="inlineStr">
        <is>
          <t>Jabodetabek</t>
        </is>
      </c>
      <c r="G1392" s="10" t="inlineStr">
        <is>
          <t>Kecantikan</t>
        </is>
      </c>
      <c r="H1392" s="10" t="inlineStr">
        <is>
          <t>Masker Wajah (5s)</t>
        </is>
      </c>
      <c r="I1392" s="10" t="n">
        <v>2</v>
      </c>
      <c r="J1392" s="10" t="n">
        <v>55000</v>
      </c>
      <c r="K1392" s="10" t="n">
        <v>110000</v>
      </c>
    </row>
    <row r="1393">
      <c r="A1393" s="10" t="inlineStr">
        <is>
          <t>INV-70387</t>
        </is>
      </c>
      <c r="B1393" s="10" t="inlineStr">
        <is>
          <t>2025-11-10</t>
        </is>
      </c>
      <c r="C1393" s="10" t="inlineStr">
        <is>
          <t>C1111</t>
        </is>
      </c>
      <c r="D1393" s="10" t="inlineStr">
        <is>
          <t>champion</t>
        </is>
      </c>
      <c r="E1393" s="10" t="inlineStr">
        <is>
          <t>Offline Store</t>
        </is>
      </c>
      <c r="F1393" s="10" t="inlineStr">
        <is>
          <t>Lainnya</t>
        </is>
      </c>
      <c r="G1393" s="10" t="inlineStr">
        <is>
          <t>Rumah Tangga</t>
        </is>
      </c>
      <c r="H1393" s="10" t="inlineStr">
        <is>
          <t>Set Wadah Kedap</t>
        </is>
      </c>
      <c r="I1393" s="10" t="n">
        <v>2</v>
      </c>
      <c r="J1393" s="10" t="n">
        <v>135000</v>
      </c>
      <c r="K1393" s="10" t="n">
        <v>270000</v>
      </c>
    </row>
    <row r="1394">
      <c r="A1394" s="10" t="inlineStr">
        <is>
          <t>INV-70894</t>
        </is>
      </c>
      <c r="B1394" s="10" t="inlineStr">
        <is>
          <t>2025-05-10</t>
        </is>
      </c>
      <c r="C1394" s="10" t="inlineStr">
        <is>
          <t>C1251</t>
        </is>
      </c>
      <c r="D1394" s="10" t="inlineStr">
        <is>
          <t>regular</t>
        </is>
      </c>
      <c r="E1394" s="10" t="inlineStr">
        <is>
          <t>SHOPEE</t>
        </is>
      </c>
      <c r="F1394" s="10" t="inlineStr">
        <is>
          <t>Jabodetabek</t>
        </is>
      </c>
      <c r="G1394" s="10" t="inlineStr">
        <is>
          <t>Makanan</t>
        </is>
      </c>
      <c r="H1394" s="10" t="inlineStr">
        <is>
          <t>Granola 500g</t>
        </is>
      </c>
      <c r="I1394" s="10" t="n">
        <v>1</v>
      </c>
      <c r="J1394" s="10" t="n">
        <v>92000</v>
      </c>
      <c r="K1394" s="10" t="inlineStr">
        <is>
          <t>Rp 92.000</t>
        </is>
      </c>
    </row>
    <row r="1395">
      <c r="A1395" s="10" t="inlineStr">
        <is>
          <t>INV-70502</t>
        </is>
      </c>
      <c r="B1395" s="10" t="inlineStr">
        <is>
          <t>2025-05-01</t>
        </is>
      </c>
      <c r="C1395" s="10" t="inlineStr">
        <is>
          <t>C1141</t>
        </is>
      </c>
      <c r="D1395" s="10" t="inlineStr">
        <is>
          <t>loyal</t>
        </is>
      </c>
      <c r="E1395" s="10" t="inlineStr">
        <is>
          <t xml:space="preserve">Shopee </t>
        </is>
      </c>
      <c r="F1395" s="10" t="inlineStr">
        <is>
          <t>Jabodetabek</t>
        </is>
      </c>
      <c r="G1395" s="10" t="inlineStr">
        <is>
          <t>Rumah Tangga</t>
        </is>
      </c>
      <c r="H1395" s="10" t="inlineStr">
        <is>
          <t>Set Wadah Kedap</t>
        </is>
      </c>
      <c r="I1395" s="10" t="n">
        <v>2</v>
      </c>
      <c r="J1395" s="10" t="n">
        <v>135000</v>
      </c>
      <c r="K1395" s="10" t="n">
        <v>270000</v>
      </c>
    </row>
    <row r="1396">
      <c r="A1396" s="10" t="inlineStr">
        <is>
          <t>INV-70484</t>
        </is>
      </c>
      <c r="B1396" s="10" t="inlineStr">
        <is>
          <t>2025-11-14</t>
        </is>
      </c>
      <c r="C1396" s="10" t="inlineStr">
        <is>
          <t>C1139</t>
        </is>
      </c>
      <c r="D1396" s="10" t="inlineStr">
        <is>
          <t>champion</t>
        </is>
      </c>
      <c r="E1396" s="10" t="inlineStr">
        <is>
          <t xml:space="preserve"> tokopedia</t>
        </is>
      </c>
      <c r="F1396" s="10" t="inlineStr">
        <is>
          <t>Lainnya</t>
        </is>
      </c>
      <c r="G1396" s="10" t="inlineStr">
        <is>
          <t>Elektronik</t>
        </is>
      </c>
      <c r="H1396" s="10" t="inlineStr">
        <is>
          <t>Earbuds TWS</t>
        </is>
      </c>
      <c r="I1396" s="10" t="n">
        <v>1</v>
      </c>
      <c r="J1396" s="10" t="n">
        <v>265000</v>
      </c>
      <c r="K1396" s="10" t="n">
        <v>265000</v>
      </c>
    </row>
    <row r="1397">
      <c r="A1397" s="10" t="inlineStr">
        <is>
          <t>INV-71133</t>
        </is>
      </c>
      <c r="B1397" s="10" t="inlineStr">
        <is>
          <t>2025-01-05</t>
        </is>
      </c>
      <c r="C1397" s="10" t="inlineStr">
        <is>
          <t>C1322</t>
        </is>
      </c>
      <c r="D1397" s="10" t="inlineStr">
        <is>
          <t>loyal</t>
        </is>
      </c>
      <c r="E1397" s="10" t="inlineStr">
        <is>
          <t xml:space="preserve">Shopee </t>
        </is>
      </c>
      <c r="F1397" s="10" t="inlineStr">
        <is>
          <t>Jabodetabek</t>
        </is>
      </c>
      <c r="G1397" s="10" t="inlineStr">
        <is>
          <t>Elektronik</t>
        </is>
      </c>
      <c r="H1397" s="10" t="inlineStr">
        <is>
          <t>Power Bank 20K</t>
        </is>
      </c>
      <c r="I1397" s="10" t="n">
        <v>4</v>
      </c>
      <c r="J1397" s="10" t="n">
        <v>185000</v>
      </c>
      <c r="K1397" s="10" t="n">
        <v>740000</v>
      </c>
    </row>
    <row r="1398">
      <c r="A1398" s="10" t="inlineStr">
        <is>
          <t>INV-70685</t>
        </is>
      </c>
      <c r="B1398" s="10" t="inlineStr">
        <is>
          <t>2026-05-21</t>
        </is>
      </c>
      <c r="C1398" s="10" t="inlineStr">
        <is>
          <t>C1186</t>
        </is>
      </c>
      <c r="D1398" s="10" t="inlineStr">
        <is>
          <t>loyal</t>
        </is>
      </c>
      <c r="E1398" s="10" t="inlineStr">
        <is>
          <t>Tokopedia</t>
        </is>
      </c>
      <c r="F1398" s="10" t="inlineStr">
        <is>
          <t>Jawa Timur</t>
        </is>
      </c>
      <c r="G1398" s="10" t="inlineStr">
        <is>
          <t>elektronik</t>
        </is>
      </c>
      <c r="H1398" s="10" t="inlineStr">
        <is>
          <t>Webcam HD</t>
        </is>
      </c>
      <c r="I1398" s="10" t="n">
        <v>1</v>
      </c>
      <c r="J1398" s="10" t="n">
        <v>210000</v>
      </c>
      <c r="K1398" s="10" t="n">
        <v>210000</v>
      </c>
    </row>
    <row r="1399">
      <c r="A1399" s="10" t="inlineStr">
        <is>
          <t>INV-71534</t>
        </is>
      </c>
      <c r="B1399" s="10" t="inlineStr">
        <is>
          <t>22/04/2026</t>
        </is>
      </c>
      <c r="C1399" s="10" t="inlineStr">
        <is>
          <t>C1422</t>
        </is>
      </c>
      <c r="D1399" s="10" t="inlineStr">
        <is>
          <t>regular</t>
        </is>
      </c>
      <c r="E1399" s="10" t="inlineStr">
        <is>
          <t xml:space="preserve"> tokopedia</t>
        </is>
      </c>
      <c r="F1399" s="10" t="inlineStr">
        <is>
          <t>Jabodetabek</t>
        </is>
      </c>
      <c r="G1399" s="10" t="inlineStr">
        <is>
          <t>Elektronik</t>
        </is>
      </c>
      <c r="H1399" s="10" t="inlineStr">
        <is>
          <t>Smartwatch</t>
        </is>
      </c>
      <c r="I1399" s="10" t="n">
        <v>2</v>
      </c>
      <c r="J1399" s="10" t="n">
        <v>450000</v>
      </c>
      <c r="K1399" s="10" t="inlineStr">
        <is>
          <t>Rp 900.000</t>
        </is>
      </c>
    </row>
    <row r="1400">
      <c r="A1400" s="10" t="inlineStr">
        <is>
          <t>INV-71438</t>
        </is>
      </c>
      <c r="B1400" s="10" t="inlineStr">
        <is>
          <t>2026-03-11</t>
        </is>
      </c>
      <c r="C1400" s="10" t="inlineStr">
        <is>
          <t>C1396</t>
        </is>
      </c>
      <c r="D1400" s="10" t="inlineStr">
        <is>
          <t>loyal</t>
        </is>
      </c>
      <c r="E1400" s="10" t="inlineStr">
        <is>
          <t>Tokopedia</t>
        </is>
      </c>
      <c r="F1400" s="10" t="inlineStr">
        <is>
          <t>Jawa Timur</t>
        </is>
      </c>
      <c r="G1400" s="10" t="inlineStr">
        <is>
          <t>Kecantikan</t>
        </is>
      </c>
      <c r="H1400" s="10" t="inlineStr">
        <is>
          <t>Masker Wajah (5s)</t>
        </is>
      </c>
      <c r="I1400" s="10" t="n">
        <v>1</v>
      </c>
      <c r="J1400" s="10" t="n">
        <v>55000</v>
      </c>
      <c r="K1400" s="10" t="n">
        <v>55000</v>
      </c>
    </row>
    <row r="1401">
      <c r="A1401" s="10" t="inlineStr">
        <is>
          <t>INV-71307</t>
        </is>
      </c>
      <c r="B1401" s="10" t="inlineStr">
        <is>
          <t>2025-03-22</t>
        </is>
      </c>
      <c r="C1401" s="10" t="inlineStr">
        <is>
          <t>C1361</t>
        </is>
      </c>
      <c r="D1401" s="10" t="inlineStr">
        <is>
          <t>champion</t>
        </is>
      </c>
      <c r="E1401" s="10" t="inlineStr">
        <is>
          <t>Tokopedia</t>
        </is>
      </c>
      <c r="F1401" s="10" t="inlineStr">
        <is>
          <t>Jabodetabek</t>
        </is>
      </c>
      <c r="G1401" s="10" t="inlineStr">
        <is>
          <t>Rumah Tangga</t>
        </is>
      </c>
      <c r="H1401" s="10" t="inlineStr">
        <is>
          <t>Set Wadah Kedap</t>
        </is>
      </c>
      <c r="I1401" s="10" t="n">
        <v>1</v>
      </c>
      <c r="J1401" s="10" t="n">
        <v>135000</v>
      </c>
      <c r="K1401" s="10" t="n">
        <v>135000</v>
      </c>
    </row>
    <row r="1402">
      <c r="A1402" s="10" t="inlineStr">
        <is>
          <t>INV-70477</t>
        </is>
      </c>
      <c r="B1402" s="10" t="inlineStr">
        <is>
          <t>2025-09-01</t>
        </is>
      </c>
      <c r="C1402" s="10" t="inlineStr">
        <is>
          <t>C1137</t>
        </is>
      </c>
      <c r="D1402" s="10" t="inlineStr">
        <is>
          <t>loyal</t>
        </is>
      </c>
      <c r="E1402" s="10" t="inlineStr">
        <is>
          <t>Tokopedia</t>
        </is>
      </c>
      <c r="F1402" s="10" t="inlineStr">
        <is>
          <t>Jabodetabek</t>
        </is>
      </c>
      <c r="G1402" s="10" t="inlineStr">
        <is>
          <t>Fashion</t>
        </is>
      </c>
      <c r="H1402" s="10" t="inlineStr">
        <is>
          <t>Kaos Premium</t>
        </is>
      </c>
      <c r="I1402" s="10" t="n">
        <v>1</v>
      </c>
      <c r="J1402" s="10" t="n">
        <v>95000</v>
      </c>
      <c r="K1402" s="10" t="n">
        <v>95000</v>
      </c>
    </row>
    <row r="1403">
      <c r="A1403" s="10" t="inlineStr">
        <is>
          <t>INV-71097</t>
        </is>
      </c>
      <c r="B1403" s="10" t="inlineStr">
        <is>
          <t>09/01/2026</t>
        </is>
      </c>
      <c r="C1403" s="10" t="inlineStr">
        <is>
          <t>C1307</t>
        </is>
      </c>
      <c r="D1403" s="10" t="inlineStr">
        <is>
          <t>onetime</t>
        </is>
      </c>
      <c r="E1403" s="10" t="inlineStr">
        <is>
          <t>TikTok Shop</t>
        </is>
      </c>
      <c r="F1403" s="10" t="inlineStr">
        <is>
          <t>Jawa Barat</t>
        </is>
      </c>
      <c r="G1403" s="10" t="inlineStr">
        <is>
          <t>Kecantikan</t>
        </is>
      </c>
      <c r="H1403" s="10" t="inlineStr">
        <is>
          <t>Masker Wajah (5s)</t>
        </is>
      </c>
      <c r="I1403" s="10" t="n">
        <v>3</v>
      </c>
      <c r="J1403" s="10" t="n">
        <v>55000</v>
      </c>
      <c r="K1403" s="10" t="n">
        <v>165000</v>
      </c>
    </row>
    <row r="1404">
      <c r="A1404" s="10" t="inlineStr">
        <is>
          <t>INV-70260</t>
        </is>
      </c>
      <c r="B1404" s="10" t="inlineStr">
        <is>
          <t>2026-05-26</t>
        </is>
      </c>
      <c r="C1404" s="10" t="inlineStr">
        <is>
          <t>C1073</t>
        </is>
      </c>
      <c r="D1404" s="10" t="inlineStr">
        <is>
          <t>regular</t>
        </is>
      </c>
      <c r="E1404" s="10" t="inlineStr">
        <is>
          <t xml:space="preserve">Shopee </t>
        </is>
      </c>
      <c r="F1404" s="10" t="inlineStr">
        <is>
          <t>Jawa Barat</t>
        </is>
      </c>
      <c r="G1404" s="10" t="inlineStr">
        <is>
          <t>Rumah Tangga</t>
        </is>
      </c>
      <c r="H1404" s="10" t="inlineStr">
        <is>
          <t>Set Wadah Kedap</t>
        </is>
      </c>
      <c r="I1404" s="10" t="n">
        <v>1</v>
      </c>
      <c r="J1404" s="10" t="n">
        <v>135000</v>
      </c>
      <c r="K1404" s="10" t="n">
        <v>135000</v>
      </c>
    </row>
    <row r="1405">
      <c r="A1405" s="10" t="inlineStr">
        <is>
          <t>INV-70175</t>
        </is>
      </c>
      <c r="B1405" s="10" t="inlineStr">
        <is>
          <t>2026-05-06</t>
        </is>
      </c>
      <c r="C1405" s="10" t="inlineStr">
        <is>
          <t>C1050</t>
        </is>
      </c>
      <c r="D1405" s="10" t="inlineStr">
        <is>
          <t>regular</t>
        </is>
      </c>
      <c r="E1405" s="10" t="inlineStr">
        <is>
          <t>Tokopedia</t>
        </is>
      </c>
      <c r="F1405" s="10" t="inlineStr">
        <is>
          <t>Sumatera</t>
        </is>
      </c>
      <c r="G1405" s="10" t="inlineStr">
        <is>
          <t>Elektronik</t>
        </is>
      </c>
      <c r="H1405" s="10" t="inlineStr">
        <is>
          <t>Smartwatch</t>
        </is>
      </c>
      <c r="I1405" s="10" t="n">
        <v>1</v>
      </c>
      <c r="J1405" s="10" t="n">
        <v>450000</v>
      </c>
      <c r="K1405" s="10" t="n">
        <v>450000</v>
      </c>
    </row>
    <row r="1406">
      <c r="A1406" s="10" t="inlineStr">
        <is>
          <t>INV-70139</t>
        </is>
      </c>
      <c r="B1406" s="10" t="inlineStr">
        <is>
          <t>2026-04-09</t>
        </is>
      </c>
      <c r="C1406" s="10" t="inlineStr">
        <is>
          <t>C1039</t>
        </is>
      </c>
      <c r="D1406" s="10" t="inlineStr">
        <is>
          <t>loyal</t>
        </is>
      </c>
      <c r="E1406" s="10" t="inlineStr">
        <is>
          <t>TikTok Shop</t>
        </is>
      </c>
      <c r="F1406" s="10" t="inlineStr">
        <is>
          <t>Lainnya</t>
        </is>
      </c>
      <c r="G1406" s="10" t="inlineStr">
        <is>
          <t>Elektronik</t>
        </is>
      </c>
      <c r="H1406" s="10" t="inlineStr">
        <is>
          <t>Keyboard Mekanik</t>
        </is>
      </c>
      <c r="I1406" s="10" t="n">
        <v>1</v>
      </c>
      <c r="J1406" s="10" t="n">
        <v>380000</v>
      </c>
      <c r="K1406" s="10" t="n">
        <v>380000</v>
      </c>
    </row>
    <row r="1407">
      <c r="A1407" s="10" t="inlineStr">
        <is>
          <t>INV-70959</t>
        </is>
      </c>
      <c r="B1407" s="10" t="inlineStr">
        <is>
          <t>21/01/2025</t>
        </is>
      </c>
      <c r="C1407" s="10" t="inlineStr">
        <is>
          <t>C1273</t>
        </is>
      </c>
      <c r="D1407" s="10" t="inlineStr">
        <is>
          <t>loyal</t>
        </is>
      </c>
      <c r="E1407" s="10" t="inlineStr">
        <is>
          <t>Shopee</t>
        </is>
      </c>
      <c r="F1407" s="10" t="inlineStr">
        <is>
          <t>Jabodetabek</t>
        </is>
      </c>
      <c r="G1407" s="10" t="inlineStr">
        <is>
          <t>Rumah Tangga</t>
        </is>
      </c>
      <c r="H1407" s="10" t="inlineStr">
        <is>
          <t>Set Wadah Kedap</t>
        </is>
      </c>
      <c r="I1407" s="10" t="n">
        <v>1</v>
      </c>
      <c r="J1407" s="10" t="n">
        <v>135000</v>
      </c>
      <c r="K1407" s="10" t="n">
        <v>135000</v>
      </c>
    </row>
    <row r="1408">
      <c r="A1408" s="10" t="inlineStr">
        <is>
          <t>INV-70535</t>
        </is>
      </c>
      <c r="B1408" s="10" t="inlineStr">
        <is>
          <t>2025-09-15</t>
        </is>
      </c>
      <c r="C1408" s="10" t="inlineStr">
        <is>
          <t>C1147</t>
        </is>
      </c>
      <c r="D1408" s="10" t="inlineStr">
        <is>
          <t>regular</t>
        </is>
      </c>
      <c r="E1408" s="10" t="inlineStr">
        <is>
          <t>Shopee</t>
        </is>
      </c>
      <c r="F1408" s="10" t="inlineStr">
        <is>
          <t>Jawa Tengah</t>
        </is>
      </c>
      <c r="G1408" s="10" t="inlineStr">
        <is>
          <t>Fashion</t>
        </is>
      </c>
      <c r="H1408" s="10" t="inlineStr">
        <is>
          <t>Kemeja Linen</t>
        </is>
      </c>
      <c r="I1408" s="10" t="n">
        <v>1</v>
      </c>
      <c r="J1408" s="10" t="n">
        <v>185000</v>
      </c>
      <c r="K1408" s="10" t="n">
        <v>185000</v>
      </c>
    </row>
    <row r="1409">
      <c r="A1409" s="10" t="inlineStr">
        <is>
          <t>INV-71093</t>
        </is>
      </c>
      <c r="B1409" s="10" t="inlineStr">
        <is>
          <t>15/12/2025</t>
        </is>
      </c>
      <c r="C1409" s="10" t="inlineStr">
        <is>
          <t>C1306</t>
        </is>
      </c>
      <c r="D1409" s="10" t="inlineStr">
        <is>
          <t>loyal</t>
        </is>
      </c>
      <c r="E1409" s="10" t="inlineStr">
        <is>
          <t xml:space="preserve">Offline store </t>
        </is>
      </c>
      <c r="F1409" s="10" t="inlineStr">
        <is>
          <t>Jabodetabek</t>
        </is>
      </c>
      <c r="G1409" s="10" t="inlineStr">
        <is>
          <t>Rumah Tangga</t>
        </is>
      </c>
      <c r="H1409" s="10" t="inlineStr">
        <is>
          <t>Set Wadah Kedap</t>
        </is>
      </c>
      <c r="I1409" s="10" t="n">
        <v>1</v>
      </c>
      <c r="J1409" s="10" t="n">
        <v>135000</v>
      </c>
      <c r="K1409" s="10" t="n">
        <v>135000</v>
      </c>
    </row>
    <row r="1410">
      <c r="A1410" s="10" t="inlineStr">
        <is>
          <t>INV-71448</t>
        </is>
      </c>
      <c r="B1410" s="10" t="inlineStr">
        <is>
          <t>26/11/2025</t>
        </is>
      </c>
      <c r="C1410" s="10" t="inlineStr">
        <is>
          <t>C1400</t>
        </is>
      </c>
      <c r="D1410" s="10" t="inlineStr">
        <is>
          <t>regular</t>
        </is>
      </c>
      <c r="E1410" s="10" t="inlineStr">
        <is>
          <t>TikTok Shop</t>
        </is>
      </c>
      <c r="F1410" s="10" t="inlineStr">
        <is>
          <t>Jabodetabek</t>
        </is>
      </c>
      <c r="G1410" s="10" t="inlineStr">
        <is>
          <t>Kecantikan</t>
        </is>
      </c>
      <c r="H1410" s="10" t="inlineStr">
        <is>
          <t>Masker Wajah (5s)</t>
        </is>
      </c>
      <c r="I1410" s="10" t="n">
        <v>1</v>
      </c>
      <c r="J1410" s="10" t="n">
        <v>55000</v>
      </c>
      <c r="K1410" s="10" t="n">
        <v>55000</v>
      </c>
    </row>
    <row r="1411">
      <c r="A1411" s="10" t="inlineStr">
        <is>
          <t>INV-70464</t>
        </is>
      </c>
      <c r="B1411" s="10" t="inlineStr">
        <is>
          <t>25 Jul 2025</t>
        </is>
      </c>
      <c r="C1411" s="10" t="inlineStr">
        <is>
          <t>C1132</t>
        </is>
      </c>
      <c r="D1411" s="10" t="inlineStr">
        <is>
          <t>regular</t>
        </is>
      </c>
      <c r="E1411" s="10" t="inlineStr">
        <is>
          <t xml:space="preserve">Tokopedia </t>
        </is>
      </c>
      <c r="F1411" s="10" t="inlineStr">
        <is>
          <t>Jawa Timur</t>
        </is>
      </c>
      <c r="G1411" s="10" t="inlineStr">
        <is>
          <t>Elektronik</t>
        </is>
      </c>
      <c r="H1411" s="10" t="inlineStr">
        <is>
          <t>Keyboard Mekanik</t>
        </is>
      </c>
      <c r="I1411" s="10" t="n">
        <v>4</v>
      </c>
      <c r="J1411" s="10" t="n">
        <v>380000</v>
      </c>
      <c r="K1411" s="10" t="n">
        <v>1520000</v>
      </c>
    </row>
    <row r="1412">
      <c r="A1412" s="10" t="inlineStr">
        <is>
          <t>INV-70064</t>
        </is>
      </c>
      <c r="B1412" s="10" t="inlineStr">
        <is>
          <t>2025-01-05</t>
        </is>
      </c>
      <c r="C1412" s="10" t="inlineStr">
        <is>
          <t>C1018</t>
        </is>
      </c>
      <c r="D1412" s="10" t="inlineStr">
        <is>
          <t>onetime</t>
        </is>
      </c>
      <c r="E1412" s="10" t="inlineStr">
        <is>
          <t>Shopee</t>
        </is>
      </c>
      <c r="F1412" s="10" t="inlineStr">
        <is>
          <t>Jawa Barat</t>
        </is>
      </c>
      <c r="G1412" s="10" t="inlineStr">
        <is>
          <t>Elektronik</t>
        </is>
      </c>
      <c r="H1412" s="10" t="inlineStr">
        <is>
          <t>Webcam HD</t>
        </is>
      </c>
      <c r="I1412" s="10" t="n">
        <v>1</v>
      </c>
      <c r="J1412" s="10" t="n">
        <v>210000</v>
      </c>
      <c r="K1412" s="10" t="n">
        <v>210000</v>
      </c>
    </row>
    <row r="1413">
      <c r="A1413" s="10" t="inlineStr">
        <is>
          <t>INV-71268</t>
        </is>
      </c>
      <c r="B1413" s="10" t="inlineStr">
        <is>
          <t>2025-10-22</t>
        </is>
      </c>
      <c r="C1413" s="10" t="inlineStr">
        <is>
          <t>C1358</t>
        </is>
      </c>
      <c r="D1413" s="10" t="inlineStr">
        <is>
          <t>champion</t>
        </is>
      </c>
      <c r="E1413" s="10" t="inlineStr">
        <is>
          <t>Tokopedia</t>
        </is>
      </c>
      <c r="F1413" s="10" t="inlineStr">
        <is>
          <t>Jawa Barat</t>
        </is>
      </c>
      <c r="G1413" s="10" t="inlineStr">
        <is>
          <t>Elektronik</t>
        </is>
      </c>
      <c r="H1413" s="10" t="inlineStr">
        <is>
          <t>Smartwatch</t>
        </is>
      </c>
      <c r="I1413" s="10" t="n">
        <v>3</v>
      </c>
      <c r="J1413" s="10" t="n">
        <v>450000</v>
      </c>
      <c r="K1413" s="10" t="n">
        <v>1350000</v>
      </c>
    </row>
    <row r="1414">
      <c r="A1414" s="10" t="inlineStr">
        <is>
          <t>INV-71261</t>
        </is>
      </c>
      <c r="B1414" s="10" t="inlineStr">
        <is>
          <t>2025-05-23</t>
        </is>
      </c>
      <c r="C1414" s="10" t="inlineStr">
        <is>
          <t>C1358</t>
        </is>
      </c>
      <c r="D1414" s="10" t="inlineStr">
        <is>
          <t>champion</t>
        </is>
      </c>
      <c r="E1414" s="10" t="inlineStr">
        <is>
          <t>Shopee</t>
        </is>
      </c>
      <c r="F1414" s="10" t="inlineStr">
        <is>
          <t>Jawa Timur</t>
        </is>
      </c>
      <c r="G1414" s="10" t="inlineStr">
        <is>
          <t>rumah tangga</t>
        </is>
      </c>
      <c r="H1414" s="10" t="inlineStr">
        <is>
          <t>Organizer Laci</t>
        </is>
      </c>
      <c r="I1414" s="10" t="n">
        <v>1</v>
      </c>
      <c r="J1414" s="10" t="n">
        <v>78000</v>
      </c>
      <c r="K1414" s="10" t="n">
        <v>78000</v>
      </c>
    </row>
    <row r="1415">
      <c r="A1415" s="10" t="inlineStr">
        <is>
          <t>INV-70058</t>
        </is>
      </c>
      <c r="B1415" s="10" t="inlineStr">
        <is>
          <t>2025-01-08</t>
        </is>
      </c>
      <c r="C1415" s="10" t="inlineStr">
        <is>
          <t>C1016</t>
        </is>
      </c>
      <c r="D1415" s="10" t="inlineStr">
        <is>
          <t>regular</t>
        </is>
      </c>
      <c r="E1415" s="10" t="inlineStr">
        <is>
          <t>Shopee</t>
        </is>
      </c>
      <c r="F1415" s="10" t="inlineStr">
        <is>
          <t>Jabodetabek</t>
        </is>
      </c>
      <c r="G1415" s="10" t="inlineStr">
        <is>
          <t>Kecantikan</t>
        </is>
      </c>
      <c r="H1415" s="10" t="inlineStr">
        <is>
          <t>Masker Wajah (5s)</t>
        </is>
      </c>
      <c r="I1415" s="10" t="n">
        <v>1</v>
      </c>
      <c r="J1415" s="10" t="n">
        <v>55000</v>
      </c>
      <c r="K1415" s="10" t="n">
        <v>55000</v>
      </c>
    </row>
    <row r="1416">
      <c r="A1416" s="10" t="inlineStr">
        <is>
          <t>INV-70376</t>
        </is>
      </c>
      <c r="B1416" s="10" t="inlineStr">
        <is>
          <t>2025-09-22</t>
        </is>
      </c>
      <c r="C1416" s="10" t="inlineStr">
        <is>
          <t>C1110</t>
        </is>
      </c>
      <c r="D1416" s="10" t="inlineStr">
        <is>
          <t>loyal</t>
        </is>
      </c>
      <c r="E1416" s="10" t="inlineStr">
        <is>
          <t>Tokopedia</t>
        </is>
      </c>
      <c r="F1416" s="10" t="inlineStr">
        <is>
          <t>Jabodetabek</t>
        </is>
      </c>
      <c r="G1416" s="10" t="inlineStr">
        <is>
          <t>Elektronik</t>
        </is>
      </c>
      <c r="H1416" s="10" t="inlineStr">
        <is>
          <t>Webcam HD</t>
        </is>
      </c>
      <c r="I1416" s="10" t="n">
        <v>2</v>
      </c>
      <c r="J1416" s="10" t="n">
        <v>210000</v>
      </c>
      <c r="K1416" s="10" t="n">
        <v>420000</v>
      </c>
    </row>
    <row r="1417">
      <c r="A1417" s="10" t="inlineStr">
        <is>
          <t>INV-71167</t>
        </is>
      </c>
      <c r="B1417" s="10" t="inlineStr">
        <is>
          <t>24 Apr 2025</t>
        </is>
      </c>
      <c r="C1417" s="10" t="inlineStr">
        <is>
          <t>C1330</t>
        </is>
      </c>
      <c r="D1417" s="10" t="inlineStr">
        <is>
          <t>regular</t>
        </is>
      </c>
      <c r="E1417" s="10" t="inlineStr">
        <is>
          <t>Shopee</t>
        </is>
      </c>
      <c r="F1417" s="10" t="inlineStr">
        <is>
          <t>Jabodetabek</t>
        </is>
      </c>
      <c r="G1417" s="10" t="inlineStr">
        <is>
          <t>Elektronik</t>
        </is>
      </c>
      <c r="H1417" s="10" t="inlineStr">
        <is>
          <t>Webcam HD</t>
        </is>
      </c>
      <c r="I1417" s="10" t="n">
        <v>3</v>
      </c>
      <c r="J1417" s="10" t="n">
        <v>210000</v>
      </c>
      <c r="K1417" s="10" t="n">
        <v>630000</v>
      </c>
    </row>
    <row r="1418">
      <c r="A1418" s="10" t="inlineStr">
        <is>
          <t>INV-71518</t>
        </is>
      </c>
      <c r="B1418" s="10" t="inlineStr">
        <is>
          <t>2025-03-15</t>
        </is>
      </c>
      <c r="C1418" s="10" t="inlineStr">
        <is>
          <t>C1417</t>
        </is>
      </c>
      <c r="D1418" s="10" t="inlineStr">
        <is>
          <t>occasional</t>
        </is>
      </c>
      <c r="E1418" s="10" t="inlineStr">
        <is>
          <t xml:space="preserve">Offline store </t>
        </is>
      </c>
      <c r="F1418" s="10" t="inlineStr">
        <is>
          <t>Jabodetabek</t>
        </is>
      </c>
      <c r="G1418" s="10" t="inlineStr">
        <is>
          <t>Fashion</t>
        </is>
      </c>
      <c r="H1418" s="10" t="inlineStr">
        <is>
          <t>Celana Chino</t>
        </is>
      </c>
      <c r="I1418" s="10" t="n">
        <v>4</v>
      </c>
      <c r="J1418" s="10" t="n">
        <v>195000</v>
      </c>
      <c r="K1418" s="10" t="inlineStr">
        <is>
          <t>Rp 780.000</t>
        </is>
      </c>
    </row>
    <row r="1419">
      <c r="A1419" s="10" t="inlineStr">
        <is>
          <t>INV-71096</t>
        </is>
      </c>
      <c r="B1419" s="10" t="inlineStr">
        <is>
          <t>20 Jan 2026</t>
        </is>
      </c>
      <c r="C1419" s="10" t="inlineStr">
        <is>
          <t>C1306</t>
        </is>
      </c>
      <c r="D1419" s="10" t="inlineStr">
        <is>
          <t>loyal</t>
        </is>
      </c>
      <c r="E1419" s="10" t="inlineStr">
        <is>
          <t xml:space="preserve"> tokopedia</t>
        </is>
      </c>
      <c r="F1419" s="10" t="inlineStr">
        <is>
          <t>Jabodetabek</t>
        </is>
      </c>
      <c r="G1419" s="10" t="inlineStr">
        <is>
          <t>Rumah Tangga</t>
        </is>
      </c>
      <c r="H1419" s="10" t="inlineStr">
        <is>
          <t>Set Wadah Kedap</t>
        </is>
      </c>
      <c r="I1419" s="10" t="n">
        <v>1</v>
      </c>
      <c r="J1419" s="10" t="n">
        <v>135000</v>
      </c>
      <c r="K1419" s="10" t="n">
        <v>135000</v>
      </c>
    </row>
    <row r="1420">
      <c r="A1420" s="10" t="inlineStr">
        <is>
          <t>INV-70313</t>
        </is>
      </c>
      <c r="B1420" s="10" t="inlineStr">
        <is>
          <t>2026-04-11</t>
        </is>
      </c>
      <c r="C1420" s="10" t="inlineStr">
        <is>
          <t>C1088</t>
        </is>
      </c>
      <c r="D1420" s="10" t="inlineStr">
        <is>
          <t>champion</t>
        </is>
      </c>
      <c r="E1420" s="10" t="inlineStr">
        <is>
          <t>Shopee</t>
        </is>
      </c>
      <c r="F1420" s="10" t="inlineStr">
        <is>
          <t>Sumatera</t>
        </is>
      </c>
      <c r="G1420" s="10" t="inlineStr">
        <is>
          <t>Fashion</t>
        </is>
      </c>
      <c r="H1420" s="10" t="inlineStr">
        <is>
          <t>Celana Chino</t>
        </is>
      </c>
      <c r="I1420" s="10" t="n">
        <v>2</v>
      </c>
      <c r="J1420" s="10" t="n">
        <v>195000</v>
      </c>
      <c r="K1420" s="10" t="n">
        <v>390000</v>
      </c>
    </row>
    <row r="1421">
      <c r="A1421" s="10" t="inlineStr">
        <is>
          <t>INV-70339</t>
        </is>
      </c>
      <c r="B1421" s="10" t="inlineStr">
        <is>
          <t>22 Apr 2025</t>
        </is>
      </c>
      <c r="C1421" s="10" t="inlineStr">
        <is>
          <t>C1093</t>
        </is>
      </c>
      <c r="D1421" s="10" t="inlineStr">
        <is>
          <t>champion</t>
        </is>
      </c>
      <c r="E1421" s="10" t="inlineStr">
        <is>
          <t xml:space="preserve">Offline store </t>
        </is>
      </c>
      <c r="F1421" s="10" t="inlineStr">
        <is>
          <t>Jabodetabek</t>
        </is>
      </c>
      <c r="G1421" s="10" t="inlineStr">
        <is>
          <t>Fashion</t>
        </is>
      </c>
      <c r="H1421" s="10" t="inlineStr">
        <is>
          <t>Dress Casual</t>
        </is>
      </c>
      <c r="I1421" s="10" t="n">
        <v>1</v>
      </c>
      <c r="J1421" s="10" t="n">
        <v>225000</v>
      </c>
      <c r="K1421" s="10" t="inlineStr">
        <is>
          <t>Rp 225.000</t>
        </is>
      </c>
    </row>
    <row r="1422">
      <c r="A1422" s="10" t="inlineStr">
        <is>
          <t>INV-70668</t>
        </is>
      </c>
      <c r="B1422" s="10" t="inlineStr">
        <is>
          <t>05/05/2026</t>
        </is>
      </c>
      <c r="C1422" s="10" t="inlineStr">
        <is>
          <t>C1184</t>
        </is>
      </c>
      <c r="D1422" s="10" t="inlineStr">
        <is>
          <t>loyal</t>
        </is>
      </c>
      <c r="E1422" s="10" t="inlineStr">
        <is>
          <t>Tokopedia</t>
        </is>
      </c>
      <c r="F1422" s="10" t="inlineStr">
        <is>
          <t>Jawa Barat</t>
        </is>
      </c>
      <c r="G1422" s="10" t="inlineStr">
        <is>
          <t>Elektronik</t>
        </is>
      </c>
      <c r="H1422" s="10" t="inlineStr">
        <is>
          <t>Smartwatch</t>
        </is>
      </c>
      <c r="I1422" s="10" t="n">
        <v>1</v>
      </c>
      <c r="J1422" s="10" t="n">
        <v>450000</v>
      </c>
      <c r="K1422" s="10" t="n">
        <v>450000</v>
      </c>
    </row>
    <row r="1423">
      <c r="A1423" s="10" t="inlineStr">
        <is>
          <t>INV-70898</t>
        </is>
      </c>
      <c r="B1423" s="10" t="inlineStr">
        <is>
          <t>23/04/2025</t>
        </is>
      </c>
      <c r="C1423" s="10" t="inlineStr">
        <is>
          <t>C1252</t>
        </is>
      </c>
      <c r="D1423" s="10" t="inlineStr">
        <is>
          <t>regular</t>
        </is>
      </c>
      <c r="E1423" s="10" t="inlineStr">
        <is>
          <t>Shopee</t>
        </is>
      </c>
      <c r="F1423" s="10" t="inlineStr">
        <is>
          <t>Sumatera</t>
        </is>
      </c>
      <c r="G1423" s="10" t="inlineStr">
        <is>
          <t>Rumah Tangga</t>
        </is>
      </c>
      <c r="H1423" s="10" t="inlineStr">
        <is>
          <t>Set Wadah Kedap</t>
        </is>
      </c>
      <c r="I1423" s="10" t="n">
        <v>3</v>
      </c>
      <c r="J1423" s="10" t="n">
        <v>135000</v>
      </c>
      <c r="K1423" s="10" t="n">
        <v>405000</v>
      </c>
    </row>
    <row r="1424">
      <c r="A1424" s="10" t="inlineStr">
        <is>
          <t>INV-71333</t>
        </is>
      </c>
      <c r="B1424" s="10" t="inlineStr">
        <is>
          <t>2026-05-10</t>
        </is>
      </c>
      <c r="C1424" s="10" t="inlineStr">
        <is>
          <t>C1368</t>
        </is>
      </c>
      <c r="D1424" s="10" t="inlineStr">
        <is>
          <t>regular</t>
        </is>
      </c>
      <c r="E1424" s="10" t="inlineStr">
        <is>
          <t>TikTok Shop</t>
        </is>
      </c>
      <c r="F1424" s="10" t="inlineStr">
        <is>
          <t>Jawa Tengah</t>
        </is>
      </c>
      <c r="G1424" s="10" t="inlineStr">
        <is>
          <t>Rumah Tangga</t>
        </is>
      </c>
      <c r="H1424" s="10" t="inlineStr">
        <is>
          <t>Set Wadah Kedap</t>
        </is>
      </c>
      <c r="I1424" s="10" t="n">
        <v>1</v>
      </c>
      <c r="J1424" s="10" t="n">
        <v>135000</v>
      </c>
      <c r="K1424" s="10" t="n">
        <v>135000</v>
      </c>
    </row>
    <row r="1425">
      <c r="A1425" s="10" t="inlineStr">
        <is>
          <t>INV-71148</t>
        </is>
      </c>
      <c r="B1425" s="10" t="inlineStr">
        <is>
          <t>2026-05-20</t>
        </is>
      </c>
      <c r="C1425" s="10" t="inlineStr">
        <is>
          <t>C1325</t>
        </is>
      </c>
      <c r="D1425" s="10" t="inlineStr">
        <is>
          <t>regular</t>
        </is>
      </c>
      <c r="E1425" s="10" t="inlineStr">
        <is>
          <t>Shopee</t>
        </is>
      </c>
      <c r="F1425" s="10" t="inlineStr">
        <is>
          <t>Jabodetabek</t>
        </is>
      </c>
      <c r="G1425" s="10" t="inlineStr">
        <is>
          <t>Elektronik</t>
        </is>
      </c>
      <c r="H1425" s="10" t="inlineStr">
        <is>
          <t>Keyboard Mekanik</t>
        </is>
      </c>
      <c r="I1425" s="10" t="n">
        <v>1</v>
      </c>
      <c r="J1425" s="10" t="n">
        <v>380000</v>
      </c>
      <c r="K1425" s="10" t="n">
        <v>380000</v>
      </c>
    </row>
    <row r="1426">
      <c r="A1426" s="10" t="inlineStr">
        <is>
          <t>INV-71383</t>
        </is>
      </c>
      <c r="B1426" s="10" t="inlineStr">
        <is>
          <t>2025-07-02</t>
        </is>
      </c>
      <c r="C1426" s="10" t="inlineStr">
        <is>
          <t>C1383</t>
        </is>
      </c>
      <c r="D1426" s="10" t="inlineStr">
        <is>
          <t>loyal</t>
        </is>
      </c>
      <c r="E1426" s="10" t="inlineStr">
        <is>
          <t xml:space="preserve">Shopee </t>
        </is>
      </c>
      <c r="F1426" s="10" t="inlineStr">
        <is>
          <t>Lainnya</t>
        </is>
      </c>
      <c r="G1426" s="10" t="inlineStr">
        <is>
          <t>Rumah Tangga</t>
        </is>
      </c>
      <c r="H1426" s="10" t="inlineStr">
        <is>
          <t>Organizer Laci</t>
        </is>
      </c>
      <c r="I1426" s="10" t="n">
        <v>1</v>
      </c>
      <c r="J1426" s="10" t="n">
        <v>78000</v>
      </c>
      <c r="K1426" s="10" t="n">
        <v>78000</v>
      </c>
    </row>
    <row r="1427">
      <c r="A1427" s="10" t="inlineStr">
        <is>
          <t>INV-71065</t>
        </is>
      </c>
      <c r="B1427" s="10" t="inlineStr">
        <is>
          <t>2025-07-21</t>
        </is>
      </c>
      <c r="C1427" s="10" t="inlineStr">
        <is>
          <t>C1301</t>
        </is>
      </c>
      <c r="D1427" s="10" t="inlineStr">
        <is>
          <t>regular</t>
        </is>
      </c>
      <c r="E1427" s="10" t="inlineStr">
        <is>
          <t>shopee</t>
        </is>
      </c>
      <c r="F1427" s="10" t="inlineStr">
        <is>
          <t>Jabodetabek</t>
        </is>
      </c>
      <c r="G1427" s="10" t="inlineStr">
        <is>
          <t>Rumah Tangga</t>
        </is>
      </c>
      <c r="H1427" s="10" t="inlineStr">
        <is>
          <t>Set Wadah Kedap</t>
        </is>
      </c>
      <c r="I1427" s="10" t="n">
        <v>2</v>
      </c>
      <c r="J1427" s="10" t="n">
        <v>135000</v>
      </c>
      <c r="K1427" s="10" t="n">
        <v>270000</v>
      </c>
    </row>
    <row r="1428">
      <c r="A1428" s="10" t="inlineStr">
        <is>
          <t>INV-70868</t>
        </is>
      </c>
      <c r="B1428" s="10" t="inlineStr">
        <is>
          <t>10/01/2025</t>
        </is>
      </c>
      <c r="C1428" s="10" t="inlineStr">
        <is>
          <t>C1245</t>
        </is>
      </c>
      <c r="D1428" s="10" t="inlineStr">
        <is>
          <t>regular</t>
        </is>
      </c>
      <c r="E1428" s="10" t="inlineStr">
        <is>
          <t>offline store</t>
        </is>
      </c>
      <c r="F1428" s="10" t="inlineStr">
        <is>
          <t>Jabodetabek</t>
        </is>
      </c>
      <c r="G1428" s="10" t="inlineStr">
        <is>
          <t>Elektronik</t>
        </is>
      </c>
      <c r="H1428" s="10" t="inlineStr">
        <is>
          <t>Webcam HD</t>
        </is>
      </c>
      <c r="I1428" s="10" t="n">
        <v>2</v>
      </c>
      <c r="J1428" s="10" t="n">
        <v>210000</v>
      </c>
      <c r="K1428" s="10" t="n">
        <v>420000</v>
      </c>
    </row>
    <row r="1429">
      <c r="A1429" s="10" t="inlineStr">
        <is>
          <t>INV-71141</t>
        </is>
      </c>
      <c r="B1429" s="10" t="inlineStr">
        <is>
          <t>2025-05-03</t>
        </is>
      </c>
      <c r="C1429" s="10" t="inlineStr">
        <is>
          <t>C1322</t>
        </is>
      </c>
      <c r="D1429" s="10" t="inlineStr">
        <is>
          <t>loyal</t>
        </is>
      </c>
      <c r="E1429" s="10" t="inlineStr">
        <is>
          <t>Shopee</t>
        </is>
      </c>
      <c r="F1429" s="10" t="inlineStr">
        <is>
          <t>Sumatera</t>
        </is>
      </c>
      <c r="G1429" s="10" t="inlineStr">
        <is>
          <t>Rumah Tangga</t>
        </is>
      </c>
      <c r="H1429" s="10" t="inlineStr">
        <is>
          <t>Organizer Laci</t>
        </is>
      </c>
      <c r="I1429" s="10" t="n">
        <v>1</v>
      </c>
      <c r="J1429" s="10" t="n">
        <v>78000</v>
      </c>
      <c r="K1429" s="10" t="n">
        <v>78000</v>
      </c>
    </row>
    <row r="1430">
      <c r="A1430" s="10" t="inlineStr">
        <is>
          <t>INV-71142</t>
        </is>
      </c>
      <c r="B1430" s="10" t="inlineStr">
        <is>
          <t>2025-08-13</t>
        </is>
      </c>
      <c r="C1430" s="10" t="inlineStr">
        <is>
          <t>C1322</t>
        </is>
      </c>
      <c r="D1430" s="10" t="inlineStr">
        <is>
          <t>loyal</t>
        </is>
      </c>
      <c r="E1430" s="10" t="inlineStr">
        <is>
          <t>TikTok Shop</t>
        </is>
      </c>
      <c r="F1430" s="10" t="inlineStr">
        <is>
          <t>Jawa Timur</t>
        </is>
      </c>
      <c r="G1430" s="10" t="inlineStr">
        <is>
          <t>Kecantikan</t>
        </is>
      </c>
      <c r="H1430" s="10" t="inlineStr">
        <is>
          <t>Masker Wajah (5s)</t>
        </is>
      </c>
      <c r="I1430" s="10" t="n">
        <v>1</v>
      </c>
      <c r="J1430" s="10" t="n">
        <v>55000</v>
      </c>
      <c r="K1430" s="10" t="n">
        <v>55000</v>
      </c>
    </row>
    <row r="1431">
      <c r="A1431" s="10" t="inlineStr">
        <is>
          <t>INV-71108</t>
        </is>
      </c>
      <c r="B1431" s="10" t="inlineStr">
        <is>
          <t>2025-03-05</t>
        </is>
      </c>
      <c r="C1431" s="10" t="inlineStr">
        <is>
          <t>C1310</t>
        </is>
      </c>
      <c r="D1431" s="10" t="inlineStr">
        <is>
          <t>loyal</t>
        </is>
      </c>
      <c r="E1431" s="10" t="inlineStr">
        <is>
          <t xml:space="preserve">Tokopedia </t>
        </is>
      </c>
      <c r="F1431" s="10" t="inlineStr">
        <is>
          <t>Jawa Timur</t>
        </is>
      </c>
      <c r="G1431" s="10" t="inlineStr">
        <is>
          <t>Elektronik</t>
        </is>
      </c>
      <c r="H1431" s="10" t="inlineStr">
        <is>
          <t>Keyboard Mekanik</t>
        </is>
      </c>
      <c r="I1431" s="10" t="n">
        <v>1</v>
      </c>
      <c r="J1431" s="10" t="n">
        <v>380000</v>
      </c>
      <c r="K1431" s="10" t="n">
        <v>380000</v>
      </c>
    </row>
    <row r="1432">
      <c r="A1432" s="10" t="inlineStr">
        <is>
          <t>INV-70949</t>
        </is>
      </c>
      <c r="B1432" s="10" t="inlineStr">
        <is>
          <t>2026-01-09</t>
        </is>
      </c>
      <c r="C1432" s="10" t="inlineStr">
        <is>
          <t>C1268</t>
        </is>
      </c>
      <c r="D1432" s="10" t="inlineStr">
        <is>
          <t>regular</t>
        </is>
      </c>
      <c r="E1432" s="10" t="inlineStr">
        <is>
          <t>Tokopedia</t>
        </is>
      </c>
      <c r="F1432" s="10" t="inlineStr">
        <is>
          <t>Jabodetabek</t>
        </is>
      </c>
      <c r="G1432" s="10" t="inlineStr">
        <is>
          <t>Rumah Tangga</t>
        </is>
      </c>
      <c r="H1432" s="10" t="inlineStr">
        <is>
          <t>Set Wadah Kedap</t>
        </is>
      </c>
      <c r="I1432" s="10" t="n">
        <v>4</v>
      </c>
      <c r="J1432" s="10" t="n">
        <v>135000</v>
      </c>
      <c r="K1432" s="10" t="inlineStr">
        <is>
          <t>Rp 540.000</t>
        </is>
      </c>
    </row>
    <row r="1433">
      <c r="A1433" s="10" t="inlineStr">
        <is>
          <t>INV-71269</t>
        </is>
      </c>
      <c r="B1433" s="10" t="inlineStr">
        <is>
          <t>2026-05-22</t>
        </is>
      </c>
      <c r="C1433" s="10" t="inlineStr">
        <is>
          <t>C1358</t>
        </is>
      </c>
      <c r="D1433" s="10" t="inlineStr">
        <is>
          <t>champion</t>
        </is>
      </c>
      <c r="E1433" s="10" t="inlineStr">
        <is>
          <t xml:space="preserve">Offline store </t>
        </is>
      </c>
      <c r="F1433" s="10" t="inlineStr">
        <is>
          <t>Jawa Timur</t>
        </is>
      </c>
      <c r="G1433" s="10" t="inlineStr">
        <is>
          <t>Rumah Tangga</t>
        </is>
      </c>
      <c r="H1433" s="10" t="inlineStr">
        <is>
          <t>Set Wadah Kedap</t>
        </is>
      </c>
      <c r="I1433" s="10" t="n">
        <v>3</v>
      </c>
      <c r="J1433" s="10" t="n">
        <v>135000</v>
      </c>
      <c r="K1433" s="10" t="n">
        <v>405000</v>
      </c>
    </row>
    <row r="1434">
      <c r="A1434" s="10" t="inlineStr">
        <is>
          <t>INV-70662</t>
        </is>
      </c>
      <c r="B1434" s="10" t="inlineStr">
        <is>
          <t>2025-05-17</t>
        </is>
      </c>
      <c r="C1434" s="10" t="inlineStr">
        <is>
          <t>C1180</t>
        </is>
      </c>
      <c r="D1434" s="10" t="inlineStr">
        <is>
          <t>occasional</t>
        </is>
      </c>
      <c r="E1434" s="10" t="inlineStr">
        <is>
          <t xml:space="preserve"> tokopedia</t>
        </is>
      </c>
      <c r="F1434" s="10" t="inlineStr">
        <is>
          <t>Jabodetabek</t>
        </is>
      </c>
      <c r="G1434" s="10" t="inlineStr">
        <is>
          <t>Rumah Tangga</t>
        </is>
      </c>
      <c r="H1434" s="10" t="inlineStr">
        <is>
          <t>Set Wadah Kedap</t>
        </is>
      </c>
      <c r="I1434" s="10" t="n">
        <v>1</v>
      </c>
      <c r="J1434" s="10" t="n">
        <v>135000</v>
      </c>
      <c r="K1434" s="10" t="n">
        <v>135000</v>
      </c>
    </row>
    <row r="1435">
      <c r="A1435" s="10" t="inlineStr">
        <is>
          <t>INV-71202</t>
        </is>
      </c>
      <c r="B1435" s="10" t="inlineStr">
        <is>
          <t>2025-12-23</t>
        </is>
      </c>
      <c r="C1435" s="10" t="inlineStr">
        <is>
          <t>C1340</t>
        </is>
      </c>
      <c r="D1435" s="10" t="inlineStr">
        <is>
          <t>loyal</t>
        </is>
      </c>
      <c r="E1435" s="10" t="inlineStr">
        <is>
          <t xml:space="preserve">Shopee </t>
        </is>
      </c>
      <c r="F1435" s="10" t="inlineStr">
        <is>
          <t>Jabodetabek</t>
        </is>
      </c>
      <c r="G1435" s="10" t="inlineStr">
        <is>
          <t>elektronik</t>
        </is>
      </c>
      <c r="H1435" s="10" t="inlineStr">
        <is>
          <t>Webcam HD</t>
        </is>
      </c>
      <c r="I1435" s="10" t="n">
        <v>1</v>
      </c>
      <c r="J1435" s="10" t="n">
        <v>210000</v>
      </c>
      <c r="K1435" s="10" t="n">
        <v>210000</v>
      </c>
    </row>
    <row r="1436">
      <c r="A1436" s="10" t="inlineStr">
        <is>
          <t>INV-70612</t>
        </is>
      </c>
      <c r="B1436" s="10" t="inlineStr">
        <is>
          <t>2026-06-06</t>
        </is>
      </c>
      <c r="C1436" s="10" t="inlineStr">
        <is>
          <t>C1165</t>
        </is>
      </c>
      <c r="D1436" s="10" t="inlineStr">
        <is>
          <t>regular</t>
        </is>
      </c>
      <c r="E1436" s="10" t="inlineStr">
        <is>
          <t>TIKTOK SHOP</t>
        </is>
      </c>
      <c r="F1436" s="10" t="inlineStr">
        <is>
          <t>Jabodetabek</t>
        </is>
      </c>
      <c r="G1436" s="10" t="inlineStr">
        <is>
          <t>rumah tangga</t>
        </is>
      </c>
      <c r="H1436" s="10" t="inlineStr">
        <is>
          <t>Set Wadah Kedap</t>
        </is>
      </c>
      <c r="I1436" s="10" t="n">
        <v>1</v>
      </c>
      <c r="J1436" s="10" t="n">
        <v>135000</v>
      </c>
      <c r="K1436" s="10" t="n">
        <v>135000</v>
      </c>
    </row>
    <row r="1437">
      <c r="A1437" s="10" t="inlineStr">
        <is>
          <t>INV-71216</t>
        </is>
      </c>
      <c r="B1437" s="10" t="inlineStr">
        <is>
          <t>2025-03-13</t>
        </is>
      </c>
      <c r="C1437" s="10" t="inlineStr">
        <is>
          <t>C1346</t>
        </is>
      </c>
      <c r="D1437" s="10" t="inlineStr">
        <is>
          <t>regular</t>
        </is>
      </c>
      <c r="E1437" s="10" t="inlineStr">
        <is>
          <t>Offline Store</t>
        </is>
      </c>
      <c r="F1437" s="10" t="inlineStr">
        <is>
          <t>Lainnya</t>
        </is>
      </c>
      <c r="G1437" s="10" t="inlineStr">
        <is>
          <t>Makanan</t>
        </is>
      </c>
      <c r="H1437" s="10" t="inlineStr">
        <is>
          <t>Granola 500g</t>
        </is>
      </c>
      <c r="I1437" s="10" t="n">
        <v>1</v>
      </c>
      <c r="J1437" s="10" t="n">
        <v>92000</v>
      </c>
      <c r="K1437" s="10" t="n">
        <v>92000</v>
      </c>
    </row>
    <row r="1438">
      <c r="A1438" s="10" t="inlineStr">
        <is>
          <t>INV-70972</t>
        </is>
      </c>
      <c r="B1438" s="10" t="inlineStr">
        <is>
          <t>07 Apr 2026</t>
        </is>
      </c>
      <c r="C1438" s="10" t="inlineStr">
        <is>
          <t>C1279</t>
        </is>
      </c>
      <c r="D1438" s="10" t="inlineStr">
        <is>
          <t>loyal</t>
        </is>
      </c>
      <c r="E1438" s="10" t="inlineStr">
        <is>
          <t>Shopee</t>
        </is>
      </c>
      <c r="F1438" s="10" t="inlineStr">
        <is>
          <t>Jabodetabek</t>
        </is>
      </c>
      <c r="G1438" s="10" t="inlineStr">
        <is>
          <t>Kecantikan</t>
        </is>
      </c>
      <c r="H1438" s="10" t="inlineStr">
        <is>
          <t>Masker Wajah (5s)</t>
        </is>
      </c>
      <c r="I1438" s="10" t="n">
        <v>2</v>
      </c>
      <c r="J1438" s="10" t="n">
        <v>55000</v>
      </c>
      <c r="K1438" s="10" t="n">
        <v>110000</v>
      </c>
    </row>
    <row r="1439">
      <c r="A1439" s="10" t="inlineStr">
        <is>
          <t>INV-70089</t>
        </is>
      </c>
      <c r="B1439" s="10" t="inlineStr">
        <is>
          <t>26 Oct 2025</t>
        </is>
      </c>
      <c r="C1439" s="10" t="inlineStr">
        <is>
          <t>C1027</t>
        </is>
      </c>
      <c r="D1439" s="10" t="inlineStr">
        <is>
          <t>occasional</t>
        </is>
      </c>
      <c r="E1439" s="10" t="inlineStr">
        <is>
          <t>Shopee</t>
        </is>
      </c>
      <c r="F1439" s="10" t="inlineStr">
        <is>
          <t>Jawa Timur</t>
        </is>
      </c>
      <c r="G1439" s="10" t="inlineStr">
        <is>
          <t>Elektronik</t>
        </is>
      </c>
      <c r="H1439" s="10" t="inlineStr">
        <is>
          <t>Smartwatch</t>
        </is>
      </c>
      <c r="I1439" s="10" t="n">
        <v>1</v>
      </c>
      <c r="J1439" s="10" t="n">
        <v>450000</v>
      </c>
      <c r="K1439" s="10" t="n">
        <v>450000</v>
      </c>
    </row>
    <row r="1440">
      <c r="A1440" s="10" t="inlineStr">
        <is>
          <t>INV-71317</t>
        </is>
      </c>
      <c r="B1440" s="10" t="inlineStr">
        <is>
          <t>23 May 2026</t>
        </is>
      </c>
      <c r="C1440" s="10" t="inlineStr">
        <is>
          <t>C1364</t>
        </is>
      </c>
      <c r="D1440" s="10" t="inlineStr">
        <is>
          <t>champion</t>
        </is>
      </c>
      <c r="E1440" s="10" t="inlineStr">
        <is>
          <t>Shopee</t>
        </is>
      </c>
      <c r="F1440" s="10" t="inlineStr">
        <is>
          <t>Jabodetabek</t>
        </is>
      </c>
      <c r="G1440" s="10" t="inlineStr">
        <is>
          <t>Elektronik</t>
        </is>
      </c>
      <c r="H1440" s="10" t="inlineStr">
        <is>
          <t>Webcam HD</t>
        </is>
      </c>
      <c r="I1440" s="10" t="n">
        <v>1</v>
      </c>
      <c r="J1440" s="10" t="n">
        <v>210000</v>
      </c>
      <c r="K1440" s="10" t="n">
        <v>210000</v>
      </c>
    </row>
    <row r="1441">
      <c r="A1441" s="10" t="inlineStr">
        <is>
          <t>INV-70802</t>
        </is>
      </c>
      <c r="B1441" s="10" t="inlineStr">
        <is>
          <t>2026-02-15</t>
        </is>
      </c>
      <c r="C1441" s="10" t="inlineStr">
        <is>
          <t>C1225</t>
        </is>
      </c>
      <c r="D1441" s="10" t="inlineStr">
        <is>
          <t>regular</t>
        </is>
      </c>
      <c r="E1441" s="10" t="inlineStr">
        <is>
          <t>Tokopedia</t>
        </is>
      </c>
      <c r="F1441" s="10" t="inlineStr">
        <is>
          <t>Jabodetabek</t>
        </is>
      </c>
      <c r="G1441" s="10" t="inlineStr">
        <is>
          <t>Elektronik</t>
        </is>
      </c>
      <c r="H1441" s="10" t="inlineStr">
        <is>
          <t>Smartwatch</t>
        </is>
      </c>
      <c r="I1441" s="10" t="n">
        <v>1</v>
      </c>
      <c r="J1441" s="10" t="n">
        <v>450000</v>
      </c>
      <c r="K1441" s="10" t="n">
        <v>450000</v>
      </c>
    </row>
    <row r="1442">
      <c r="A1442" s="10" t="inlineStr">
        <is>
          <t>INV-70779</t>
        </is>
      </c>
      <c r="B1442" s="10" t="inlineStr">
        <is>
          <t>20 May 2026</t>
        </is>
      </c>
      <c r="C1442" s="10" t="inlineStr">
        <is>
          <t>C1220</t>
        </is>
      </c>
      <c r="D1442" s="10" t="inlineStr">
        <is>
          <t>loyal</t>
        </is>
      </c>
      <c r="E1442" s="10" t="inlineStr">
        <is>
          <t>Shopee</t>
        </is>
      </c>
      <c r="F1442" s="10" t="inlineStr">
        <is>
          <t>Jawa Timur</t>
        </is>
      </c>
      <c r="G1442" s="10" t="inlineStr">
        <is>
          <t>Elektronik</t>
        </is>
      </c>
      <c r="H1442" s="10" t="inlineStr">
        <is>
          <t>Power Bank 20K</t>
        </is>
      </c>
      <c r="I1442" s="10" t="n">
        <v>3</v>
      </c>
      <c r="J1442" s="10" t="n">
        <v>185000</v>
      </c>
      <c r="K1442" s="10" t="n">
        <v>555000</v>
      </c>
    </row>
    <row r="1443">
      <c r="A1443" s="10" t="inlineStr">
        <is>
          <t>INV-71486</t>
        </is>
      </c>
      <c r="B1443" s="10" t="inlineStr">
        <is>
          <t>2026-05-27</t>
        </is>
      </c>
      <c r="C1443" s="10" t="inlineStr">
        <is>
          <t>C1409</t>
        </is>
      </c>
      <c r="D1443" s="10" t="inlineStr">
        <is>
          <t>loyal</t>
        </is>
      </c>
      <c r="E1443" s="10" t="inlineStr">
        <is>
          <t>Tokopedia</t>
        </is>
      </c>
      <c r="F1443" s="10" t="inlineStr">
        <is>
          <t>Jabodetabek</t>
        </is>
      </c>
      <c r="G1443" s="10" t="inlineStr">
        <is>
          <t>Fashion</t>
        </is>
      </c>
      <c r="H1443" s="10" t="inlineStr">
        <is>
          <t>Celana Chino</t>
        </is>
      </c>
      <c r="I1443" s="10" t="n">
        <v>4</v>
      </c>
      <c r="J1443" s="10" t="n">
        <v>195000</v>
      </c>
      <c r="K1443" s="10" t="n">
        <v>780000</v>
      </c>
    </row>
    <row r="1444">
      <c r="A1444" s="10" t="inlineStr">
        <is>
          <t>INV-70018</t>
        </is>
      </c>
      <c r="B1444" s="10" t="inlineStr">
        <is>
          <t>2026-04-21</t>
        </is>
      </c>
      <c r="C1444" s="10" t="inlineStr">
        <is>
          <t>C1003</t>
        </is>
      </c>
      <c r="D1444" s="10" t="inlineStr">
        <is>
          <t>regular</t>
        </is>
      </c>
      <c r="E1444" s="10" t="inlineStr">
        <is>
          <t>TikTok Shop</t>
        </is>
      </c>
      <c r="F1444" s="10" t="inlineStr">
        <is>
          <t>Jabodetabek</t>
        </is>
      </c>
      <c r="G1444" s="10" t="inlineStr">
        <is>
          <t>Fashion</t>
        </is>
      </c>
      <c r="H1444" s="10" t="inlineStr">
        <is>
          <t>Celana Chino</t>
        </is>
      </c>
      <c r="I1444" s="10" t="n">
        <v>1</v>
      </c>
      <c r="J1444" s="10" t="n">
        <v>195000</v>
      </c>
      <c r="K1444" s="10" t="inlineStr">
        <is>
          <t>Rp 195.000</t>
        </is>
      </c>
    </row>
    <row r="1445">
      <c r="A1445" s="10" t="inlineStr">
        <is>
          <t>INV-70307</t>
        </is>
      </c>
      <c r="B1445" s="10" t="inlineStr">
        <is>
          <t>11 Jun 2025</t>
        </is>
      </c>
      <c r="C1445" s="10" t="inlineStr">
        <is>
          <t>C1086</t>
        </is>
      </c>
      <c r="D1445" s="10" t="inlineStr">
        <is>
          <t>onetime</t>
        </is>
      </c>
      <c r="E1445" s="10" t="inlineStr">
        <is>
          <t>Offline Store</t>
        </is>
      </c>
      <c r="F1445" s="10" t="inlineStr">
        <is>
          <t>Jawa Barat</t>
        </is>
      </c>
      <c r="G1445" s="10" t="inlineStr">
        <is>
          <t>Rumah Tangga</t>
        </is>
      </c>
      <c r="H1445" s="10" t="inlineStr">
        <is>
          <t>Set Wadah Kedap</t>
        </is>
      </c>
      <c r="I1445" s="10" t="n">
        <v>3</v>
      </c>
      <c r="J1445" s="10" t="n">
        <v>135000</v>
      </c>
      <c r="K1445" s="10" t="n">
        <v>405000</v>
      </c>
    </row>
    <row r="1446">
      <c r="A1446" s="10" t="inlineStr">
        <is>
          <t>INV-70902</t>
        </is>
      </c>
      <c r="B1446" s="10" t="inlineStr">
        <is>
          <t>2026-05-26</t>
        </is>
      </c>
      <c r="C1446" s="10" t="inlineStr">
        <is>
          <t>C1253</t>
        </is>
      </c>
      <c r="D1446" s="10" t="inlineStr">
        <is>
          <t>regular</t>
        </is>
      </c>
      <c r="E1446" s="10" t="inlineStr">
        <is>
          <t>Tokopedia</t>
        </is>
      </c>
      <c r="F1446" s="10" t="inlineStr">
        <is>
          <t>Jawa Tengah</t>
        </is>
      </c>
      <c r="G1446" s="10" t="inlineStr">
        <is>
          <t>Kecantikan</t>
        </is>
      </c>
      <c r="H1446" s="10" t="inlineStr">
        <is>
          <t>Masker Wajah (5s)</t>
        </is>
      </c>
      <c r="I1446" s="10" t="n">
        <v>3</v>
      </c>
      <c r="J1446" s="10" t="n">
        <v>55000</v>
      </c>
      <c r="K1446" s="10" t="n">
        <v>165000</v>
      </c>
    </row>
    <row r="1447">
      <c r="A1447" s="10" t="inlineStr">
        <is>
          <t>INV-71454</t>
        </is>
      </c>
      <c r="B1447" s="10" t="inlineStr">
        <is>
          <t>2025-03-16</t>
        </is>
      </c>
      <c r="C1447" s="10" t="inlineStr">
        <is>
          <t>C1402</t>
        </is>
      </c>
      <c r="D1447" s="10" t="inlineStr">
        <is>
          <t>occasional</t>
        </is>
      </c>
      <c r="E1447" s="10" t="inlineStr">
        <is>
          <t>Tokopedia</t>
        </is>
      </c>
      <c r="F1447" s="10" t="inlineStr">
        <is>
          <t>Lainnya</t>
        </is>
      </c>
      <c r="G1447" s="10" t="inlineStr">
        <is>
          <t>Rumah Tangga</t>
        </is>
      </c>
      <c r="H1447" s="10" t="inlineStr">
        <is>
          <t>Set Wadah Kedap</t>
        </is>
      </c>
      <c r="I1447" s="10" t="n">
        <v>4</v>
      </c>
      <c r="J1447" s="10" t="n">
        <v>135000</v>
      </c>
      <c r="K1447" s="10" t="n">
        <v>540000</v>
      </c>
    </row>
    <row r="1448">
      <c r="A1448" s="10" t="inlineStr">
        <is>
          <t>INV-71288</t>
        </is>
      </c>
      <c r="B1448" s="10" t="inlineStr">
        <is>
          <t>19 Feb 2025</t>
        </is>
      </c>
      <c r="C1448" s="10" t="inlineStr">
        <is>
          <t>C1359</t>
        </is>
      </c>
      <c r="D1448" s="10" t="inlineStr">
        <is>
          <t>champion</t>
        </is>
      </c>
      <c r="E1448" s="10" t="inlineStr">
        <is>
          <t>Tokopedia</t>
        </is>
      </c>
      <c r="F1448" s="10" t="inlineStr">
        <is>
          <t>Jawa Barat</t>
        </is>
      </c>
      <c r="G1448" s="10" t="inlineStr">
        <is>
          <t>Elektronik</t>
        </is>
      </c>
      <c r="H1448" s="10" t="inlineStr">
        <is>
          <t>Power Bank 20K</t>
        </is>
      </c>
      <c r="I1448" s="10" t="n">
        <v>1</v>
      </c>
      <c r="J1448" s="10" t="n">
        <v>185000</v>
      </c>
      <c r="K1448" s="10" t="n">
        <v>185000</v>
      </c>
    </row>
    <row r="1449">
      <c r="A1449" s="10" t="inlineStr">
        <is>
          <t>INV-70234</t>
        </is>
      </c>
      <c r="B1449" s="10" t="inlineStr">
        <is>
          <t>2025-01-20</t>
        </is>
      </c>
      <c r="C1449" s="10" t="inlineStr">
        <is>
          <t>C1066</t>
        </is>
      </c>
      <c r="D1449" s="10" t="inlineStr">
        <is>
          <t>loyal</t>
        </is>
      </c>
      <c r="E1449" s="10" t="inlineStr">
        <is>
          <t>Tokopedia</t>
        </is>
      </c>
      <c r="F1449" s="10" t="inlineStr">
        <is>
          <t>Jawa Tengah</t>
        </is>
      </c>
      <c r="G1449" s="10" t="inlineStr">
        <is>
          <t>Makanan</t>
        </is>
      </c>
      <c r="H1449" s="10" t="inlineStr">
        <is>
          <t>Granola 500g</t>
        </is>
      </c>
      <c r="I1449" s="10" t="n">
        <v>2</v>
      </c>
      <c r="J1449" s="10" t="n">
        <v>92000</v>
      </c>
      <c r="K1449" s="10" t="n">
        <v>184000</v>
      </c>
    </row>
    <row r="1450">
      <c r="A1450" s="10" t="inlineStr">
        <is>
          <t>INV-70273</t>
        </is>
      </c>
      <c r="B1450" s="10" t="inlineStr">
        <is>
          <t>2025-09-01</t>
        </is>
      </c>
      <c r="C1450" s="10" t="inlineStr">
        <is>
          <t>C1077</t>
        </is>
      </c>
      <c r="D1450" s="10" t="inlineStr">
        <is>
          <t>regular</t>
        </is>
      </c>
      <c r="E1450" s="10" t="inlineStr">
        <is>
          <t>Offline Store</t>
        </is>
      </c>
      <c r="F1450" s="10" t="inlineStr">
        <is>
          <t>Jabodetabek</t>
        </is>
      </c>
      <c r="G1450" s="10" t="inlineStr">
        <is>
          <t>fashion</t>
        </is>
      </c>
      <c r="H1450" s="10" t="inlineStr">
        <is>
          <t>Celana Chino</t>
        </is>
      </c>
      <c r="I1450" s="10" t="n">
        <v>1</v>
      </c>
      <c r="J1450" s="10" t="n">
        <v>195000</v>
      </c>
      <c r="K1450" s="10" t="inlineStr">
        <is>
          <t>Rp 195.000</t>
        </is>
      </c>
    </row>
    <row r="1451">
      <c r="A1451" s="10" t="inlineStr">
        <is>
          <t>INV-71406</t>
        </is>
      </c>
      <c r="B1451" s="10" t="inlineStr">
        <is>
          <t>2025-01-09</t>
        </is>
      </c>
      <c r="C1451" s="10" t="inlineStr">
        <is>
          <t>C1388</t>
        </is>
      </c>
      <c r="D1451" s="10" t="inlineStr">
        <is>
          <t>regular</t>
        </is>
      </c>
      <c r="E1451" s="10" t="inlineStr">
        <is>
          <t xml:space="preserve"> tokopedia</t>
        </is>
      </c>
      <c r="F1451" s="10" t="inlineStr">
        <is>
          <t>Jawa Timur</t>
        </is>
      </c>
      <c r="G1451" s="10" t="inlineStr">
        <is>
          <t>Fashion</t>
        </is>
      </c>
      <c r="H1451" s="10" t="inlineStr">
        <is>
          <t>Celana Chino</t>
        </is>
      </c>
      <c r="I1451" s="10" t="n">
        <v>4</v>
      </c>
      <c r="J1451" s="10" t="n">
        <v>195000</v>
      </c>
      <c r="K1451" s="10" t="n">
        <v>780000</v>
      </c>
    </row>
    <row r="1452">
      <c r="A1452" s="10" t="inlineStr">
        <is>
          <t>INV-70255</t>
        </is>
      </c>
      <c r="B1452" s="10" t="inlineStr">
        <is>
          <t>2025-02-06</t>
        </is>
      </c>
      <c r="C1452" s="10" t="inlineStr">
        <is>
          <t>C1072</t>
        </is>
      </c>
      <c r="D1452" s="10" t="inlineStr">
        <is>
          <t>champion</t>
        </is>
      </c>
      <c r="E1452" s="10" t="inlineStr">
        <is>
          <t>Offline Store</t>
        </is>
      </c>
      <c r="F1452" s="10" t="inlineStr">
        <is>
          <t>Jawa Barat</t>
        </is>
      </c>
      <c r="G1452" s="10" t="inlineStr">
        <is>
          <t>Rumah Tangga</t>
        </is>
      </c>
      <c r="H1452" s="10" t="inlineStr">
        <is>
          <t>Set Wadah Kedap</t>
        </is>
      </c>
      <c r="I1452" s="10" t="n">
        <v>3</v>
      </c>
      <c r="J1452" s="10" t="n">
        <v>135000</v>
      </c>
      <c r="K1452" s="10" t="n">
        <v>405000</v>
      </c>
    </row>
    <row r="1453">
      <c r="A1453" s="10" t="inlineStr">
        <is>
          <t>INV-70946</t>
        </is>
      </c>
      <c r="B1453" s="10" t="inlineStr">
        <is>
          <t>01/12/2025</t>
        </is>
      </c>
      <c r="C1453" s="10" t="inlineStr">
        <is>
          <t>C1268</t>
        </is>
      </c>
      <c r="D1453" s="10" t="inlineStr">
        <is>
          <t>regular</t>
        </is>
      </c>
      <c r="E1453" s="10" t="inlineStr">
        <is>
          <t>Tokopedia</t>
        </is>
      </c>
      <c r="F1453" s="10" t="inlineStr">
        <is>
          <t>Jawa Barat</t>
        </is>
      </c>
      <c r="G1453" s="10" t="inlineStr">
        <is>
          <t>Rumah Tangga</t>
        </is>
      </c>
      <c r="H1453" s="10" t="inlineStr">
        <is>
          <t>Diffuser Aroma</t>
        </is>
      </c>
      <c r="I1453" s="10" t="n">
        <v>4</v>
      </c>
      <c r="J1453" s="10" t="n">
        <v>195000</v>
      </c>
      <c r="K1453" s="10" t="n">
        <v>780000</v>
      </c>
    </row>
    <row r="1454">
      <c r="A1454" s="10" t="inlineStr">
        <is>
          <t>INV-70506</t>
        </is>
      </c>
      <c r="B1454" s="10" t="inlineStr">
        <is>
          <t>2025-09-27</t>
        </is>
      </c>
      <c r="C1454" s="10" t="inlineStr">
        <is>
          <t>C1142</t>
        </is>
      </c>
      <c r="D1454" s="10" t="inlineStr">
        <is>
          <t>champion</t>
        </is>
      </c>
      <c r="E1454" s="10" t="inlineStr">
        <is>
          <t xml:space="preserve">Offline store </t>
        </is>
      </c>
      <c r="F1454" s="10" t="inlineStr">
        <is>
          <t>Jawa Timur</t>
        </is>
      </c>
      <c r="G1454" s="10" t="inlineStr">
        <is>
          <t>Elektronik</t>
        </is>
      </c>
      <c r="H1454" s="10" t="inlineStr">
        <is>
          <t>Power Bank 20K</t>
        </is>
      </c>
      <c r="I1454" s="10" t="n">
        <v>2</v>
      </c>
      <c r="J1454" s="10" t="n">
        <v>185000</v>
      </c>
      <c r="K1454" s="10" t="n">
        <v>370000</v>
      </c>
    </row>
    <row r="1455">
      <c r="A1455" s="10" t="inlineStr">
        <is>
          <t>INV-70941</t>
        </is>
      </c>
      <c r="B1455" s="10" t="inlineStr">
        <is>
          <t>2025-10-06</t>
        </is>
      </c>
      <c r="C1455" s="10" t="inlineStr">
        <is>
          <t>C1265</t>
        </is>
      </c>
      <c r="D1455" s="10" t="inlineStr">
        <is>
          <t>loyal</t>
        </is>
      </c>
      <c r="E1455" s="10" t="inlineStr">
        <is>
          <t>Offline Store</t>
        </is>
      </c>
      <c r="F1455" s="10" t="inlineStr">
        <is>
          <t>Jabodetabek</t>
        </is>
      </c>
      <c r="G1455" s="10" t="inlineStr">
        <is>
          <t>Elektronik</t>
        </is>
      </c>
      <c r="H1455" s="10" t="inlineStr">
        <is>
          <t>Smartwatch</t>
        </is>
      </c>
      <c r="I1455" s="10" t="n">
        <v>3</v>
      </c>
      <c r="J1455" s="10" t="n">
        <v>450000</v>
      </c>
      <c r="K1455" s="10" t="n">
        <v>1350000</v>
      </c>
    </row>
    <row r="1456">
      <c r="A1456" s="10" t="inlineStr">
        <is>
          <t>INV-70617</t>
        </is>
      </c>
      <c r="B1456" s="10" t="inlineStr">
        <is>
          <t>2025-06-21</t>
        </is>
      </c>
      <c r="C1456" s="10" t="inlineStr">
        <is>
          <t>C1167</t>
        </is>
      </c>
      <c r="D1456" s="10" t="inlineStr">
        <is>
          <t>occasional</t>
        </is>
      </c>
      <c r="E1456" s="10" t="inlineStr">
        <is>
          <t>Tokopedia</t>
        </is>
      </c>
      <c r="F1456" s="10" t="inlineStr">
        <is>
          <t>Sumatera</t>
        </is>
      </c>
      <c r="G1456" s="10" t="inlineStr">
        <is>
          <t>Elektronik</t>
        </is>
      </c>
      <c r="H1456" s="10" t="inlineStr">
        <is>
          <t>Webcam HD</t>
        </is>
      </c>
      <c r="I1456" s="10" t="n">
        <v>1</v>
      </c>
      <c r="J1456" s="10" t="n">
        <v>210000</v>
      </c>
      <c r="K1456" s="10" t="n">
        <v>210000</v>
      </c>
    </row>
    <row r="1457">
      <c r="A1457" s="10" t="inlineStr">
        <is>
          <t>INV-70335</t>
        </is>
      </c>
      <c r="B1457" s="10" t="inlineStr">
        <is>
          <t>27 Apr 2025</t>
        </is>
      </c>
      <c r="C1457" s="10" t="inlineStr">
        <is>
          <t>C1092</t>
        </is>
      </c>
      <c r="D1457" s="10" t="inlineStr">
        <is>
          <t>occasional</t>
        </is>
      </c>
      <c r="E1457" s="10" t="inlineStr">
        <is>
          <t>Offline Store</t>
        </is>
      </c>
      <c r="F1457" s="10" t="inlineStr">
        <is>
          <t>Jabodetabek</t>
        </is>
      </c>
      <c r="G1457" s="10" t="inlineStr">
        <is>
          <t>Fashion</t>
        </is>
      </c>
      <c r="H1457" s="10" t="inlineStr">
        <is>
          <t>Dress Casual</t>
        </is>
      </c>
      <c r="I1457" s="10" t="n">
        <v>3</v>
      </c>
      <c r="J1457" s="10" t="n">
        <v>225000</v>
      </c>
      <c r="K1457" s="10" t="n">
        <v>675000</v>
      </c>
    </row>
    <row r="1458">
      <c r="A1458" s="10" t="inlineStr">
        <is>
          <t>INV-70890</t>
        </is>
      </c>
      <c r="B1458" s="10" t="inlineStr">
        <is>
          <t>2025-04-14</t>
        </is>
      </c>
      <c r="C1458" s="10" t="inlineStr">
        <is>
          <t>C1249</t>
        </is>
      </c>
      <c r="D1458" s="10" t="inlineStr">
        <is>
          <t>regular</t>
        </is>
      </c>
      <c r="E1458" s="10" t="inlineStr">
        <is>
          <t>Tokopedia</t>
        </is>
      </c>
      <c r="F1458" s="10" t="inlineStr">
        <is>
          <t>Jabodetabek</t>
        </is>
      </c>
      <c r="G1458" s="10" t="inlineStr">
        <is>
          <t>elektronik</t>
        </is>
      </c>
      <c r="H1458" s="10" t="inlineStr">
        <is>
          <t>Keyboard Mekanik</t>
        </is>
      </c>
      <c r="I1458" s="10" t="n">
        <v>1</v>
      </c>
      <c r="J1458" s="10" t="n">
        <v>380000</v>
      </c>
      <c r="K1458" s="10" t="n">
        <v>380000</v>
      </c>
    </row>
    <row r="1459">
      <c r="A1459" s="10" t="inlineStr">
        <is>
          <t>INV-71053</t>
        </is>
      </c>
      <c r="B1459" s="10" t="inlineStr">
        <is>
          <t>2025-10-08</t>
        </is>
      </c>
      <c r="C1459" s="10" t="inlineStr">
        <is>
          <t>C1299</t>
        </is>
      </c>
      <c r="D1459" s="10" t="inlineStr">
        <is>
          <t>occasional</t>
        </is>
      </c>
      <c r="E1459" s="10" t="inlineStr">
        <is>
          <t>Shopee</t>
        </is>
      </c>
      <c r="F1459" s="10" t="inlineStr">
        <is>
          <t>Jabodetabek</t>
        </is>
      </c>
      <c r="G1459" s="10" t="inlineStr">
        <is>
          <t>Kecantikan</t>
        </is>
      </c>
      <c r="H1459" s="10" t="inlineStr">
        <is>
          <t>Masker Wajah (5s)</t>
        </is>
      </c>
      <c r="I1459" s="10" t="n">
        <v>3</v>
      </c>
      <c r="J1459" s="10" t="n">
        <v>55000</v>
      </c>
      <c r="K1459" s="10" t="n">
        <v>165000</v>
      </c>
    </row>
    <row r="1460">
      <c r="A1460" s="10" t="inlineStr">
        <is>
          <t>INV-71556</t>
        </is>
      </c>
      <c r="B1460" s="10" t="inlineStr">
        <is>
          <t>18 Oct 2025</t>
        </is>
      </c>
      <c r="C1460" s="10" t="inlineStr">
        <is>
          <t>C1428</t>
        </is>
      </c>
      <c r="D1460" s="10" t="inlineStr">
        <is>
          <t>loyal</t>
        </is>
      </c>
      <c r="E1460" s="10" t="inlineStr">
        <is>
          <t xml:space="preserve">Offline store </t>
        </is>
      </c>
      <c r="F1460" s="10" t="inlineStr">
        <is>
          <t>Jawa Barat</t>
        </is>
      </c>
      <c r="G1460" s="10" t="inlineStr">
        <is>
          <t>elektronik</t>
        </is>
      </c>
      <c r="H1460" s="10" t="inlineStr">
        <is>
          <t>Webcam HD</t>
        </is>
      </c>
      <c r="I1460" s="10" t="n">
        <v>3</v>
      </c>
      <c r="J1460" s="10" t="n">
        <v>210000</v>
      </c>
      <c r="K1460" s="10" t="inlineStr">
        <is>
          <t>Rp 630.000</t>
        </is>
      </c>
    </row>
    <row r="1461">
      <c r="A1461" s="10" t="inlineStr">
        <is>
          <t>INV-70639</t>
        </is>
      </c>
      <c r="B1461" s="10" t="inlineStr">
        <is>
          <t>2026-03-25</t>
        </is>
      </c>
      <c r="C1461" s="10" t="inlineStr">
        <is>
          <t>C1174</t>
        </is>
      </c>
      <c r="D1461" s="10" t="inlineStr">
        <is>
          <t>loyal</t>
        </is>
      </c>
      <c r="E1461" s="10" t="inlineStr">
        <is>
          <t>TikTok Shop</t>
        </is>
      </c>
      <c r="F1461" s="10" t="inlineStr">
        <is>
          <t>Jabodetabek</t>
        </is>
      </c>
      <c r="G1461" s="10" t="inlineStr">
        <is>
          <t>Rumah Tangga</t>
        </is>
      </c>
      <c r="H1461" s="10" t="inlineStr">
        <is>
          <t>Organizer Laci</t>
        </is>
      </c>
      <c r="I1461" s="10" t="n">
        <v>1</v>
      </c>
      <c r="J1461" s="10" t="n">
        <v>78000</v>
      </c>
      <c r="K1461" s="10" t="n">
        <v>78000</v>
      </c>
    </row>
    <row r="1462">
      <c r="A1462" s="10" t="inlineStr">
        <is>
          <t>INV-71182</t>
        </is>
      </c>
      <c r="B1462" s="10" t="inlineStr">
        <is>
          <t>27/06/2025</t>
        </is>
      </c>
      <c r="C1462" s="10" t="inlineStr">
        <is>
          <t>C1334</t>
        </is>
      </c>
      <c r="D1462" s="10" t="inlineStr">
        <is>
          <t>champion</t>
        </is>
      </c>
      <c r="E1462" s="10" t="inlineStr">
        <is>
          <t>TIKTOK SHOP</t>
        </is>
      </c>
      <c r="F1462" s="10" t="inlineStr">
        <is>
          <t>Jabodetabek</t>
        </is>
      </c>
      <c r="G1462" s="10" t="inlineStr">
        <is>
          <t>Fashion</t>
        </is>
      </c>
      <c r="H1462" s="10" t="inlineStr">
        <is>
          <t>Celana Chino</t>
        </is>
      </c>
      <c r="I1462" s="10" t="n">
        <v>2</v>
      </c>
      <c r="J1462" s="10" t="n">
        <v>195000</v>
      </c>
      <c r="K1462" s="10" t="n">
        <v>390000</v>
      </c>
    </row>
    <row r="1463">
      <c r="A1463" s="10" t="inlineStr">
        <is>
          <t>INV-71373</t>
        </is>
      </c>
      <c r="B1463" s="10" t="inlineStr">
        <is>
          <t>2025-11-20</t>
        </is>
      </c>
      <c r="C1463" s="10" t="inlineStr">
        <is>
          <t>C1379</t>
        </is>
      </c>
      <c r="D1463" s="10" t="inlineStr">
        <is>
          <t>occasional</t>
        </is>
      </c>
      <c r="E1463" s="10" t="inlineStr">
        <is>
          <t>Tokopedia</t>
        </is>
      </c>
      <c r="F1463" s="10" t="inlineStr">
        <is>
          <t>Jabodetabek</t>
        </is>
      </c>
      <c r="G1463" s="10" t="inlineStr">
        <is>
          <t>Rumah Tangga</t>
        </is>
      </c>
      <c r="H1463" s="10" t="inlineStr">
        <is>
          <t>Set Wadah Kedap</t>
        </is>
      </c>
      <c r="I1463" s="10" t="n">
        <v>1</v>
      </c>
      <c r="J1463" s="10" t="n">
        <v>135000</v>
      </c>
      <c r="K1463" s="10" t="n">
        <v>135000</v>
      </c>
    </row>
    <row r="1464">
      <c r="A1464" s="10" t="inlineStr">
        <is>
          <t>INV-70856</t>
        </is>
      </c>
      <c r="B1464" s="10" t="inlineStr">
        <is>
          <t>2025-05-24</t>
        </is>
      </c>
      <c r="C1464" s="10" t="inlineStr">
        <is>
          <t>C1240</t>
        </is>
      </c>
      <c r="D1464" s="10" t="inlineStr">
        <is>
          <t>loyal</t>
        </is>
      </c>
      <c r="E1464" s="10" t="inlineStr">
        <is>
          <t>TikTok Shop</t>
        </is>
      </c>
      <c r="F1464" s="10" t="inlineStr">
        <is>
          <t>Jawa Tengah</t>
        </is>
      </c>
      <c r="G1464" s="10" t="inlineStr">
        <is>
          <t>makanan</t>
        </is>
      </c>
      <c r="H1464" s="10" t="inlineStr">
        <is>
          <t>Granola 500g</t>
        </is>
      </c>
      <c r="I1464" s="10" t="n">
        <v>2</v>
      </c>
      <c r="J1464" s="10" t="n">
        <v>92000</v>
      </c>
      <c r="K1464" s="10" t="n">
        <v>184000</v>
      </c>
    </row>
    <row r="1465">
      <c r="A1465" s="10" t="inlineStr">
        <is>
          <t>INV-70589</t>
        </is>
      </c>
      <c r="B1465" s="10" t="inlineStr">
        <is>
          <t>2025-08-10</t>
        </is>
      </c>
      <c r="C1465" s="10" t="inlineStr">
        <is>
          <t>C1160</t>
        </is>
      </c>
      <c r="D1465" s="10" t="inlineStr">
        <is>
          <t>occasional</t>
        </is>
      </c>
      <c r="E1465" s="10" t="inlineStr">
        <is>
          <t>TikTok Shop</t>
        </is>
      </c>
      <c r="F1465" s="10" t="inlineStr">
        <is>
          <t>Jabodetabek</t>
        </is>
      </c>
      <c r="G1465" s="10" t="inlineStr">
        <is>
          <t>Elektronik</t>
        </is>
      </c>
      <c r="H1465" s="10" t="inlineStr">
        <is>
          <t>Earbuds TWS</t>
        </is>
      </c>
      <c r="I1465" s="10" t="n">
        <v>2</v>
      </c>
      <c r="J1465" s="10" t="n">
        <v>265000</v>
      </c>
      <c r="K1465" s="10" t="inlineStr">
        <is>
          <t>Rp 530.000</t>
        </is>
      </c>
    </row>
    <row r="1466">
      <c r="A1466" s="10" t="inlineStr">
        <is>
          <t>INV-70843</t>
        </is>
      </c>
      <c r="B1466" s="10" t="inlineStr">
        <is>
          <t>2025-12-10</t>
        </is>
      </c>
      <c r="C1466" s="10" t="inlineStr">
        <is>
          <t>C1237</t>
        </is>
      </c>
      <c r="D1466" s="10" t="inlineStr">
        <is>
          <t>champion</t>
        </is>
      </c>
      <c r="E1466" s="10" t="inlineStr">
        <is>
          <t xml:space="preserve">Offline store </t>
        </is>
      </c>
      <c r="F1466" s="10" t="inlineStr">
        <is>
          <t>Lainnya</t>
        </is>
      </c>
      <c r="G1466" s="10" t="inlineStr">
        <is>
          <t>Rumah Tangga</t>
        </is>
      </c>
      <c r="H1466" s="10" t="inlineStr">
        <is>
          <t>Organizer Laci</t>
        </is>
      </c>
      <c r="I1466" s="10" t="n">
        <v>2</v>
      </c>
      <c r="J1466" s="10" t="n">
        <v>78000</v>
      </c>
      <c r="K1466" s="10" t="inlineStr">
        <is>
          <t>Rp 156.000</t>
        </is>
      </c>
    </row>
    <row r="1467">
      <c r="A1467" s="10" t="inlineStr">
        <is>
          <t>INV-70290</t>
        </is>
      </c>
      <c r="B1467" s="10" t="inlineStr">
        <is>
          <t>2025-06-07</t>
        </is>
      </c>
      <c r="C1467" s="10" t="inlineStr">
        <is>
          <t>C1083</t>
        </is>
      </c>
      <c r="D1467" s="10" t="inlineStr">
        <is>
          <t>loyal</t>
        </is>
      </c>
      <c r="E1467" s="10" t="inlineStr">
        <is>
          <t xml:space="preserve">Offline store </t>
        </is>
      </c>
      <c r="F1467" s="10" t="inlineStr">
        <is>
          <t>Jawa Timur</t>
        </is>
      </c>
      <c r="G1467" s="10" t="inlineStr">
        <is>
          <t>rumah tangga</t>
        </is>
      </c>
      <c r="H1467" s="10" t="inlineStr">
        <is>
          <t>Set Wadah Kedap</t>
        </is>
      </c>
      <c r="I1467" s="10" t="n">
        <v>1</v>
      </c>
      <c r="J1467" s="10" t="n">
        <v>135000</v>
      </c>
      <c r="K1467" s="10" t="inlineStr">
        <is>
          <t>Rp 135.000</t>
        </is>
      </c>
    </row>
    <row r="1468">
      <c r="A1468" s="10" t="inlineStr">
        <is>
          <t>INV-70309</t>
        </is>
      </c>
      <c r="B1468" s="10" t="inlineStr">
        <is>
          <t>22 Dec 2025</t>
        </is>
      </c>
      <c r="C1468" s="10" t="inlineStr">
        <is>
          <t>C1087</t>
        </is>
      </c>
      <c r="D1468" s="10" t="inlineStr">
        <is>
          <t>loyal</t>
        </is>
      </c>
      <c r="E1468" s="10" t="inlineStr">
        <is>
          <t>Tokopedia</t>
        </is>
      </c>
      <c r="F1468" s="10" t="inlineStr">
        <is>
          <t>Jawa Barat</t>
        </is>
      </c>
      <c r="G1468" s="10" t="inlineStr">
        <is>
          <t>Rumah Tangga</t>
        </is>
      </c>
      <c r="H1468" s="10" t="inlineStr">
        <is>
          <t>Set Wadah Kedap</t>
        </is>
      </c>
      <c r="I1468" s="10" t="n">
        <v>1</v>
      </c>
      <c r="J1468" s="10" t="n">
        <v>135000</v>
      </c>
      <c r="K1468" s="10" t="n">
        <v>135000</v>
      </c>
    </row>
    <row r="1469">
      <c r="A1469" s="10" t="inlineStr">
        <is>
          <t>INV-70765</t>
        </is>
      </c>
      <c r="B1469" s="10" t="inlineStr">
        <is>
          <t>2025-01-21</t>
        </is>
      </c>
      <c r="C1469" s="10" t="inlineStr">
        <is>
          <t>C1215</t>
        </is>
      </c>
      <c r="D1469" s="10" t="inlineStr">
        <is>
          <t>loyal</t>
        </is>
      </c>
      <c r="E1469" s="10" t="inlineStr">
        <is>
          <t xml:space="preserve">Shopee </t>
        </is>
      </c>
      <c r="F1469" s="10" t="inlineStr">
        <is>
          <t>Jabodetabek</t>
        </is>
      </c>
      <c r="G1469" s="10" t="inlineStr">
        <is>
          <t>Elektronik</t>
        </is>
      </c>
      <c r="H1469" s="10" t="inlineStr">
        <is>
          <t>Smartwatch</t>
        </is>
      </c>
      <c r="I1469" s="10" t="n">
        <v>3</v>
      </c>
      <c r="J1469" s="10" t="n">
        <v>450000</v>
      </c>
      <c r="K1469" s="10" t="n">
        <v>1350000</v>
      </c>
    </row>
    <row r="1470">
      <c r="A1470" s="10" t="inlineStr">
        <is>
          <t>INV-71091</t>
        </is>
      </c>
      <c r="B1470" s="10" t="inlineStr">
        <is>
          <t>2026-02-19</t>
        </is>
      </c>
      <c r="C1470" s="10" t="inlineStr">
        <is>
          <t>C1306</t>
        </is>
      </c>
      <c r="D1470" s="10" t="inlineStr">
        <is>
          <t>loyal</t>
        </is>
      </c>
      <c r="E1470" s="10" t="inlineStr">
        <is>
          <t xml:space="preserve">Shopee </t>
        </is>
      </c>
      <c r="F1470" s="10" t="inlineStr">
        <is>
          <t>Jawa Tengah</t>
        </is>
      </c>
      <c r="G1470" s="10" t="inlineStr">
        <is>
          <t>Rumah Tangga</t>
        </is>
      </c>
      <c r="H1470" s="10" t="inlineStr">
        <is>
          <t>Set Wadah Kedap</t>
        </is>
      </c>
      <c r="I1470" s="10" t="n">
        <v>1</v>
      </c>
      <c r="J1470" s="10" t="n">
        <v>135000</v>
      </c>
      <c r="K1470" s="10" t="n">
        <v>135000</v>
      </c>
    </row>
    <row r="1471">
      <c r="A1471" s="10" t="inlineStr">
        <is>
          <t>INV-70321</t>
        </is>
      </c>
      <c r="B1471" s="10" t="inlineStr">
        <is>
          <t>2025-06-10</t>
        </is>
      </c>
      <c r="C1471" s="10" t="inlineStr">
        <is>
          <t>C1089</t>
        </is>
      </c>
      <c r="D1471" s="10" t="inlineStr">
        <is>
          <t>onetime</t>
        </is>
      </c>
      <c r="E1471" s="10" t="inlineStr">
        <is>
          <t>Shopee</t>
        </is>
      </c>
      <c r="F1471" s="10" t="inlineStr">
        <is>
          <t>Jabodetabek</t>
        </is>
      </c>
      <c r="G1471" s="10" t="inlineStr">
        <is>
          <t>Rumah Tangga</t>
        </is>
      </c>
      <c r="H1471" s="10" t="inlineStr">
        <is>
          <t>Diffuser Aroma</t>
        </is>
      </c>
      <c r="I1471" s="10" t="n">
        <v>1</v>
      </c>
      <c r="J1471" s="10" t="n">
        <v>195000</v>
      </c>
      <c r="K1471" s="10" t="n">
        <v>195000</v>
      </c>
    </row>
    <row r="1472">
      <c r="A1472" s="10" t="inlineStr">
        <is>
          <t>INV-71164</t>
        </is>
      </c>
      <c r="B1472" s="10" t="inlineStr">
        <is>
          <t>2025-12-17</t>
        </is>
      </c>
      <c r="C1472" s="10" t="inlineStr">
        <is>
          <t>C1329</t>
        </is>
      </c>
      <c r="D1472" s="10" t="inlineStr">
        <is>
          <t>regular</t>
        </is>
      </c>
      <c r="E1472" s="10" t="inlineStr">
        <is>
          <t>Tiktok Shop</t>
        </is>
      </c>
      <c r="F1472" s="10" t="inlineStr">
        <is>
          <t>Jawa Timur</t>
        </is>
      </c>
      <c r="G1472" s="10" t="inlineStr">
        <is>
          <t>elektronik</t>
        </is>
      </c>
      <c r="H1472" s="10" t="inlineStr">
        <is>
          <t>Webcam HD</t>
        </is>
      </c>
      <c r="I1472" s="10" t="n">
        <v>2</v>
      </c>
      <c r="J1472" s="10" t="n">
        <v>210000</v>
      </c>
      <c r="K1472" s="10" t="inlineStr">
        <is>
          <t>Rp 420.000</t>
        </is>
      </c>
    </row>
    <row r="1473">
      <c r="A1473" s="10" t="inlineStr">
        <is>
          <t>INV-71256</t>
        </is>
      </c>
      <c r="B1473" s="10" t="inlineStr">
        <is>
          <t>26/03/2026</t>
        </is>
      </c>
      <c r="C1473" s="10" t="inlineStr">
        <is>
          <t>C1353</t>
        </is>
      </c>
      <c r="D1473" s="10" t="inlineStr">
        <is>
          <t>loyal</t>
        </is>
      </c>
      <c r="E1473" s="10" t="inlineStr">
        <is>
          <t>Shopee</t>
        </is>
      </c>
      <c r="F1473" s="10" t="inlineStr">
        <is>
          <t>Jabodetabek</t>
        </is>
      </c>
      <c r="G1473" s="10" t="inlineStr">
        <is>
          <t>Kecantikan</t>
        </is>
      </c>
      <c r="H1473" s="10" t="inlineStr">
        <is>
          <t>Masker Wajah (5s)</t>
        </is>
      </c>
      <c r="I1473" s="10" t="n">
        <v>1</v>
      </c>
      <c r="J1473" s="10" t="n">
        <v>55000</v>
      </c>
      <c r="K1473" s="10" t="n">
        <v>55000</v>
      </c>
    </row>
    <row r="1474">
      <c r="A1474" s="10" t="inlineStr">
        <is>
          <t>INV-70703</t>
        </is>
      </c>
      <c r="B1474" s="10" t="inlineStr">
        <is>
          <t>2025-01-18</t>
        </is>
      </c>
      <c r="C1474" s="10" t="inlineStr">
        <is>
          <t>C1195</t>
        </is>
      </c>
      <c r="D1474" s="10" t="inlineStr">
        <is>
          <t>champion</t>
        </is>
      </c>
      <c r="E1474" s="10" t="inlineStr">
        <is>
          <t>SHOPEE</t>
        </is>
      </c>
      <c r="F1474" s="10" t="inlineStr">
        <is>
          <t>Jabodetabek</t>
        </is>
      </c>
      <c r="G1474" s="10" t="inlineStr">
        <is>
          <t>Rumah Tangga</t>
        </is>
      </c>
      <c r="H1474" s="10" t="inlineStr">
        <is>
          <t>Lampu Meja LED</t>
        </is>
      </c>
      <c r="I1474" s="10" t="n">
        <v>1</v>
      </c>
      <c r="J1474" s="10" t="n">
        <v>165000</v>
      </c>
      <c r="K1474" s="10" t="inlineStr">
        <is>
          <t>Rp 165.000</t>
        </is>
      </c>
    </row>
    <row r="1475">
      <c r="A1475" s="10" t="inlineStr">
        <is>
          <t>INV-70744</t>
        </is>
      </c>
      <c r="B1475" s="10" t="inlineStr">
        <is>
          <t>2025-03-24</t>
        </is>
      </c>
      <c r="C1475" s="10" t="inlineStr">
        <is>
          <t>C1208</t>
        </is>
      </c>
      <c r="D1475" s="10" t="inlineStr">
        <is>
          <t>onetime</t>
        </is>
      </c>
      <c r="E1475" s="10" t="inlineStr">
        <is>
          <t xml:space="preserve">Tokopedia </t>
        </is>
      </c>
      <c r="F1475" s="10" t="inlineStr">
        <is>
          <t>Jawa Tengah</t>
        </is>
      </c>
      <c r="G1475" s="10" t="inlineStr">
        <is>
          <t>Makanan</t>
        </is>
      </c>
      <c r="H1475" s="10" t="inlineStr">
        <is>
          <t>Granola 500g</t>
        </is>
      </c>
      <c r="I1475" s="10" t="n">
        <v>2</v>
      </c>
      <c r="J1475" s="10" t="n">
        <v>92000</v>
      </c>
      <c r="K1475" s="10" t="n">
        <v>184000</v>
      </c>
    </row>
    <row r="1476">
      <c r="A1476" s="10" t="inlineStr">
        <is>
          <t>INV-70835</t>
        </is>
      </c>
      <c r="B1476" s="10" t="inlineStr">
        <is>
          <t>04/03/2026</t>
        </is>
      </c>
      <c r="C1476" s="10" t="inlineStr">
        <is>
          <t>C1235</t>
        </is>
      </c>
      <c r="D1476" s="10" t="inlineStr">
        <is>
          <t>regular</t>
        </is>
      </c>
      <c r="E1476" s="10" t="inlineStr">
        <is>
          <t>Shopee</t>
        </is>
      </c>
      <c r="F1476" s="10" t="inlineStr">
        <is>
          <t>Jabodetabek</t>
        </is>
      </c>
      <c r="G1476" s="10" t="inlineStr">
        <is>
          <t>Elektronik</t>
        </is>
      </c>
      <c r="H1476" s="10" t="inlineStr">
        <is>
          <t>Power Bank 20K</t>
        </is>
      </c>
      <c r="I1476" s="10" t="n">
        <v>1</v>
      </c>
      <c r="J1476" s="10" t="n">
        <v>185000</v>
      </c>
      <c r="K1476" s="10" t="n">
        <v>185000</v>
      </c>
    </row>
    <row r="1477">
      <c r="A1477" s="10" t="inlineStr">
        <is>
          <t>INV-71563</t>
        </is>
      </c>
      <c r="B1477" s="10" t="inlineStr">
        <is>
          <t>2025-01-11</t>
        </is>
      </c>
      <c r="C1477" s="10" t="inlineStr">
        <is>
          <t>C1429</t>
        </is>
      </c>
      <c r="D1477" s="10" t="inlineStr">
        <is>
          <t>regular</t>
        </is>
      </c>
      <c r="E1477" s="10" t="inlineStr">
        <is>
          <t>Shopee</t>
        </is>
      </c>
      <c r="F1477" s="10" t="inlineStr">
        <is>
          <t>Jawa Barat</t>
        </is>
      </c>
      <c r="G1477" s="10" t="inlineStr">
        <is>
          <t>Rumah Tangga</t>
        </is>
      </c>
      <c r="H1477" s="10" t="inlineStr">
        <is>
          <t>Set Wadah Kedap</t>
        </is>
      </c>
      <c r="I1477" s="10" t="n">
        <v>2</v>
      </c>
      <c r="J1477" s="10" t="n">
        <v>135000</v>
      </c>
      <c r="K1477" s="10" t="n">
        <v>270000</v>
      </c>
    </row>
    <row r="1478">
      <c r="A1478" s="10" t="inlineStr">
        <is>
          <t>INV-71161</t>
        </is>
      </c>
      <c r="B1478" s="10" t="inlineStr">
        <is>
          <t>05/03/2026</t>
        </is>
      </c>
      <c r="C1478" s="10" t="inlineStr">
        <is>
          <t>C1329</t>
        </is>
      </c>
      <c r="D1478" s="10" t="inlineStr">
        <is>
          <t>regular</t>
        </is>
      </c>
      <c r="E1478" s="10" t="inlineStr">
        <is>
          <t xml:space="preserve"> tokopedia</t>
        </is>
      </c>
      <c r="F1478" s="10" t="inlineStr">
        <is>
          <t>Jabodetabek</t>
        </is>
      </c>
      <c r="G1478" s="10" t="inlineStr">
        <is>
          <t>Elektronik</t>
        </is>
      </c>
      <c r="H1478" s="10" t="inlineStr">
        <is>
          <t>Power Bank 20K</t>
        </is>
      </c>
      <c r="I1478" s="10" t="n">
        <v>1</v>
      </c>
      <c r="J1478" s="10" t="n">
        <v>185000</v>
      </c>
      <c r="K1478" s="10" t="n">
        <v>185000</v>
      </c>
    </row>
    <row r="1479">
      <c r="A1479" s="10" t="inlineStr">
        <is>
          <t>INV-71125</t>
        </is>
      </c>
      <c r="B1479" s="10" t="inlineStr">
        <is>
          <t>2025-09-16</t>
        </is>
      </c>
      <c r="C1479" s="10" t="inlineStr">
        <is>
          <t>C1316</t>
        </is>
      </c>
      <c r="D1479" s="10" t="inlineStr">
        <is>
          <t>occasional</t>
        </is>
      </c>
      <c r="E1479" s="10" t="inlineStr">
        <is>
          <t xml:space="preserve">Shopee </t>
        </is>
      </c>
      <c r="F1479" s="10" t="inlineStr">
        <is>
          <t>Sumatera</t>
        </is>
      </c>
      <c r="G1479" s="10" t="inlineStr">
        <is>
          <t>Elektronik</t>
        </is>
      </c>
      <c r="H1479" s="10" t="inlineStr">
        <is>
          <t>Power Bank 20K</t>
        </is>
      </c>
      <c r="I1479" s="10" t="n">
        <v>1</v>
      </c>
      <c r="J1479" s="10" t="n">
        <v>185000</v>
      </c>
      <c r="K1479" s="10" t="n">
        <v>185000</v>
      </c>
    </row>
    <row r="1480">
      <c r="A1480" s="10" t="inlineStr">
        <is>
          <t>INV-70214</t>
        </is>
      </c>
      <c r="B1480" s="10" t="inlineStr">
        <is>
          <t>15 Feb 2025</t>
        </is>
      </c>
      <c r="C1480" s="10" t="inlineStr">
        <is>
          <t>C1060</t>
        </is>
      </c>
      <c r="D1480" s="10" t="inlineStr">
        <is>
          <t>loyal</t>
        </is>
      </c>
      <c r="E1480" s="10" t="inlineStr">
        <is>
          <t>TIKTOK SHOP</t>
        </is>
      </c>
      <c r="F1480" s="10" t="inlineStr">
        <is>
          <t>Lainnya</t>
        </is>
      </c>
      <c r="G1480" s="10" t="inlineStr">
        <is>
          <t>rumah tangga</t>
        </is>
      </c>
      <c r="H1480" s="10" t="inlineStr">
        <is>
          <t>Set Wadah Kedap</t>
        </is>
      </c>
      <c r="I1480" s="10" t="n">
        <v>1</v>
      </c>
      <c r="J1480" s="10" t="n">
        <v>135000</v>
      </c>
      <c r="K1480" s="10" t="n">
        <v>135000</v>
      </c>
    </row>
    <row r="1481">
      <c r="A1481" s="10" t="inlineStr">
        <is>
          <t>INV-71175</t>
        </is>
      </c>
      <c r="B1481" s="10" t="inlineStr">
        <is>
          <t>2026-06-11</t>
        </is>
      </c>
      <c r="C1481" s="10" t="inlineStr">
        <is>
          <t>C1334</t>
        </is>
      </c>
      <c r="D1481" s="10" t="inlineStr">
        <is>
          <t>champion</t>
        </is>
      </c>
      <c r="E1481" s="10" t="inlineStr">
        <is>
          <t>offline store</t>
        </is>
      </c>
      <c r="F1481" s="10" t="n"/>
      <c r="G1481" s="10" t="inlineStr">
        <is>
          <t>Rumah Tangga</t>
        </is>
      </c>
      <c r="H1481" s="10" t="inlineStr">
        <is>
          <t>Set Wadah Kedap</t>
        </is>
      </c>
      <c r="I1481" s="10" t="n">
        <v>2</v>
      </c>
      <c r="J1481" s="10" t="n">
        <v>135000</v>
      </c>
      <c r="K1481" s="10" t="n">
        <v>270000</v>
      </c>
    </row>
    <row r="1482">
      <c r="A1482" s="10" t="inlineStr">
        <is>
          <t>INV-70004</t>
        </is>
      </c>
      <c r="B1482" s="10" t="inlineStr">
        <is>
          <t>2026-04-05</t>
        </is>
      </c>
      <c r="C1482" s="10" t="inlineStr">
        <is>
          <t>C1001</t>
        </is>
      </c>
      <c r="D1482" s="10" t="inlineStr">
        <is>
          <t>occasional</t>
        </is>
      </c>
      <c r="E1482" s="10" t="inlineStr">
        <is>
          <t xml:space="preserve">Tokopedia </t>
        </is>
      </c>
      <c r="F1482" s="10" t="inlineStr">
        <is>
          <t>Jawa Barat</t>
        </is>
      </c>
      <c r="G1482" s="10" t="inlineStr">
        <is>
          <t>Rumah Tangga</t>
        </is>
      </c>
      <c r="H1482" s="10" t="inlineStr">
        <is>
          <t>Set Wadah Kedap</t>
        </is>
      </c>
      <c r="I1482" s="10" t="n">
        <v>1</v>
      </c>
      <c r="J1482" s="10" t="n">
        <v>135000</v>
      </c>
      <c r="K1482" s="10" t="n">
        <v>135000</v>
      </c>
    </row>
    <row r="1483">
      <c r="A1483" s="10" t="inlineStr">
        <is>
          <t>INV-71031</t>
        </is>
      </c>
      <c r="B1483" s="10" t="inlineStr">
        <is>
          <t>2025-12-14</t>
        </is>
      </c>
      <c r="C1483" s="10" t="inlineStr">
        <is>
          <t>C1293</t>
        </is>
      </c>
      <c r="D1483" s="10" t="inlineStr">
        <is>
          <t>occasional</t>
        </is>
      </c>
      <c r="E1483" s="10" t="inlineStr">
        <is>
          <t>Tokopedia</t>
        </is>
      </c>
      <c r="F1483" s="10" t="inlineStr">
        <is>
          <t>Jawa Timur</t>
        </is>
      </c>
      <c r="G1483" s="10" t="inlineStr">
        <is>
          <t>Rumah Tangga</t>
        </is>
      </c>
      <c r="H1483" s="10" t="inlineStr">
        <is>
          <t>Organizer Laci</t>
        </is>
      </c>
      <c r="I1483" s="10" t="n">
        <v>2</v>
      </c>
      <c r="J1483" s="10" t="n">
        <v>78000</v>
      </c>
      <c r="K1483" s="10" t="n">
        <v>156000</v>
      </c>
    </row>
    <row r="1484">
      <c r="A1484" s="10" t="inlineStr">
        <is>
          <t>INV-70416</t>
        </is>
      </c>
      <c r="B1484" s="10" t="inlineStr">
        <is>
          <t>2025-01-15</t>
        </is>
      </c>
      <c r="C1484" s="10" t="inlineStr">
        <is>
          <t>C1116</t>
        </is>
      </c>
      <c r="D1484" s="10" t="inlineStr">
        <is>
          <t>regular</t>
        </is>
      </c>
      <c r="E1484" s="10" t="inlineStr">
        <is>
          <t>Shopee</t>
        </is>
      </c>
      <c r="F1484" s="10" t="inlineStr">
        <is>
          <t>Jabodetabek</t>
        </is>
      </c>
      <c r="G1484" s="10" t="inlineStr">
        <is>
          <t>rumah tangga</t>
        </is>
      </c>
      <c r="H1484" s="10" t="inlineStr">
        <is>
          <t>Organizer Laci</t>
        </is>
      </c>
      <c r="I1484" s="10" t="n">
        <v>4</v>
      </c>
      <c r="J1484" s="10" t="n">
        <v>78000</v>
      </c>
      <c r="K1484" s="10" t="n">
        <v>312000</v>
      </c>
    </row>
    <row r="1485">
      <c r="A1485" s="10" t="inlineStr">
        <is>
          <t>INV-71350</t>
        </is>
      </c>
      <c r="B1485" s="10" t="inlineStr">
        <is>
          <t>10 Apr 2026</t>
        </is>
      </c>
      <c r="C1485" s="10" t="inlineStr">
        <is>
          <t>C1372</t>
        </is>
      </c>
      <c r="D1485" s="10" t="inlineStr">
        <is>
          <t>onetime</t>
        </is>
      </c>
      <c r="E1485" s="10" t="inlineStr">
        <is>
          <t xml:space="preserve">Shopee </t>
        </is>
      </c>
      <c r="F1485" s="10" t="inlineStr">
        <is>
          <t>Jawa Barat</t>
        </is>
      </c>
      <c r="G1485" s="10" t="inlineStr">
        <is>
          <t>Elektronik</t>
        </is>
      </c>
      <c r="H1485" s="10" t="inlineStr">
        <is>
          <t>Power Bank 20K</t>
        </is>
      </c>
      <c r="I1485" s="10" t="n">
        <v>1</v>
      </c>
      <c r="J1485" s="10" t="n">
        <v>185000</v>
      </c>
      <c r="K1485" s="10" t="n">
        <v>185000</v>
      </c>
    </row>
    <row r="1486">
      <c r="A1486" s="10" t="inlineStr">
        <is>
          <t>INV-70881</t>
        </is>
      </c>
      <c r="B1486" s="10" t="inlineStr">
        <is>
          <t>2025-10-21</t>
        </is>
      </c>
      <c r="C1486" s="10" t="inlineStr">
        <is>
          <t>C1247</t>
        </is>
      </c>
      <c r="D1486" s="10" t="inlineStr">
        <is>
          <t>champion</t>
        </is>
      </c>
      <c r="E1486" s="10" t="inlineStr">
        <is>
          <t>Shopee</t>
        </is>
      </c>
      <c r="F1486" s="10" t="inlineStr">
        <is>
          <t>Jabodetabek</t>
        </is>
      </c>
      <c r="G1486" s="10" t="inlineStr">
        <is>
          <t>Kecantikan</t>
        </is>
      </c>
      <c r="H1486" s="10" t="inlineStr">
        <is>
          <t>Masker Wajah (5s)</t>
        </is>
      </c>
      <c r="I1486" s="10" t="n">
        <v>1</v>
      </c>
      <c r="J1486" s="10" t="n">
        <v>55000</v>
      </c>
      <c r="K1486" s="10" t="inlineStr">
        <is>
          <t>Rp 55.000</t>
        </is>
      </c>
    </row>
    <row r="1487">
      <c r="A1487" s="10" t="inlineStr">
        <is>
          <t>INV-71273</t>
        </is>
      </c>
      <c r="B1487" s="10" t="inlineStr">
        <is>
          <t>2025-01-26</t>
        </is>
      </c>
      <c r="C1487" s="10" t="inlineStr">
        <is>
          <t>C1358</t>
        </is>
      </c>
      <c r="D1487" s="10" t="inlineStr">
        <is>
          <t>champion</t>
        </is>
      </c>
      <c r="E1487" s="10" t="inlineStr">
        <is>
          <t>Tokopedia</t>
        </is>
      </c>
      <c r="F1487" s="10" t="inlineStr">
        <is>
          <t>Jabodetabek</t>
        </is>
      </c>
      <c r="G1487" s="10" t="inlineStr">
        <is>
          <t>Rumah Tangga</t>
        </is>
      </c>
      <c r="H1487" s="10" t="inlineStr">
        <is>
          <t>Set Wadah Kedap</t>
        </is>
      </c>
      <c r="I1487" s="10" t="n">
        <v>2</v>
      </c>
      <c r="J1487" s="10" t="n">
        <v>135000</v>
      </c>
      <c r="K1487" s="10" t="n">
        <v>270000</v>
      </c>
    </row>
    <row r="1488">
      <c r="A1488" s="10" t="inlineStr">
        <is>
          <t>INV-71337</t>
        </is>
      </c>
      <c r="B1488" s="10" t="inlineStr">
        <is>
          <t>02 May 2025</t>
        </is>
      </c>
      <c r="C1488" s="10" t="inlineStr">
        <is>
          <t>C1369</t>
        </is>
      </c>
      <c r="D1488" s="10" t="inlineStr">
        <is>
          <t>loyal</t>
        </is>
      </c>
      <c r="E1488" s="10" t="inlineStr">
        <is>
          <t>Offline Store</t>
        </is>
      </c>
      <c r="F1488" s="10" t="inlineStr">
        <is>
          <t>Jabodetabek</t>
        </is>
      </c>
      <c r="G1488" s="10" t="inlineStr">
        <is>
          <t>Elektronik</t>
        </is>
      </c>
      <c r="H1488" s="10" t="inlineStr">
        <is>
          <t>Keyboard Mekanik</t>
        </is>
      </c>
      <c r="I1488" s="10" t="n">
        <v>4</v>
      </c>
      <c r="J1488" s="10" t="n">
        <v>380000</v>
      </c>
      <c r="K1488" s="10" t="n">
        <v>1520000</v>
      </c>
    </row>
    <row r="1489">
      <c r="A1489" s="10" t="inlineStr">
        <is>
          <t>INV-71311</t>
        </is>
      </c>
      <c r="B1489" s="10" t="inlineStr">
        <is>
          <t>2025-11-10</t>
        </is>
      </c>
      <c r="C1489" s="10" t="inlineStr">
        <is>
          <t>C1364</t>
        </is>
      </c>
      <c r="D1489" s="10" t="inlineStr">
        <is>
          <t>champion</t>
        </is>
      </c>
      <c r="E1489" s="10" t="inlineStr">
        <is>
          <t>TikTok Shop</t>
        </is>
      </c>
      <c r="F1489" s="10" t="inlineStr">
        <is>
          <t>Jawa Timur</t>
        </is>
      </c>
      <c r="G1489" s="10" t="inlineStr">
        <is>
          <t>elektronik</t>
        </is>
      </c>
      <c r="H1489" s="10" t="inlineStr">
        <is>
          <t>Power Bank 20K</t>
        </is>
      </c>
      <c r="I1489" s="10" t="n">
        <v>2</v>
      </c>
      <c r="J1489" s="10" t="n">
        <v>185000</v>
      </c>
      <c r="K1489" s="10" t="n">
        <v>370000</v>
      </c>
    </row>
    <row r="1490">
      <c r="A1490" s="10" t="inlineStr">
        <is>
          <t>INV-71494</t>
        </is>
      </c>
      <c r="B1490" s="10" t="inlineStr">
        <is>
          <t>2026-03-15</t>
        </is>
      </c>
      <c r="C1490" s="10" t="inlineStr">
        <is>
          <t>C1412</t>
        </is>
      </c>
      <c r="D1490" s="10" t="inlineStr">
        <is>
          <t>champion</t>
        </is>
      </c>
      <c r="E1490" s="10" t="inlineStr">
        <is>
          <t>Offline Store</t>
        </is>
      </c>
      <c r="F1490" s="10" t="inlineStr">
        <is>
          <t>Jawa Barat</t>
        </is>
      </c>
      <c r="G1490" s="10" t="inlineStr">
        <is>
          <t>Rumah Tangga</t>
        </is>
      </c>
      <c r="H1490" s="10" t="inlineStr">
        <is>
          <t>Set Wadah Kedap</t>
        </is>
      </c>
      <c r="I1490" s="10" t="n">
        <v>2</v>
      </c>
      <c r="J1490" s="10" t="n">
        <v>135000</v>
      </c>
      <c r="K1490" s="10" t="n">
        <v>270000</v>
      </c>
    </row>
    <row r="1491">
      <c r="A1491" s="10" t="inlineStr">
        <is>
          <t>INV-70088</t>
        </is>
      </c>
      <c r="B1491" s="10" t="inlineStr">
        <is>
          <t>2025-04-04</t>
        </is>
      </c>
      <c r="C1491" s="10" t="inlineStr">
        <is>
          <t>C1026</t>
        </is>
      </c>
      <c r="D1491" s="10" t="inlineStr">
        <is>
          <t>occasional</t>
        </is>
      </c>
      <c r="E1491" s="10" t="inlineStr">
        <is>
          <t>tiktok shop</t>
        </is>
      </c>
      <c r="F1491" s="10" t="inlineStr">
        <is>
          <t>Jabodetabek</t>
        </is>
      </c>
      <c r="G1491" s="10" t="inlineStr">
        <is>
          <t>Elektronik</t>
        </is>
      </c>
      <c r="H1491" s="10" t="inlineStr">
        <is>
          <t>Webcam HD</t>
        </is>
      </c>
      <c r="I1491" s="10" t="n">
        <v>2</v>
      </c>
      <c r="J1491" s="10" t="n">
        <v>210000</v>
      </c>
      <c r="K1491" s="10" t="n">
        <v>420000</v>
      </c>
    </row>
    <row r="1492">
      <c r="A1492" s="10" t="inlineStr">
        <is>
          <t>INV-70044</t>
        </is>
      </c>
      <c r="B1492" s="10" t="inlineStr">
        <is>
          <t>2026-04-13</t>
        </is>
      </c>
      <c r="C1492" s="10" t="inlineStr">
        <is>
          <t>C1012</t>
        </is>
      </c>
      <c r="D1492" s="10" t="inlineStr">
        <is>
          <t>loyal</t>
        </is>
      </c>
      <c r="E1492" s="10" t="inlineStr">
        <is>
          <t>Offline Store</t>
        </is>
      </c>
      <c r="F1492" s="10" t="inlineStr">
        <is>
          <t>Jabodetabek</t>
        </is>
      </c>
      <c r="G1492" s="10" t="inlineStr">
        <is>
          <t>Rumah Tangga</t>
        </is>
      </c>
      <c r="H1492" s="10" t="inlineStr">
        <is>
          <t>Organizer Laci</t>
        </is>
      </c>
      <c r="I1492" s="10" t="n">
        <v>1</v>
      </c>
      <c r="J1492" s="10" t="n">
        <v>78000</v>
      </c>
      <c r="K1492" s="10" t="n">
        <v>78000</v>
      </c>
    </row>
    <row r="1493">
      <c r="A1493" s="10" t="inlineStr">
        <is>
          <t>INV-70284</t>
        </is>
      </c>
      <c r="B1493" s="10" t="inlineStr">
        <is>
          <t>2025-09-14</t>
        </is>
      </c>
      <c r="C1493" s="10" t="inlineStr">
        <is>
          <t>C1080</t>
        </is>
      </c>
      <c r="D1493" s="10" t="inlineStr">
        <is>
          <t>regular</t>
        </is>
      </c>
      <c r="E1493" s="10" t="inlineStr">
        <is>
          <t>TikTok Shop</t>
        </is>
      </c>
      <c r="F1493" s="10" t="inlineStr">
        <is>
          <t>Jawa Barat</t>
        </is>
      </c>
      <c r="G1493" s="10" t="inlineStr">
        <is>
          <t>Rumah Tangga</t>
        </is>
      </c>
      <c r="H1493" s="10" t="inlineStr">
        <is>
          <t>Set Wadah Kedap</t>
        </is>
      </c>
      <c r="I1493" s="10" t="n">
        <v>1</v>
      </c>
      <c r="J1493" s="10" t="n">
        <v>135000</v>
      </c>
      <c r="K1493" s="10" t="n">
        <v>135000</v>
      </c>
    </row>
    <row r="1494">
      <c r="A1494" s="10" t="inlineStr">
        <is>
          <t>INV-70799</t>
        </is>
      </c>
      <c r="B1494" s="10" t="inlineStr">
        <is>
          <t>25/05/2025</t>
        </is>
      </c>
      <c r="C1494" s="10" t="inlineStr">
        <is>
          <t>C1224</t>
        </is>
      </c>
      <c r="D1494" s="10" t="inlineStr">
        <is>
          <t>regular</t>
        </is>
      </c>
      <c r="E1494" s="10" t="inlineStr">
        <is>
          <t>offline store</t>
        </is>
      </c>
      <c r="F1494" s="10" t="inlineStr">
        <is>
          <t>Jawa Tengah</t>
        </is>
      </c>
      <c r="G1494" s="10" t="inlineStr">
        <is>
          <t>Rumah Tangga</t>
        </is>
      </c>
      <c r="H1494" s="10" t="inlineStr">
        <is>
          <t>Set Wadah Kedap</t>
        </is>
      </c>
      <c r="I1494" s="10" t="n">
        <v>4</v>
      </c>
      <c r="J1494" s="10" t="n">
        <v>135000</v>
      </c>
      <c r="K1494" s="10" t="n">
        <v>540000</v>
      </c>
    </row>
    <row r="1495">
      <c r="A1495" s="10" t="inlineStr">
        <is>
          <t>INV-71495</t>
        </is>
      </c>
      <c r="B1495" s="10" t="inlineStr">
        <is>
          <t>2025-06-15</t>
        </is>
      </c>
      <c r="C1495" s="10" t="inlineStr">
        <is>
          <t>C1412</t>
        </is>
      </c>
      <c r="D1495" s="10" t="inlineStr">
        <is>
          <t>champion</t>
        </is>
      </c>
      <c r="E1495" s="10" t="inlineStr">
        <is>
          <t>TikTok Shop</t>
        </is>
      </c>
      <c r="F1495" s="10" t="inlineStr">
        <is>
          <t>Sumatera</t>
        </is>
      </c>
      <c r="G1495" s="10" t="inlineStr">
        <is>
          <t>Rumah Tangga</t>
        </is>
      </c>
      <c r="H1495" s="10" t="inlineStr">
        <is>
          <t>Organizer Laci</t>
        </is>
      </c>
      <c r="I1495" s="10" t="n">
        <v>2</v>
      </c>
      <c r="J1495" s="10" t="n">
        <v>78000</v>
      </c>
      <c r="K1495" s="10" t="n">
        <v>156000</v>
      </c>
    </row>
    <row r="1496">
      <c r="A1496" s="10" t="inlineStr">
        <is>
          <t>INV-70652</t>
        </is>
      </c>
      <c r="B1496" s="10" t="inlineStr">
        <is>
          <t>2025-12-25</t>
        </is>
      </c>
      <c r="C1496" s="10" t="inlineStr">
        <is>
          <t>C1179</t>
        </is>
      </c>
      <c r="D1496" s="10" t="inlineStr">
        <is>
          <t>loyal</t>
        </is>
      </c>
      <c r="E1496" s="10" t="inlineStr">
        <is>
          <t>Shopee</t>
        </is>
      </c>
      <c r="F1496" s="10" t="inlineStr">
        <is>
          <t>Jabodetabek</t>
        </is>
      </c>
      <c r="G1496" s="10" t="inlineStr">
        <is>
          <t>Elektronik</t>
        </is>
      </c>
      <c r="H1496" s="10" t="inlineStr">
        <is>
          <t>Power Bank 20K</t>
        </is>
      </c>
      <c r="I1496" s="10" t="n">
        <v>2</v>
      </c>
      <c r="J1496" s="10" t="n">
        <v>185000</v>
      </c>
      <c r="K1496" s="10" t="n">
        <v>370000</v>
      </c>
    </row>
    <row r="1497">
      <c r="A1497" s="10" t="inlineStr">
        <is>
          <t>INV-70140</t>
        </is>
      </c>
      <c r="B1497" s="10" t="inlineStr">
        <is>
          <t>19 Dec 2025</t>
        </is>
      </c>
      <c r="C1497" s="10" t="inlineStr">
        <is>
          <t>C1039</t>
        </is>
      </c>
      <c r="D1497" s="10" t="inlineStr">
        <is>
          <t>loyal</t>
        </is>
      </c>
      <c r="E1497" s="10" t="inlineStr">
        <is>
          <t>TIKTOK SHOP</t>
        </is>
      </c>
      <c r="F1497" s="10" t="inlineStr">
        <is>
          <t>Jabodetabek</t>
        </is>
      </c>
      <c r="G1497" s="10" t="inlineStr">
        <is>
          <t>Makanan</t>
        </is>
      </c>
      <c r="H1497" s="10" t="inlineStr">
        <is>
          <t>Granola 500g</t>
        </is>
      </c>
      <c r="I1497" s="10" t="n">
        <v>2</v>
      </c>
      <c r="J1497" s="10" t="n">
        <v>92000</v>
      </c>
      <c r="K1497" s="10" t="inlineStr">
        <is>
          <t>Rp 184.000</t>
        </is>
      </c>
    </row>
    <row r="1498">
      <c r="A1498" s="10" t="inlineStr">
        <is>
          <t>INV-70522</t>
        </is>
      </c>
      <c r="B1498" s="10" t="inlineStr">
        <is>
          <t>2026-02-24</t>
        </is>
      </c>
      <c r="C1498" s="10" t="inlineStr">
        <is>
          <t>C1143</t>
        </is>
      </c>
      <c r="D1498" s="10" t="inlineStr">
        <is>
          <t>onetime</t>
        </is>
      </c>
      <c r="E1498" s="10" t="inlineStr">
        <is>
          <t>Tokopedia</t>
        </is>
      </c>
      <c r="F1498" s="10" t="inlineStr">
        <is>
          <t>Jawa Timur</t>
        </is>
      </c>
      <c r="G1498" s="10" t="inlineStr">
        <is>
          <t>Rumah Tangga</t>
        </is>
      </c>
      <c r="H1498" s="10" t="inlineStr">
        <is>
          <t>Set Wadah Kedap</t>
        </is>
      </c>
      <c r="I1498" s="10" t="n">
        <v>2</v>
      </c>
      <c r="J1498" s="10" t="n">
        <v>135000</v>
      </c>
      <c r="K1498" s="10" t="n">
        <v>270000</v>
      </c>
    </row>
    <row r="1499">
      <c r="A1499" s="10" t="inlineStr">
        <is>
          <t>INV-71191</t>
        </is>
      </c>
      <c r="B1499" s="10" t="inlineStr">
        <is>
          <t>2025-04-08</t>
        </is>
      </c>
      <c r="C1499" s="10" t="inlineStr">
        <is>
          <t>C1335</t>
        </is>
      </c>
      <c r="D1499" s="10" t="inlineStr">
        <is>
          <t>regular</t>
        </is>
      </c>
      <c r="E1499" s="10" t="inlineStr">
        <is>
          <t>TikTok Shop</t>
        </is>
      </c>
      <c r="F1499" s="10" t="inlineStr">
        <is>
          <t>Jabodetabek</t>
        </is>
      </c>
      <c r="G1499" s="10" t="inlineStr">
        <is>
          <t>Rumah Tangga</t>
        </is>
      </c>
      <c r="H1499" s="10" t="inlineStr">
        <is>
          <t>Organizer Laci</t>
        </is>
      </c>
      <c r="I1499" s="10" t="n">
        <v>2</v>
      </c>
      <c r="J1499" s="10" t="n">
        <v>78000</v>
      </c>
      <c r="K1499" s="10" t="n">
        <v>156000</v>
      </c>
    </row>
    <row r="1500">
      <c r="A1500" s="10" t="inlineStr">
        <is>
          <t>INV-70497</t>
        </is>
      </c>
      <c r="B1500" s="10" t="inlineStr">
        <is>
          <t>2025-04-10</t>
        </is>
      </c>
      <c r="C1500" s="10" t="inlineStr">
        <is>
          <t>C1139</t>
        </is>
      </c>
      <c r="D1500" s="10" t="inlineStr">
        <is>
          <t>champion</t>
        </is>
      </c>
      <c r="E1500" s="10" t="inlineStr">
        <is>
          <t>shopee</t>
        </is>
      </c>
      <c r="F1500" s="10" t="inlineStr">
        <is>
          <t>Jawa Tengah</t>
        </is>
      </c>
      <c r="G1500" s="10" t="inlineStr">
        <is>
          <t>Elektronik</t>
        </is>
      </c>
      <c r="H1500" s="10" t="inlineStr">
        <is>
          <t>Keyboard Mekanik</t>
        </is>
      </c>
      <c r="I1500" s="10" t="n">
        <v>2</v>
      </c>
      <c r="J1500" s="10" t="n">
        <v>380000</v>
      </c>
      <c r="K1500" s="10" t="n">
        <v>760000</v>
      </c>
    </row>
    <row r="1501">
      <c r="A1501" s="10" t="inlineStr">
        <is>
          <t>INV-71480</t>
        </is>
      </c>
      <c r="B1501" s="10" t="inlineStr">
        <is>
          <t>2025-08-04</t>
        </is>
      </c>
      <c r="C1501" s="10" t="inlineStr">
        <is>
          <t>C1409</t>
        </is>
      </c>
      <c r="D1501" s="10" t="inlineStr">
        <is>
          <t>loyal</t>
        </is>
      </c>
      <c r="E1501" s="10" t="inlineStr">
        <is>
          <t>Shopee</t>
        </is>
      </c>
      <c r="F1501" s="10" t="inlineStr">
        <is>
          <t>Jabodetabek</t>
        </is>
      </c>
      <c r="G1501" s="10" t="inlineStr">
        <is>
          <t>rumah tangga</t>
        </is>
      </c>
      <c r="H1501" s="10" t="inlineStr">
        <is>
          <t>Set Wadah Kedap</t>
        </is>
      </c>
      <c r="I1501" s="10" t="n">
        <v>3</v>
      </c>
      <c r="J1501" s="10" t="n">
        <v>135000</v>
      </c>
      <c r="K1501" s="10" t="n">
        <v>405000</v>
      </c>
    </row>
    <row r="1502">
      <c r="A1502" s="10" t="inlineStr">
        <is>
          <t>INV-70250</t>
        </is>
      </c>
      <c r="B1502" s="10" t="inlineStr">
        <is>
          <t>2025-04-06</t>
        </is>
      </c>
      <c r="C1502" s="10" t="inlineStr">
        <is>
          <t>C1072</t>
        </is>
      </c>
      <c r="D1502" s="10" t="inlineStr">
        <is>
          <t>champion</t>
        </is>
      </c>
      <c r="E1502" s="10" t="inlineStr">
        <is>
          <t>Tokopedia</t>
        </is>
      </c>
      <c r="F1502" s="10" t="inlineStr">
        <is>
          <t>Sumatera</t>
        </is>
      </c>
      <c r="G1502" s="10" t="inlineStr">
        <is>
          <t>Elektronik</t>
        </is>
      </c>
      <c r="H1502" s="10" t="inlineStr">
        <is>
          <t>Keyboard Mekanik</t>
        </is>
      </c>
      <c r="I1502" s="10" t="n">
        <v>3</v>
      </c>
      <c r="J1502" s="10" t="n">
        <v>380000</v>
      </c>
      <c r="K1502" s="10" t="n">
        <v>1140000</v>
      </c>
    </row>
    <row r="1503">
      <c r="A1503" s="10" t="inlineStr">
        <is>
          <t>INV-70533</t>
        </is>
      </c>
      <c r="B1503" s="10" t="inlineStr">
        <is>
          <t>2026-06-06</t>
        </is>
      </c>
      <c r="C1503" s="10" t="inlineStr">
        <is>
          <t>C1147</t>
        </is>
      </c>
      <c r="D1503" s="10" t="inlineStr">
        <is>
          <t>regular</t>
        </is>
      </c>
      <c r="E1503" s="10" t="inlineStr">
        <is>
          <t>Offline Store</t>
        </is>
      </c>
      <c r="F1503" s="10" t="inlineStr">
        <is>
          <t>Jawa Timur</t>
        </is>
      </c>
      <c r="G1503" s="10" t="inlineStr">
        <is>
          <t>Kecantikan</t>
        </is>
      </c>
      <c r="H1503" s="10" t="inlineStr">
        <is>
          <t>Masker Wajah (5s)</t>
        </is>
      </c>
      <c r="I1503" s="10" t="n">
        <v>3</v>
      </c>
      <c r="J1503" s="10" t="n">
        <v>55000</v>
      </c>
      <c r="K1503" s="10" t="n">
        <v>165000</v>
      </c>
    </row>
    <row r="1504">
      <c r="A1504" s="10" t="inlineStr">
        <is>
          <t>INV-70700</t>
        </is>
      </c>
      <c r="B1504" s="10" t="inlineStr">
        <is>
          <t>2025-06-10</t>
        </is>
      </c>
      <c r="C1504" s="10" t="inlineStr">
        <is>
          <t>C1195</t>
        </is>
      </c>
      <c r="D1504" s="10" t="inlineStr">
        <is>
          <t>champion</t>
        </is>
      </c>
      <c r="E1504" s="10" t="inlineStr">
        <is>
          <t xml:space="preserve"> tokopedia</t>
        </is>
      </c>
      <c r="F1504" s="10" t="inlineStr">
        <is>
          <t>Jabodetabek</t>
        </is>
      </c>
      <c r="G1504" s="10" t="inlineStr">
        <is>
          <t>Kecantikan</t>
        </is>
      </c>
      <c r="H1504" s="10" t="inlineStr">
        <is>
          <t>Masker Wajah (5s)</t>
        </is>
      </c>
      <c r="I1504" s="10" t="n">
        <v>1</v>
      </c>
      <c r="J1504" s="10" t="n">
        <v>55000</v>
      </c>
      <c r="K1504" s="10" t="inlineStr">
        <is>
          <t>Rp 55.000</t>
        </is>
      </c>
    </row>
    <row r="1505">
      <c r="A1505" s="10" t="inlineStr">
        <is>
          <t>INV-70287</t>
        </is>
      </c>
      <c r="B1505" s="10" t="inlineStr">
        <is>
          <t>2025-03-08</t>
        </is>
      </c>
      <c r="C1505" s="10" t="inlineStr">
        <is>
          <t>C1082</t>
        </is>
      </c>
      <c r="D1505" s="10" t="inlineStr">
        <is>
          <t>occasional</t>
        </is>
      </c>
      <c r="E1505" s="10" t="inlineStr">
        <is>
          <t>TikTok Shop</t>
        </is>
      </c>
      <c r="F1505" s="10" t="inlineStr">
        <is>
          <t>Jawa Barat</t>
        </is>
      </c>
      <c r="G1505" s="10" t="inlineStr">
        <is>
          <t>fashion</t>
        </is>
      </c>
      <c r="H1505" s="10" t="inlineStr">
        <is>
          <t>Celana Chino</t>
        </is>
      </c>
      <c r="I1505" s="10" t="n">
        <v>2</v>
      </c>
      <c r="J1505" s="10" t="n">
        <v>195000</v>
      </c>
      <c r="K1505" s="10" t="n">
        <v>390000</v>
      </c>
    </row>
    <row r="1506">
      <c r="A1506" s="10" t="inlineStr">
        <is>
          <t>INV-70695</t>
        </is>
      </c>
      <c r="B1506" s="10" t="inlineStr">
        <is>
          <t>2025-11-27</t>
        </is>
      </c>
      <c r="C1506" s="10" t="inlineStr">
        <is>
          <t>C1193</t>
        </is>
      </c>
      <c r="D1506" s="10" t="inlineStr">
        <is>
          <t>loyal</t>
        </is>
      </c>
      <c r="E1506" s="10" t="inlineStr">
        <is>
          <t>Offline Store</t>
        </is>
      </c>
      <c r="F1506" s="10" t="inlineStr">
        <is>
          <t>Jabodetabek</t>
        </is>
      </c>
      <c r="G1506" s="10" t="inlineStr">
        <is>
          <t>Fashion</t>
        </is>
      </c>
      <c r="H1506" s="10" t="inlineStr">
        <is>
          <t>Dress Casual</t>
        </is>
      </c>
      <c r="I1506" s="10" t="n">
        <v>1</v>
      </c>
      <c r="J1506" s="10" t="n">
        <v>225000</v>
      </c>
      <c r="K1506" s="10" t="inlineStr">
        <is>
          <t>Rp 225.000</t>
        </is>
      </c>
    </row>
    <row r="1507">
      <c r="A1507" s="10" t="inlineStr">
        <is>
          <t>INV-70925</t>
        </is>
      </c>
      <c r="B1507" s="10" t="inlineStr">
        <is>
          <t>2026-06-20</t>
        </is>
      </c>
      <c r="C1507" s="10" t="inlineStr">
        <is>
          <t>C1261</t>
        </is>
      </c>
      <c r="D1507" s="10" t="inlineStr">
        <is>
          <t>champion</t>
        </is>
      </c>
      <c r="E1507" s="10" t="inlineStr">
        <is>
          <t>Shopee</t>
        </is>
      </c>
      <c r="F1507" s="10" t="inlineStr">
        <is>
          <t>Jabodetabek</t>
        </is>
      </c>
      <c r="G1507" s="10" t="inlineStr">
        <is>
          <t>Elektronik</t>
        </is>
      </c>
      <c r="H1507" s="10" t="inlineStr">
        <is>
          <t>Power Bank 20K</t>
        </is>
      </c>
      <c r="I1507" s="10" t="n">
        <v>1</v>
      </c>
      <c r="J1507" s="10" t="n">
        <v>185000</v>
      </c>
      <c r="K1507" s="10" t="n">
        <v>185000</v>
      </c>
    </row>
    <row r="1508">
      <c r="A1508" s="10" t="inlineStr">
        <is>
          <t>INV-70109</t>
        </is>
      </c>
      <c r="B1508" s="10" t="inlineStr">
        <is>
          <t>25/08/2025</t>
        </is>
      </c>
      <c r="C1508" s="10" t="inlineStr">
        <is>
          <t>C1032</t>
        </is>
      </c>
      <c r="D1508" s="10" t="inlineStr">
        <is>
          <t>occasional</t>
        </is>
      </c>
      <c r="E1508" s="10" t="inlineStr">
        <is>
          <t>Tokopedia</t>
        </is>
      </c>
      <c r="F1508" s="10" t="inlineStr">
        <is>
          <t>Lainnya</t>
        </is>
      </c>
      <c r="G1508" s="10" t="inlineStr">
        <is>
          <t>Elektronik</t>
        </is>
      </c>
      <c r="H1508" s="10" t="inlineStr">
        <is>
          <t>Webcam HD</t>
        </is>
      </c>
      <c r="I1508" s="10" t="n">
        <v>2</v>
      </c>
      <c r="J1508" s="10" t="n">
        <v>210000</v>
      </c>
      <c r="K1508" s="10" t="n">
        <v>420000</v>
      </c>
    </row>
    <row r="1509">
      <c r="A1509" s="10" t="inlineStr">
        <is>
          <t>INV-70747</t>
        </is>
      </c>
      <c r="B1509" s="10" t="inlineStr">
        <is>
          <t>2026-06-25</t>
        </is>
      </c>
      <c r="C1509" s="10" t="inlineStr">
        <is>
          <t>C1210</t>
        </is>
      </c>
      <c r="D1509" s="10" t="inlineStr">
        <is>
          <t>loyal</t>
        </is>
      </c>
      <c r="E1509" s="10" t="inlineStr">
        <is>
          <t xml:space="preserve">Shopee </t>
        </is>
      </c>
      <c r="F1509" s="10" t="inlineStr">
        <is>
          <t>Jawa Barat</t>
        </is>
      </c>
      <c r="G1509" s="10" t="inlineStr">
        <is>
          <t>Fashion</t>
        </is>
      </c>
      <c r="H1509" s="10" t="inlineStr">
        <is>
          <t>Kaos Premium</t>
        </is>
      </c>
      <c r="I1509" s="10" t="n">
        <v>-1</v>
      </c>
      <c r="J1509" s="10" t="n">
        <v>95000</v>
      </c>
      <c r="K1509" s="10" t="n">
        <v>95000</v>
      </c>
    </row>
    <row r="1510">
      <c r="A1510" s="10" t="inlineStr">
        <is>
          <t>INV-70030</t>
        </is>
      </c>
      <c r="B1510" s="10" t="inlineStr">
        <is>
          <t>2025-01-11</t>
        </is>
      </c>
      <c r="C1510" s="10" t="inlineStr">
        <is>
          <t>C1006</t>
        </is>
      </c>
      <c r="D1510" s="10" t="inlineStr">
        <is>
          <t>regular</t>
        </is>
      </c>
      <c r="E1510" s="10" t="inlineStr">
        <is>
          <t xml:space="preserve">Shopee </t>
        </is>
      </c>
      <c r="F1510" s="10" t="inlineStr">
        <is>
          <t>Jawa Tengah</t>
        </is>
      </c>
      <c r="G1510" s="10" t="inlineStr">
        <is>
          <t>Rumah Tangga</t>
        </is>
      </c>
      <c r="H1510" s="10" t="inlineStr">
        <is>
          <t>Set Wadah Kedap</t>
        </is>
      </c>
      <c r="I1510" s="10" t="n">
        <v>4</v>
      </c>
      <c r="J1510" s="10" t="n">
        <v>135000</v>
      </c>
      <c r="K1510" s="10" t="n">
        <v>540000</v>
      </c>
    </row>
    <row r="1511">
      <c r="A1511" s="10" t="inlineStr">
        <is>
          <t>INV-70436</t>
        </is>
      </c>
      <c r="B1511" s="10" t="inlineStr">
        <is>
          <t>2026-02-21</t>
        </is>
      </c>
      <c r="C1511" s="10" t="inlineStr">
        <is>
          <t>C1123</t>
        </is>
      </c>
      <c r="D1511" s="10" t="inlineStr">
        <is>
          <t>regular</t>
        </is>
      </c>
      <c r="E1511" s="10" t="inlineStr">
        <is>
          <t>Shopee</t>
        </is>
      </c>
      <c r="F1511" s="10" t="inlineStr">
        <is>
          <t>Jabodetabek</t>
        </is>
      </c>
      <c r="G1511" s="10" t="inlineStr">
        <is>
          <t>Makanan</t>
        </is>
      </c>
      <c r="H1511" s="10" t="inlineStr">
        <is>
          <t>Madu Hutan 250ml</t>
        </is>
      </c>
      <c r="I1511" s="10" t="n">
        <v>1</v>
      </c>
      <c r="J1511" s="10" t="n">
        <v>110000</v>
      </c>
      <c r="K1511" s="10" t="n">
        <v>110000</v>
      </c>
    </row>
    <row r="1512">
      <c r="A1512" s="10" t="inlineStr">
        <is>
          <t>INV-71102</t>
        </is>
      </c>
      <c r="B1512" s="10" t="inlineStr">
        <is>
          <t>2025-01-01</t>
        </is>
      </c>
      <c r="C1512" s="10" t="inlineStr">
        <is>
          <t>C1309</t>
        </is>
      </c>
      <c r="D1512" s="10" t="inlineStr">
        <is>
          <t>regular</t>
        </is>
      </c>
      <c r="E1512" s="10" t="inlineStr">
        <is>
          <t>Shopee</t>
        </is>
      </c>
      <c r="F1512" s="10" t="inlineStr">
        <is>
          <t>Jabodetabek</t>
        </is>
      </c>
      <c r="G1512" s="10" t="inlineStr">
        <is>
          <t>Kecantikan</t>
        </is>
      </c>
      <c r="H1512" s="10" t="inlineStr">
        <is>
          <t>Masker Wajah (5s)</t>
        </is>
      </c>
      <c r="I1512" s="10" t="n">
        <v>2</v>
      </c>
      <c r="J1512" s="10" t="n">
        <v>55000</v>
      </c>
      <c r="K1512" s="10" t="n">
        <v>110000</v>
      </c>
    </row>
    <row r="1513">
      <c r="A1513" s="10" t="inlineStr">
        <is>
          <t>INV-70978</t>
        </is>
      </c>
      <c r="B1513" s="10" t="inlineStr">
        <is>
          <t>2025-09-19</t>
        </is>
      </c>
      <c r="C1513" s="10" t="inlineStr">
        <is>
          <t>C1280</t>
        </is>
      </c>
      <c r="D1513" s="10" t="inlineStr">
        <is>
          <t>regular</t>
        </is>
      </c>
      <c r="E1513" s="10" t="inlineStr">
        <is>
          <t>TIKTOK SHOP</t>
        </is>
      </c>
      <c r="F1513" s="10" t="inlineStr">
        <is>
          <t>Jawa Barat</t>
        </is>
      </c>
      <c r="G1513" s="10" t="inlineStr">
        <is>
          <t>Fashion</t>
        </is>
      </c>
      <c r="H1513" s="10" t="inlineStr">
        <is>
          <t>Dress Casual</t>
        </is>
      </c>
      <c r="I1513" s="10" t="n">
        <v>1</v>
      </c>
      <c r="J1513" s="10" t="n">
        <v>225000</v>
      </c>
      <c r="K1513" s="10" t="n">
        <v>225000</v>
      </c>
    </row>
    <row r="1514">
      <c r="A1514" s="10" t="inlineStr">
        <is>
          <t>INV-71151</t>
        </is>
      </c>
      <c r="B1514" s="10" t="inlineStr">
        <is>
          <t>2025-06-18</t>
        </is>
      </c>
      <c r="C1514" s="10" t="inlineStr">
        <is>
          <t>C1326</t>
        </is>
      </c>
      <c r="D1514" s="10" t="inlineStr">
        <is>
          <t>loyal</t>
        </is>
      </c>
      <c r="E1514" s="10" t="inlineStr">
        <is>
          <t>TikTok Shop</t>
        </is>
      </c>
      <c r="F1514" s="10" t="inlineStr">
        <is>
          <t>Jawa Timur</t>
        </is>
      </c>
      <c r="G1514" s="10" t="inlineStr">
        <is>
          <t>Rumah Tangga</t>
        </is>
      </c>
      <c r="H1514" s="10" t="inlineStr">
        <is>
          <t>Set Wadah Kedap</t>
        </is>
      </c>
      <c r="I1514" s="10" t="n">
        <v>2</v>
      </c>
      <c r="J1514" s="10" t="n">
        <v>135000</v>
      </c>
      <c r="K1514" s="10" t="inlineStr">
        <is>
          <t>Rp 270.000</t>
        </is>
      </c>
    </row>
    <row r="1515">
      <c r="A1515" s="10" t="inlineStr">
        <is>
          <t>INV-70050</t>
        </is>
      </c>
      <c r="B1515" s="10" t="inlineStr">
        <is>
          <t>2025-06-14</t>
        </is>
      </c>
      <c r="C1515" s="10" t="inlineStr">
        <is>
          <t>C1012</t>
        </is>
      </c>
      <c r="D1515" s="10" t="inlineStr">
        <is>
          <t>loyal</t>
        </is>
      </c>
      <c r="E1515" s="10" t="inlineStr">
        <is>
          <t>Offline Store</t>
        </is>
      </c>
      <c r="F1515" s="10" t="inlineStr">
        <is>
          <t>Jawa Tengah</t>
        </is>
      </c>
      <c r="G1515" s="10" t="inlineStr">
        <is>
          <t>Elektronik</t>
        </is>
      </c>
      <c r="H1515" s="10" t="inlineStr">
        <is>
          <t>Earbuds TWS</t>
        </is>
      </c>
      <c r="I1515" s="10" t="n">
        <v>1</v>
      </c>
      <c r="J1515" s="10" t="n">
        <v>265000</v>
      </c>
      <c r="K1515" s="10" t="n">
        <v>265000</v>
      </c>
    </row>
    <row r="1516">
      <c r="A1516" s="10" t="inlineStr">
        <is>
          <t>INV-70513</t>
        </is>
      </c>
      <c r="B1516" s="10" t="inlineStr">
        <is>
          <t>14/04/2025</t>
        </is>
      </c>
      <c r="C1516" s="10" t="inlineStr">
        <is>
          <t>C1142</t>
        </is>
      </c>
      <c r="D1516" s="10" t="inlineStr">
        <is>
          <t>champion</t>
        </is>
      </c>
      <c r="E1516" s="10" t="inlineStr">
        <is>
          <t>TikTok Shop</t>
        </is>
      </c>
      <c r="F1516" s="10" t="inlineStr">
        <is>
          <t>Lainnya</t>
        </is>
      </c>
      <c r="G1516" s="10" t="inlineStr">
        <is>
          <t>Fashion</t>
        </is>
      </c>
      <c r="H1516" s="10" t="inlineStr">
        <is>
          <t>Celana Chino</t>
        </is>
      </c>
      <c r="I1516" s="10" t="n">
        <v>4</v>
      </c>
      <c r="J1516" s="10" t="n">
        <v>195000</v>
      </c>
      <c r="K1516" s="10" t="n">
        <v>780000</v>
      </c>
    </row>
    <row r="1517">
      <c r="A1517" s="10" t="inlineStr">
        <is>
          <t>INV-71514</t>
        </is>
      </c>
      <c r="B1517" s="10" t="inlineStr">
        <is>
          <t>07 Apr 2026</t>
        </is>
      </c>
      <c r="C1517" s="10" t="inlineStr">
        <is>
          <t>C1415</t>
        </is>
      </c>
      <c r="D1517" s="10" t="inlineStr">
        <is>
          <t>regular</t>
        </is>
      </c>
      <c r="E1517" s="10" t="inlineStr">
        <is>
          <t>TikTok Shop</t>
        </is>
      </c>
      <c r="F1517" s="10" t="inlineStr">
        <is>
          <t>Jabodetabek</t>
        </is>
      </c>
      <c r="G1517" s="10" t="inlineStr">
        <is>
          <t>Makanan</t>
        </is>
      </c>
      <c r="H1517" s="10" t="inlineStr">
        <is>
          <t>Granola 500g</t>
        </is>
      </c>
      <c r="I1517" s="10" t="n">
        <v>4</v>
      </c>
      <c r="J1517" s="10" t="n">
        <v>92000</v>
      </c>
      <c r="K1517" s="10" t="n">
        <v>368000</v>
      </c>
    </row>
    <row r="1518">
      <c r="A1518" s="10" t="inlineStr">
        <is>
          <t>INV-70276</t>
        </is>
      </c>
      <c r="B1518" s="10" t="inlineStr">
        <is>
          <t>2026-05-15</t>
        </is>
      </c>
      <c r="C1518" s="10" t="inlineStr">
        <is>
          <t>C1078</t>
        </is>
      </c>
      <c r="D1518" s="10" t="inlineStr">
        <is>
          <t>regular</t>
        </is>
      </c>
      <c r="E1518" s="10" t="inlineStr">
        <is>
          <t>Tokopedia</t>
        </is>
      </c>
      <c r="F1518" s="10" t="inlineStr">
        <is>
          <t>Jawa Tengah</t>
        </is>
      </c>
      <c r="G1518" s="10" t="inlineStr">
        <is>
          <t>Rumah Tangga</t>
        </is>
      </c>
      <c r="H1518" s="10" t="inlineStr">
        <is>
          <t>Set Wadah Kedap</t>
        </is>
      </c>
      <c r="I1518" s="10" t="n">
        <v>1</v>
      </c>
      <c r="J1518" s="10" t="n">
        <v>135000</v>
      </c>
      <c r="K1518" s="10" t="n">
        <v>135000</v>
      </c>
    </row>
    <row r="1519">
      <c r="A1519" s="10" t="inlineStr">
        <is>
          <t>INV-70462</t>
        </is>
      </c>
      <c r="B1519" s="10" t="inlineStr">
        <is>
          <t>2026-05-17</t>
        </is>
      </c>
      <c r="C1519" s="10" t="inlineStr">
        <is>
          <t>C1132</t>
        </is>
      </c>
      <c r="D1519" s="10" t="inlineStr">
        <is>
          <t>regular</t>
        </is>
      </c>
      <c r="E1519" s="10" t="inlineStr">
        <is>
          <t>Tokopedia</t>
        </is>
      </c>
      <c r="F1519" s="10" t="inlineStr">
        <is>
          <t>Jabodetabek</t>
        </is>
      </c>
      <c r="G1519" s="10" t="inlineStr">
        <is>
          <t>Kecantikan</t>
        </is>
      </c>
      <c r="H1519" s="10" t="inlineStr">
        <is>
          <t>Serum Vit C</t>
        </is>
      </c>
      <c r="I1519" s="10" t="n">
        <v>1</v>
      </c>
      <c r="J1519" s="10" t="n">
        <v>145000</v>
      </c>
      <c r="K1519" s="10" t="n">
        <v>145000</v>
      </c>
    </row>
    <row r="1520">
      <c r="A1520" s="10" t="inlineStr">
        <is>
          <t>INV-71201</t>
        </is>
      </c>
      <c r="B1520" s="10" t="inlineStr">
        <is>
          <t>2025-02-21</t>
        </is>
      </c>
      <c r="C1520" s="10" t="inlineStr">
        <is>
          <t>C1340</t>
        </is>
      </c>
      <c r="D1520" s="10" t="inlineStr">
        <is>
          <t>loyal</t>
        </is>
      </c>
      <c r="E1520" s="10" t="inlineStr">
        <is>
          <t>TikTok Shop</t>
        </is>
      </c>
      <c r="F1520" s="10" t="inlineStr">
        <is>
          <t>Jawa Barat</t>
        </is>
      </c>
      <c r="G1520" s="10" t="inlineStr">
        <is>
          <t>Elektronik</t>
        </is>
      </c>
      <c r="H1520" s="10" t="inlineStr">
        <is>
          <t>Power Bank 20K</t>
        </is>
      </c>
      <c r="I1520" s="10" t="n">
        <v>1</v>
      </c>
      <c r="J1520" s="10" t="n">
        <v>185000</v>
      </c>
      <c r="K1520" s="10" t="n">
        <v>185000</v>
      </c>
    </row>
    <row r="1521">
      <c r="A1521" s="10" t="inlineStr">
        <is>
          <t>INV-71490</t>
        </is>
      </c>
      <c r="B1521" s="10" t="inlineStr">
        <is>
          <t>2026-03-17</t>
        </is>
      </c>
      <c r="C1521" s="10" t="inlineStr">
        <is>
          <t>C1410</t>
        </is>
      </c>
      <c r="D1521" s="10" t="inlineStr">
        <is>
          <t>onetime</t>
        </is>
      </c>
      <c r="E1521" s="10" t="inlineStr">
        <is>
          <t>Shopee</t>
        </is>
      </c>
      <c r="F1521" s="10" t="inlineStr">
        <is>
          <t>Jabodetabek</t>
        </is>
      </c>
      <c r="G1521" s="10" t="inlineStr">
        <is>
          <t>Rumah Tangga</t>
        </is>
      </c>
      <c r="H1521" s="10" t="inlineStr">
        <is>
          <t>Diffuser Aroma</t>
        </is>
      </c>
      <c r="I1521" s="10" t="n">
        <v>2</v>
      </c>
      <c r="J1521" s="10" t="n">
        <v>195000</v>
      </c>
      <c r="K1521" s="10" t="n">
        <v>390000</v>
      </c>
    </row>
    <row r="1522">
      <c r="A1522" s="10" t="inlineStr">
        <is>
          <t>INV-71410</t>
        </is>
      </c>
      <c r="B1522" s="10" t="inlineStr">
        <is>
          <t>2025-10-26</t>
        </is>
      </c>
      <c r="C1522" s="10" t="inlineStr">
        <is>
          <t>C1389</t>
        </is>
      </c>
      <c r="D1522" s="10" t="inlineStr">
        <is>
          <t>regular</t>
        </is>
      </c>
      <c r="E1522" s="10" t="inlineStr">
        <is>
          <t>Shopee</t>
        </is>
      </c>
      <c r="F1522" s="10" t="inlineStr">
        <is>
          <t>Sumatera</t>
        </is>
      </c>
      <c r="G1522" s="10" t="inlineStr">
        <is>
          <t>Rumah Tangga</t>
        </is>
      </c>
      <c r="H1522" s="10" t="inlineStr">
        <is>
          <t>Diffuser Aroma</t>
        </is>
      </c>
      <c r="I1522" s="10" t="n">
        <v>1</v>
      </c>
      <c r="J1522" s="10" t="n">
        <v>195000</v>
      </c>
      <c r="K1522" s="10" t="n">
        <v>195000</v>
      </c>
    </row>
    <row r="1523">
      <c r="A1523" s="10" t="inlineStr">
        <is>
          <t>INV-71181</t>
        </is>
      </c>
      <c r="B1523" s="10" t="inlineStr">
        <is>
          <t>08/03/2025</t>
        </is>
      </c>
      <c r="C1523" s="10" t="inlineStr">
        <is>
          <t>C1334</t>
        </is>
      </c>
      <c r="D1523" s="10" t="inlineStr">
        <is>
          <t>champion</t>
        </is>
      </c>
      <c r="E1523" s="10" t="inlineStr">
        <is>
          <t>SHOPEE</t>
        </is>
      </c>
      <c r="F1523" s="10" t="inlineStr">
        <is>
          <t>Jabodetabek</t>
        </is>
      </c>
      <c r="G1523" s="10" t="inlineStr">
        <is>
          <t>Rumah Tangga</t>
        </is>
      </c>
      <c r="H1523" s="10" t="inlineStr">
        <is>
          <t>Set Wadah Kedap</t>
        </is>
      </c>
      <c r="I1523" s="10" t="n">
        <v>1</v>
      </c>
      <c r="J1523" s="10" t="n">
        <v>135000</v>
      </c>
      <c r="K1523" s="10" t="n">
        <v>135000</v>
      </c>
    </row>
    <row r="1524">
      <c r="A1524" s="10" t="inlineStr">
        <is>
          <t>INV-71369</t>
        </is>
      </c>
      <c r="B1524" s="10" t="inlineStr">
        <is>
          <t>16/06/2026</t>
        </is>
      </c>
      <c r="C1524" s="10" t="inlineStr">
        <is>
          <t>C1378</t>
        </is>
      </c>
      <c r="D1524" s="10" t="inlineStr">
        <is>
          <t>regular</t>
        </is>
      </c>
      <c r="E1524" s="10" t="inlineStr">
        <is>
          <t xml:space="preserve">Shopee </t>
        </is>
      </c>
      <c r="F1524" s="10" t="inlineStr">
        <is>
          <t>Sumatera</t>
        </is>
      </c>
      <c r="G1524" s="10" t="inlineStr">
        <is>
          <t>Rumah Tangga</t>
        </is>
      </c>
      <c r="H1524" s="10" t="inlineStr">
        <is>
          <t>Set Wadah Kedap</t>
        </is>
      </c>
      <c r="I1524" s="10" t="n">
        <v>4</v>
      </c>
      <c r="J1524" s="10" t="n">
        <v>135000</v>
      </c>
      <c r="K1524" s="10" t="n">
        <v>540000</v>
      </c>
    </row>
    <row r="1525">
      <c r="A1525" s="10" t="inlineStr">
        <is>
          <t>INV-71033</t>
        </is>
      </c>
      <c r="B1525" s="10" t="inlineStr">
        <is>
          <t>13/12/2025</t>
        </is>
      </c>
      <c r="C1525" s="10" t="inlineStr">
        <is>
          <t>C1294</t>
        </is>
      </c>
      <c r="D1525" s="10" t="inlineStr">
        <is>
          <t>loyal</t>
        </is>
      </c>
      <c r="E1525" s="10" t="inlineStr">
        <is>
          <t>offline store</t>
        </is>
      </c>
      <c r="F1525" s="10" t="inlineStr">
        <is>
          <t>Jabodetabek</t>
        </is>
      </c>
      <c r="G1525" s="10" t="inlineStr">
        <is>
          <t>Kecantikan</t>
        </is>
      </c>
      <c r="H1525" s="10" t="inlineStr">
        <is>
          <t>Masker Wajah (5s)</t>
        </is>
      </c>
      <c r="I1525" s="10" t="n">
        <v>2</v>
      </c>
      <c r="J1525" s="10" t="n">
        <v>55000</v>
      </c>
      <c r="K1525" s="10" t="n">
        <v>110000</v>
      </c>
    </row>
    <row r="1526">
      <c r="A1526" s="10" t="inlineStr">
        <is>
          <t>INV-70247</t>
        </is>
      </c>
      <c r="B1526" s="10" t="inlineStr">
        <is>
          <t>12 Nov 2025</t>
        </is>
      </c>
      <c r="C1526" s="10" t="inlineStr">
        <is>
          <t>C1071</t>
        </is>
      </c>
      <c r="D1526" s="10" t="inlineStr">
        <is>
          <t>regular</t>
        </is>
      </c>
      <c r="E1526" s="10" t="inlineStr">
        <is>
          <t>SHOPEE</t>
        </is>
      </c>
      <c r="F1526" s="10" t="inlineStr">
        <is>
          <t>Jawa Barat</t>
        </is>
      </c>
      <c r="G1526" s="10" t="inlineStr">
        <is>
          <t>Rumah Tangga</t>
        </is>
      </c>
      <c r="H1526" s="10" t="inlineStr">
        <is>
          <t>Organizer Laci</t>
        </is>
      </c>
      <c r="I1526" s="10" t="n">
        <v>2</v>
      </c>
      <c r="J1526" s="10" t="n">
        <v>78000</v>
      </c>
      <c r="K1526" s="10" t="n">
        <v>156000</v>
      </c>
    </row>
    <row r="1527">
      <c r="A1527" s="10" t="inlineStr">
        <is>
          <t>INV-71460</t>
        </is>
      </c>
      <c r="B1527" s="10" t="inlineStr">
        <is>
          <t>2025-10-23</t>
        </is>
      </c>
      <c r="C1527" s="10" t="inlineStr">
        <is>
          <t>C1404</t>
        </is>
      </c>
      <c r="D1527" s="10" t="inlineStr">
        <is>
          <t>loyal</t>
        </is>
      </c>
      <c r="E1527" s="10" t="inlineStr">
        <is>
          <t xml:space="preserve"> tokopedia</t>
        </is>
      </c>
      <c r="F1527" s="10" t="inlineStr">
        <is>
          <t>Jawa Tengah</t>
        </is>
      </c>
      <c r="G1527" s="10" t="inlineStr">
        <is>
          <t>Rumah Tangga</t>
        </is>
      </c>
      <c r="H1527" s="10" t="inlineStr">
        <is>
          <t>Set Wadah Kedap</t>
        </is>
      </c>
      <c r="I1527" s="10" t="n">
        <v>4</v>
      </c>
      <c r="J1527" s="10" t="n">
        <v>135000</v>
      </c>
      <c r="K1527" s="10" t="n">
        <v>540000</v>
      </c>
    </row>
    <row r="1528">
      <c r="A1528" s="10" t="inlineStr">
        <is>
          <t>INV-71244</t>
        </is>
      </c>
      <c r="B1528" s="10" t="inlineStr">
        <is>
          <t>2025-06-18</t>
        </is>
      </c>
      <c r="C1528" s="10" t="inlineStr">
        <is>
          <t>C1351</t>
        </is>
      </c>
      <c r="D1528" s="10" t="inlineStr">
        <is>
          <t>loyal</t>
        </is>
      </c>
      <c r="E1528" s="10" t="inlineStr">
        <is>
          <t>offline store</t>
        </is>
      </c>
      <c r="F1528" s="10" t="inlineStr">
        <is>
          <t>Jawa Timur</t>
        </is>
      </c>
      <c r="G1528" s="10" t="inlineStr">
        <is>
          <t>rumah tangga</t>
        </is>
      </c>
      <c r="H1528" s="10" t="inlineStr">
        <is>
          <t>Set Wadah Kedap</t>
        </is>
      </c>
      <c r="I1528" s="10" t="n">
        <v>1</v>
      </c>
      <c r="J1528" s="10" t="n">
        <v>135000</v>
      </c>
      <c r="K1528" s="10" t="n">
        <v>135000</v>
      </c>
    </row>
    <row r="1529">
      <c r="A1529" s="10" t="inlineStr">
        <is>
          <t>INV-70067</t>
        </is>
      </c>
      <c r="B1529" s="10" t="inlineStr">
        <is>
          <t>2025-09-15</t>
        </is>
      </c>
      <c r="C1529" s="10" t="inlineStr">
        <is>
          <t>C1020</t>
        </is>
      </c>
      <c r="D1529" s="10" t="inlineStr">
        <is>
          <t>onetime</t>
        </is>
      </c>
      <c r="E1529" s="10" t="inlineStr">
        <is>
          <t>Shopee</t>
        </is>
      </c>
      <c r="F1529" s="10" t="inlineStr">
        <is>
          <t>Jawa Tengah</t>
        </is>
      </c>
      <c r="G1529" s="10" t="inlineStr">
        <is>
          <t>rumah tangga</t>
        </is>
      </c>
      <c r="H1529" s="10" t="inlineStr">
        <is>
          <t>Organizer Laci</t>
        </is>
      </c>
      <c r="I1529" s="10" t="n">
        <v>2</v>
      </c>
      <c r="J1529" s="10" t="n">
        <v>78000</v>
      </c>
      <c r="K1529" s="10" t="inlineStr">
        <is>
          <t>Rp 156.000</t>
        </is>
      </c>
    </row>
    <row r="1530">
      <c r="A1530" s="10" t="inlineStr">
        <is>
          <t>INV-71352</t>
        </is>
      </c>
      <c r="B1530" s="10" t="inlineStr">
        <is>
          <t>2025-12-08</t>
        </is>
      </c>
      <c r="C1530" s="10" t="inlineStr">
        <is>
          <t>C1373</t>
        </is>
      </c>
      <c r="D1530" s="10" t="inlineStr">
        <is>
          <t>occasional</t>
        </is>
      </c>
      <c r="E1530" s="10" t="inlineStr">
        <is>
          <t>Tokopedia</t>
        </is>
      </c>
      <c r="F1530" s="10" t="inlineStr">
        <is>
          <t>Jabodetabek</t>
        </is>
      </c>
      <c r="G1530" s="10" t="inlineStr">
        <is>
          <t>Kecantikan</t>
        </is>
      </c>
      <c r="H1530" s="10" t="inlineStr">
        <is>
          <t>Masker Wajah (5s)</t>
        </is>
      </c>
      <c r="I1530" s="10" t="n">
        <v>4</v>
      </c>
      <c r="J1530" s="10" t="n">
        <v>55000</v>
      </c>
      <c r="K1530" s="10" t="n">
        <v>220000</v>
      </c>
    </row>
    <row r="1531">
      <c r="A1531" s="10" t="inlineStr">
        <is>
          <t>INV-71283</t>
        </is>
      </c>
      <c r="B1531" s="10" t="inlineStr">
        <is>
          <t>2025-11-04</t>
        </is>
      </c>
      <c r="C1531" s="10" t="inlineStr">
        <is>
          <t>C1358</t>
        </is>
      </c>
      <c r="D1531" s="10" t="inlineStr">
        <is>
          <t>champion</t>
        </is>
      </c>
      <c r="E1531" s="10" t="inlineStr">
        <is>
          <t>Shopee</t>
        </is>
      </c>
      <c r="F1531" s="10" t="inlineStr">
        <is>
          <t>Jabodetabek</t>
        </is>
      </c>
      <c r="G1531" s="10" t="inlineStr">
        <is>
          <t>rumah tangga</t>
        </is>
      </c>
      <c r="H1531" s="10" t="inlineStr">
        <is>
          <t>Diffuser Aroma</t>
        </is>
      </c>
      <c r="I1531" s="10" t="n">
        <v>2</v>
      </c>
      <c r="J1531" s="10" t="n">
        <v>195000</v>
      </c>
      <c r="K1531" s="10" t="n">
        <v>390000</v>
      </c>
    </row>
    <row r="1532">
      <c r="A1532" s="10" t="inlineStr">
        <is>
          <t>INV-70644</t>
        </is>
      </c>
      <c r="B1532" s="10" t="inlineStr">
        <is>
          <t>2025-02-14</t>
        </is>
      </c>
      <c r="C1532" s="10" t="inlineStr">
        <is>
          <t>C1175</t>
        </is>
      </c>
      <c r="D1532" s="10" t="inlineStr">
        <is>
          <t>occasional</t>
        </is>
      </c>
      <c r="E1532" s="10" t="inlineStr">
        <is>
          <t>Shopee</t>
        </is>
      </c>
      <c r="F1532" s="10" t="inlineStr">
        <is>
          <t>Jabodetabek</t>
        </is>
      </c>
      <c r="G1532" s="10" t="inlineStr">
        <is>
          <t>Fashion</t>
        </is>
      </c>
      <c r="H1532" s="10" t="inlineStr">
        <is>
          <t>Dress Casual</t>
        </is>
      </c>
      <c r="I1532" s="10" t="n">
        <v>1</v>
      </c>
      <c r="J1532" s="10" t="n">
        <v>225000</v>
      </c>
      <c r="K1532" s="10" t="n">
        <v>225000</v>
      </c>
    </row>
    <row r="1533">
      <c r="A1533" s="10" t="inlineStr">
        <is>
          <t>INV-71228</t>
        </is>
      </c>
      <c r="B1533" s="10" t="inlineStr">
        <is>
          <t>2025-12-17</t>
        </is>
      </c>
      <c r="C1533" s="10" t="inlineStr">
        <is>
          <t>C1348</t>
        </is>
      </c>
      <c r="D1533" s="10" t="inlineStr">
        <is>
          <t>loyal</t>
        </is>
      </c>
      <c r="E1533" s="10" t="inlineStr">
        <is>
          <t>Tokopedia</t>
        </is>
      </c>
      <c r="F1533" s="10" t="inlineStr">
        <is>
          <t>Jawa Barat</t>
        </is>
      </c>
      <c r="G1533" s="10" t="inlineStr">
        <is>
          <t>Rumah Tangga</t>
        </is>
      </c>
      <c r="H1533" s="10" t="inlineStr">
        <is>
          <t>Set Wadah Kedap</t>
        </is>
      </c>
      <c r="I1533" s="10" t="n">
        <v>4</v>
      </c>
      <c r="J1533" s="10" t="n">
        <v>135000</v>
      </c>
      <c r="K1533" s="10" t="n">
        <v>540000</v>
      </c>
    </row>
    <row r="1534">
      <c r="A1534" s="10" t="inlineStr">
        <is>
          <t>INV-70715</t>
        </is>
      </c>
      <c r="B1534" s="10" t="inlineStr">
        <is>
          <t>2025-02-11</t>
        </is>
      </c>
      <c r="C1534" s="10" t="inlineStr">
        <is>
          <t>C1199</t>
        </is>
      </c>
      <c r="D1534" s="10" t="inlineStr">
        <is>
          <t>loyal</t>
        </is>
      </c>
      <c r="E1534" s="10" t="inlineStr">
        <is>
          <t>TikTok Shop</t>
        </is>
      </c>
      <c r="F1534" s="10" t="inlineStr">
        <is>
          <t>Jawa Tengah</t>
        </is>
      </c>
      <c r="G1534" s="10" t="inlineStr">
        <is>
          <t>Rumah Tangga</t>
        </is>
      </c>
      <c r="H1534" s="10" t="inlineStr">
        <is>
          <t>Set Wadah Kedap</t>
        </is>
      </c>
      <c r="I1534" s="10" t="n">
        <v>3</v>
      </c>
      <c r="J1534" s="10" t="n">
        <v>135000</v>
      </c>
      <c r="K1534" s="10" t="n">
        <v>405000</v>
      </c>
    </row>
    <row r="1535">
      <c r="A1535" s="10" t="inlineStr">
        <is>
          <t>INV-70439</t>
        </is>
      </c>
      <c r="B1535" s="10" t="inlineStr">
        <is>
          <t>2025-06-27</t>
        </is>
      </c>
      <c r="C1535" s="10" t="inlineStr">
        <is>
          <t>C1123</t>
        </is>
      </c>
      <c r="D1535" s="10" t="inlineStr">
        <is>
          <t>regular</t>
        </is>
      </c>
      <c r="E1535" s="10" t="inlineStr">
        <is>
          <t>Shopee</t>
        </is>
      </c>
      <c r="F1535" s="10" t="inlineStr">
        <is>
          <t>Jawa Barat</t>
        </is>
      </c>
      <c r="G1535" s="10" t="inlineStr">
        <is>
          <t>Elektronik</t>
        </is>
      </c>
      <c r="H1535" s="10" t="inlineStr">
        <is>
          <t>Webcam HD</t>
        </is>
      </c>
      <c r="I1535" s="10" t="n">
        <v>2</v>
      </c>
      <c r="J1535" s="10" t="n">
        <v>210000</v>
      </c>
      <c r="K1535" s="10" t="n">
        <v>420000</v>
      </c>
    </row>
    <row r="1536">
      <c r="A1536" s="10" t="inlineStr">
        <is>
          <t>INV-70661</t>
        </is>
      </c>
      <c r="B1536" s="10" t="inlineStr">
        <is>
          <t>04 Mar 2025</t>
        </is>
      </c>
      <c r="C1536" s="10" t="inlineStr">
        <is>
          <t>C1180</t>
        </is>
      </c>
      <c r="D1536" s="10" t="inlineStr">
        <is>
          <t>occasional</t>
        </is>
      </c>
      <c r="E1536" s="10" t="inlineStr">
        <is>
          <t>TikTok Shop</t>
        </is>
      </c>
      <c r="F1536" s="10" t="inlineStr">
        <is>
          <t>Jawa Timur</t>
        </is>
      </c>
      <c r="G1536" s="10" t="inlineStr">
        <is>
          <t>Fashion</t>
        </is>
      </c>
      <c r="H1536" s="10" t="inlineStr">
        <is>
          <t>Celana Chino</t>
        </is>
      </c>
      <c r="I1536" s="10" t="n">
        <v>2</v>
      </c>
      <c r="J1536" s="10" t="n">
        <v>195000</v>
      </c>
      <c r="K1536" s="10" t="n">
        <v>390000</v>
      </c>
    </row>
    <row r="1537">
      <c r="A1537" s="10" t="inlineStr">
        <is>
          <t>INV-70488</t>
        </is>
      </c>
      <c r="B1537" s="10" t="inlineStr">
        <is>
          <t>2025-03-09</t>
        </is>
      </c>
      <c r="C1537" s="10" t="inlineStr">
        <is>
          <t>C1139</t>
        </is>
      </c>
      <c r="D1537" s="10" t="inlineStr">
        <is>
          <t>champion</t>
        </is>
      </c>
      <c r="E1537" s="10" t="inlineStr">
        <is>
          <t>Tiktok Shop</t>
        </is>
      </c>
      <c r="F1537" s="10" t="inlineStr">
        <is>
          <t>Jabodetabek</t>
        </is>
      </c>
      <c r="G1537" s="10" t="inlineStr">
        <is>
          <t>Rumah Tangga</t>
        </is>
      </c>
      <c r="H1537" s="10" t="inlineStr">
        <is>
          <t>Set Wadah Kedap</t>
        </is>
      </c>
      <c r="I1537" s="10" t="n">
        <v>4</v>
      </c>
      <c r="J1537" s="10" t="n">
        <v>135000</v>
      </c>
      <c r="K1537" s="10" t="n">
        <v>540000</v>
      </c>
    </row>
    <row r="1538">
      <c r="A1538" s="10" t="inlineStr">
        <is>
          <t>INV-71295</t>
        </is>
      </c>
      <c r="B1538" s="10" t="inlineStr">
        <is>
          <t>2026-05-03</t>
        </is>
      </c>
      <c r="C1538" s="10" t="inlineStr">
        <is>
          <t>C1359</t>
        </is>
      </c>
      <c r="D1538" s="10" t="inlineStr">
        <is>
          <t>champion</t>
        </is>
      </c>
      <c r="E1538" s="10" t="inlineStr">
        <is>
          <t>shopee</t>
        </is>
      </c>
      <c r="F1538" s="10" t="inlineStr">
        <is>
          <t>Jabodetabek</t>
        </is>
      </c>
      <c r="G1538" s="10" t="inlineStr">
        <is>
          <t>Fashion</t>
        </is>
      </c>
      <c r="H1538" s="10" t="inlineStr">
        <is>
          <t>Dress Casual</t>
        </is>
      </c>
      <c r="I1538" s="10" t="n">
        <v>4</v>
      </c>
      <c r="J1538" s="10" t="n">
        <v>225000</v>
      </c>
      <c r="K1538" s="10" t="n">
        <v>900000</v>
      </c>
    </row>
    <row r="1539">
      <c r="A1539" s="10" t="inlineStr">
        <is>
          <t>INV-71059</t>
        </is>
      </c>
      <c r="B1539" s="10" t="inlineStr">
        <is>
          <t>05 Apr 2025</t>
        </is>
      </c>
      <c r="C1539" s="10" t="inlineStr">
        <is>
          <t>C1300</t>
        </is>
      </c>
      <c r="D1539" s="10" t="inlineStr">
        <is>
          <t>regular</t>
        </is>
      </c>
      <c r="E1539" s="10" t="inlineStr">
        <is>
          <t>Shopee</t>
        </is>
      </c>
      <c r="F1539" s="10" t="inlineStr">
        <is>
          <t>Jabodetabek</t>
        </is>
      </c>
      <c r="G1539" s="10" t="inlineStr">
        <is>
          <t>Rumah Tangga</t>
        </is>
      </c>
      <c r="H1539" s="10" t="inlineStr">
        <is>
          <t>Set Wadah Kedap</t>
        </is>
      </c>
      <c r="I1539" s="10" t="n">
        <v>4</v>
      </c>
      <c r="J1539" s="10" t="n">
        <v>135000</v>
      </c>
      <c r="K1539" s="10" t="n">
        <v>540000</v>
      </c>
    </row>
    <row r="1540">
      <c r="A1540" s="10" t="inlineStr">
        <is>
          <t>INV-70347</t>
        </is>
      </c>
      <c r="B1540" s="10" t="inlineStr">
        <is>
          <t>09/12/2025</t>
        </is>
      </c>
      <c r="C1540" s="10" t="inlineStr">
        <is>
          <t>C1093</t>
        </is>
      </c>
      <c r="D1540" s="10" t="inlineStr">
        <is>
          <t>champion</t>
        </is>
      </c>
      <c r="E1540" s="10" t="inlineStr">
        <is>
          <t>Offline Store</t>
        </is>
      </c>
      <c r="F1540" s="10" t="inlineStr">
        <is>
          <t>Jabodetabek</t>
        </is>
      </c>
      <c r="G1540" s="10" t="inlineStr">
        <is>
          <t>Kecantikan</t>
        </is>
      </c>
      <c r="H1540" s="10" t="inlineStr">
        <is>
          <t>Masker Wajah (5s)</t>
        </is>
      </c>
      <c r="I1540" s="10" t="n">
        <v>2</v>
      </c>
      <c r="J1540" s="10" t="n">
        <v>55000</v>
      </c>
      <c r="K1540" s="10" t="n">
        <v>110000</v>
      </c>
    </row>
    <row r="1541">
      <c r="A1541" s="10" t="inlineStr">
        <is>
          <t>INV-71259</t>
        </is>
      </c>
      <c r="B1541" s="10" t="inlineStr">
        <is>
          <t>2025-09-04</t>
        </is>
      </c>
      <c r="C1541" s="10" t="inlineStr">
        <is>
          <t>C1356</t>
        </is>
      </c>
      <c r="D1541" s="10" t="inlineStr">
        <is>
          <t>occasional</t>
        </is>
      </c>
      <c r="E1541" s="10" t="inlineStr">
        <is>
          <t>Shopee</t>
        </is>
      </c>
      <c r="F1541" s="10" t="inlineStr">
        <is>
          <t>Sumatera</t>
        </is>
      </c>
      <c r="G1541" s="10" t="inlineStr">
        <is>
          <t>Elektronik</t>
        </is>
      </c>
      <c r="H1541" s="10" t="inlineStr">
        <is>
          <t>Earbuds TWS</t>
        </is>
      </c>
      <c r="I1541" s="10" t="n">
        <v>1</v>
      </c>
      <c r="J1541" s="10" t="n">
        <v>265000</v>
      </c>
      <c r="K1541" s="10" t="n">
        <v>265000</v>
      </c>
    </row>
    <row r="1542">
      <c r="A1542" s="10" t="inlineStr">
        <is>
          <t>INV-71163</t>
        </is>
      </c>
      <c r="B1542" s="10" t="inlineStr">
        <is>
          <t>2025-12-16</t>
        </is>
      </c>
      <c r="C1542" s="10" t="inlineStr">
        <is>
          <t>C1329</t>
        </is>
      </c>
      <c r="D1542" s="10" t="inlineStr">
        <is>
          <t>regular</t>
        </is>
      </c>
      <c r="E1542" s="10" t="inlineStr">
        <is>
          <t>Offline Store</t>
        </is>
      </c>
      <c r="F1542" s="10" t="inlineStr">
        <is>
          <t>Jabodetabek</t>
        </is>
      </c>
      <c r="G1542" s="10" t="inlineStr">
        <is>
          <t>Rumah Tangga</t>
        </is>
      </c>
      <c r="H1542" s="10" t="inlineStr">
        <is>
          <t>Set Wadah Kedap</t>
        </is>
      </c>
      <c r="I1542" s="10" t="n">
        <v>4</v>
      </c>
      <c r="J1542" s="10" t="n">
        <v>135000</v>
      </c>
      <c r="K1542" s="10" t="n">
        <v>540000</v>
      </c>
    </row>
    <row r="1543">
      <c r="A1543" s="10" t="inlineStr">
        <is>
          <t>INV-71066</t>
        </is>
      </c>
      <c r="B1543" s="10" t="inlineStr">
        <is>
          <t>2026-06-12</t>
        </is>
      </c>
      <c r="C1543" s="10" t="inlineStr">
        <is>
          <t>C1301</t>
        </is>
      </c>
      <c r="D1543" s="10" t="inlineStr">
        <is>
          <t>regular</t>
        </is>
      </c>
      <c r="E1543" s="10" t="inlineStr">
        <is>
          <t>Offline Store</t>
        </is>
      </c>
      <c r="F1543" s="10" t="inlineStr">
        <is>
          <t>Jawa Barat</t>
        </is>
      </c>
      <c r="G1543" s="10" t="inlineStr">
        <is>
          <t>Rumah Tangga</t>
        </is>
      </c>
      <c r="H1543" s="10" t="inlineStr">
        <is>
          <t>Set Wadah Kedap</t>
        </is>
      </c>
      <c r="I1543" s="10" t="n">
        <v>2</v>
      </c>
      <c r="J1543" s="10" t="n">
        <v>135000</v>
      </c>
      <c r="K1543" s="10" t="n">
        <v>270000</v>
      </c>
    </row>
    <row r="1544">
      <c r="A1544" s="10" t="inlineStr">
        <is>
          <t>INV-70576</t>
        </is>
      </c>
      <c r="B1544" s="10" t="inlineStr">
        <is>
          <t>2025-05-06</t>
        </is>
      </c>
      <c r="C1544" s="10" t="inlineStr">
        <is>
          <t>C1157</t>
        </is>
      </c>
      <c r="D1544" s="10" t="inlineStr">
        <is>
          <t>loyal</t>
        </is>
      </c>
      <c r="E1544" s="10" t="inlineStr">
        <is>
          <t xml:space="preserve">Shopee </t>
        </is>
      </c>
      <c r="F1544" s="10" t="n"/>
      <c r="G1544" s="10" t="inlineStr">
        <is>
          <t>elektronik</t>
        </is>
      </c>
      <c r="H1544" s="10" t="inlineStr">
        <is>
          <t>Power Bank 20K</t>
        </is>
      </c>
      <c r="I1544" s="10" t="n">
        <v>1</v>
      </c>
      <c r="J1544" s="10" t="n">
        <v>185000</v>
      </c>
      <c r="K1544" s="10" t="n">
        <v>185000</v>
      </c>
    </row>
    <row r="1545">
      <c r="A1545" s="10" t="inlineStr">
        <is>
          <t>INV-70950</t>
        </is>
      </c>
      <c r="B1545" s="10" t="inlineStr">
        <is>
          <t>2026-05-12</t>
        </is>
      </c>
      <c r="C1545" s="10" t="inlineStr">
        <is>
          <t>C1269</t>
        </is>
      </c>
      <c r="D1545" s="10" t="inlineStr">
        <is>
          <t>onetime</t>
        </is>
      </c>
      <c r="E1545" s="10" t="inlineStr">
        <is>
          <t>Offline Store</t>
        </is>
      </c>
      <c r="F1545" s="10" t="inlineStr">
        <is>
          <t>Sumatera</t>
        </is>
      </c>
      <c r="G1545" s="10" t="inlineStr">
        <is>
          <t>Rumah Tangga</t>
        </is>
      </c>
      <c r="H1545" s="10" t="inlineStr">
        <is>
          <t>Diffuser Aroma</t>
        </is>
      </c>
      <c r="I1545" s="10" t="n">
        <v>2</v>
      </c>
      <c r="J1545" s="10" t="n">
        <v>195000</v>
      </c>
      <c r="K1545" s="10" t="n">
        <v>390000</v>
      </c>
    </row>
    <row r="1546">
      <c r="A1546" s="10" t="inlineStr">
        <is>
          <t>INV-70040</t>
        </is>
      </c>
      <c r="B1546" s="10" t="inlineStr">
        <is>
          <t>2025-07-06</t>
        </is>
      </c>
      <c r="C1546" s="10" t="inlineStr">
        <is>
          <t>C1010</t>
        </is>
      </c>
      <c r="D1546" s="10" t="inlineStr">
        <is>
          <t>occasional</t>
        </is>
      </c>
      <c r="E1546" s="10" t="inlineStr">
        <is>
          <t>Shopee</t>
        </is>
      </c>
      <c r="F1546" s="10" t="inlineStr">
        <is>
          <t>Jabodetabek</t>
        </is>
      </c>
      <c r="G1546" s="10" t="inlineStr">
        <is>
          <t>Rumah Tangga</t>
        </is>
      </c>
      <c r="H1546" s="10" t="inlineStr">
        <is>
          <t>Set Wadah Kedap</t>
        </is>
      </c>
      <c r="I1546" s="10" t="n">
        <v>2</v>
      </c>
      <c r="J1546" s="10" t="n">
        <v>135000</v>
      </c>
      <c r="K1546" s="10" t="inlineStr">
        <is>
          <t>Rp 270.000</t>
        </is>
      </c>
    </row>
    <row r="1547">
      <c r="A1547" s="10" t="inlineStr">
        <is>
          <t>INV-70233</t>
        </is>
      </c>
      <c r="B1547" s="10" t="inlineStr">
        <is>
          <t>26 Oct 2025</t>
        </is>
      </c>
      <c r="C1547" s="10" t="inlineStr">
        <is>
          <t>C1066</t>
        </is>
      </c>
      <c r="D1547" s="10" t="inlineStr">
        <is>
          <t>loyal</t>
        </is>
      </c>
      <c r="E1547" s="10" t="inlineStr">
        <is>
          <t xml:space="preserve">Offline store </t>
        </is>
      </c>
      <c r="F1547" s="10" t="inlineStr">
        <is>
          <t>Jawa Barat</t>
        </is>
      </c>
      <c r="G1547" s="10" t="inlineStr">
        <is>
          <t>Elektronik</t>
        </is>
      </c>
      <c r="H1547" s="10" t="inlineStr">
        <is>
          <t>Power Bank 20K</t>
        </is>
      </c>
      <c r="I1547" s="10" t="n">
        <v>2</v>
      </c>
      <c r="J1547" s="10" t="n">
        <v>185000</v>
      </c>
      <c r="K1547" s="10" t="n">
        <v>370000</v>
      </c>
    </row>
    <row r="1548">
      <c r="A1548" s="10" t="inlineStr">
        <is>
          <t>INV-70748</t>
        </is>
      </c>
      <c r="B1548" s="10" t="inlineStr">
        <is>
          <t>2025-12-21</t>
        </is>
      </c>
      <c r="C1548" s="10" t="inlineStr">
        <is>
          <t>C1210</t>
        </is>
      </c>
      <c r="D1548" s="10" t="inlineStr">
        <is>
          <t>loyal</t>
        </is>
      </c>
      <c r="E1548" s="10" t="inlineStr">
        <is>
          <t>shopee</t>
        </is>
      </c>
      <c r="F1548" s="10" t="inlineStr">
        <is>
          <t>Jabodetabek</t>
        </is>
      </c>
      <c r="G1548" s="10" t="inlineStr">
        <is>
          <t>Elektronik</t>
        </is>
      </c>
      <c r="H1548" s="10" t="inlineStr">
        <is>
          <t>Webcam HD</t>
        </is>
      </c>
      <c r="I1548" s="10" t="n">
        <v>4</v>
      </c>
      <c r="J1548" s="10" t="n">
        <v>210000</v>
      </c>
      <c r="K1548" s="10" t="n">
        <v>840000</v>
      </c>
    </row>
    <row r="1549">
      <c r="A1549" s="10" t="inlineStr">
        <is>
          <t>INV-70967</t>
        </is>
      </c>
      <c r="B1549" s="10" t="inlineStr">
        <is>
          <t>2025-03-07</t>
        </is>
      </c>
      <c r="C1549" s="10" t="inlineStr">
        <is>
          <t>C1275</t>
        </is>
      </c>
      <c r="D1549" s="10" t="inlineStr">
        <is>
          <t>regular</t>
        </is>
      </c>
      <c r="E1549" s="10" t="inlineStr">
        <is>
          <t>TikTok Shop</t>
        </is>
      </c>
      <c r="F1549" s="10" t="inlineStr">
        <is>
          <t>Jabodetabek</t>
        </is>
      </c>
      <c r="G1549" s="10" t="inlineStr">
        <is>
          <t>Kecantikan</t>
        </is>
      </c>
      <c r="H1549" s="10" t="inlineStr">
        <is>
          <t>Masker Wajah (5s)</t>
        </is>
      </c>
      <c r="I1549" s="10" t="n">
        <v>3</v>
      </c>
      <c r="J1549" s="10" t="n">
        <v>55000</v>
      </c>
      <c r="K1549" s="10" t="n">
        <v>165000</v>
      </c>
    </row>
    <row r="1550">
      <c r="A1550" s="10" t="inlineStr">
        <is>
          <t>INV-70012</t>
        </is>
      </c>
      <c r="B1550" s="10" t="inlineStr">
        <is>
          <t>20 Apr 2026</t>
        </is>
      </c>
      <c r="C1550" s="10" t="inlineStr">
        <is>
          <t>C1002</t>
        </is>
      </c>
      <c r="D1550" s="10" t="inlineStr">
        <is>
          <t>loyal</t>
        </is>
      </c>
      <c r="E1550" s="10" t="inlineStr">
        <is>
          <t xml:space="preserve">Tokopedia </t>
        </is>
      </c>
      <c r="F1550" s="10" t="inlineStr">
        <is>
          <t>Jabodetabek</t>
        </is>
      </c>
      <c r="G1550" s="10" t="inlineStr">
        <is>
          <t>Rumah Tangga</t>
        </is>
      </c>
      <c r="H1550" s="10" t="inlineStr">
        <is>
          <t>Set Wadah Kedap</t>
        </is>
      </c>
      <c r="I1550" s="10" t="n">
        <v>1</v>
      </c>
      <c r="J1550" s="10" t="n">
        <v>135000</v>
      </c>
      <c r="K1550" s="10" t="n">
        <v>135000</v>
      </c>
    </row>
    <row r="1551">
      <c r="A1551" s="10" t="inlineStr">
        <is>
          <t>INV-70343</t>
        </is>
      </c>
      <c r="B1551" s="10" t="inlineStr">
        <is>
          <t>2025-05-04</t>
        </is>
      </c>
      <c r="C1551" s="10" t="inlineStr">
        <is>
          <t>C1093</t>
        </is>
      </c>
      <c r="D1551" s="10" t="inlineStr">
        <is>
          <t>champion</t>
        </is>
      </c>
      <c r="E1551" s="10" t="inlineStr">
        <is>
          <t>Offline Store</t>
        </is>
      </c>
      <c r="F1551" s="10" t="inlineStr">
        <is>
          <t>Jabodetabek</t>
        </is>
      </c>
      <c r="G1551" s="10" t="inlineStr">
        <is>
          <t>Rumah Tangga</t>
        </is>
      </c>
      <c r="H1551" s="10" t="inlineStr">
        <is>
          <t>Set Wadah Kedap</t>
        </is>
      </c>
      <c r="I1551" s="10" t="n">
        <v>3</v>
      </c>
      <c r="J1551" s="10" t="n">
        <v>135000</v>
      </c>
      <c r="K1551" s="10" t="inlineStr">
        <is>
          <t>Rp 405.000</t>
        </is>
      </c>
    </row>
    <row r="1552">
      <c r="A1552" s="10" t="inlineStr">
        <is>
          <t>INV-70230</t>
        </is>
      </c>
      <c r="B1552" s="10" t="inlineStr">
        <is>
          <t>03/03/2026</t>
        </is>
      </c>
      <c r="C1552" s="10" t="inlineStr">
        <is>
          <t>C1064</t>
        </is>
      </c>
      <c r="D1552" s="10" t="inlineStr">
        <is>
          <t>loyal</t>
        </is>
      </c>
      <c r="E1552" s="10" t="inlineStr">
        <is>
          <t>TikTok Shop</t>
        </is>
      </c>
      <c r="F1552" s="10" t="inlineStr">
        <is>
          <t>Jawa Tengah</t>
        </is>
      </c>
      <c r="G1552" s="10" t="inlineStr">
        <is>
          <t>Fashion</t>
        </is>
      </c>
      <c r="H1552" s="10" t="inlineStr">
        <is>
          <t>Kaos Premium</t>
        </is>
      </c>
      <c r="I1552" s="10" t="n">
        <v>1</v>
      </c>
      <c r="J1552" s="10" t="n">
        <v>95000</v>
      </c>
      <c r="K1552" s="10" t="n">
        <v>95000</v>
      </c>
    </row>
    <row r="1553">
      <c r="A1553" s="10" t="inlineStr">
        <is>
          <t>INV-71342</t>
        </is>
      </c>
      <c r="B1553" s="10" t="inlineStr">
        <is>
          <t>2025-12-13</t>
        </is>
      </c>
      <c r="C1553" s="10" t="inlineStr">
        <is>
          <t>C1369</t>
        </is>
      </c>
      <c r="D1553" s="10" t="inlineStr">
        <is>
          <t>loyal</t>
        </is>
      </c>
      <c r="E1553" s="10" t="inlineStr">
        <is>
          <t>SHOPEE</t>
        </is>
      </c>
      <c r="F1553" s="10" t="inlineStr">
        <is>
          <t>Jabodetabek</t>
        </is>
      </c>
      <c r="G1553" s="10" t="inlineStr">
        <is>
          <t>Elektronik</t>
        </is>
      </c>
      <c r="H1553" s="10" t="inlineStr">
        <is>
          <t>Webcam HD</t>
        </is>
      </c>
      <c r="I1553" s="10" t="n">
        <v>2</v>
      </c>
      <c r="J1553" s="10" t="n">
        <v>210000</v>
      </c>
      <c r="K1553" s="10" t="n">
        <v>420000</v>
      </c>
    </row>
    <row r="1554">
      <c r="A1554" s="10" t="inlineStr">
        <is>
          <t>INV-70671</t>
        </is>
      </c>
      <c r="B1554" s="10" t="inlineStr">
        <is>
          <t>2025-06-21</t>
        </is>
      </c>
      <c r="C1554" s="10" t="inlineStr">
        <is>
          <t>C1184</t>
        </is>
      </c>
      <c r="D1554" s="10" t="inlineStr">
        <is>
          <t>loyal</t>
        </is>
      </c>
      <c r="E1554" s="10" t="inlineStr">
        <is>
          <t>Shopee</t>
        </is>
      </c>
      <c r="F1554" s="10" t="inlineStr">
        <is>
          <t>Jabodetabek</t>
        </is>
      </c>
      <c r="G1554" s="10" t="inlineStr">
        <is>
          <t>rumah tangga</t>
        </is>
      </c>
      <c r="H1554" s="10" t="inlineStr">
        <is>
          <t>Set Wadah Kedap</t>
        </is>
      </c>
      <c r="I1554" s="10" t="n">
        <v>1</v>
      </c>
      <c r="J1554" s="10" t="n">
        <v>135000</v>
      </c>
      <c r="K1554" s="10" t="n">
        <v>135000</v>
      </c>
    </row>
    <row r="1555">
      <c r="A1555" s="10" t="inlineStr">
        <is>
          <t>INV-70565</t>
        </is>
      </c>
      <c r="B1555" s="10" t="inlineStr">
        <is>
          <t>2025-10-19</t>
        </is>
      </c>
      <c r="C1555" s="10" t="inlineStr">
        <is>
          <t>C1155</t>
        </is>
      </c>
      <c r="D1555" s="10" t="inlineStr">
        <is>
          <t>onetime</t>
        </is>
      </c>
      <c r="E1555" s="10" t="inlineStr">
        <is>
          <t xml:space="preserve">Shopee </t>
        </is>
      </c>
      <c r="F1555" s="10" t="inlineStr">
        <is>
          <t>Jawa Timur</t>
        </is>
      </c>
      <c r="G1555" s="10" t="inlineStr">
        <is>
          <t>Kecantikan</t>
        </is>
      </c>
      <c r="H1555" s="10" t="inlineStr">
        <is>
          <t>Masker Wajah (5s)</t>
        </is>
      </c>
      <c r="I1555" s="10" t="n">
        <v>1</v>
      </c>
      <c r="J1555" s="10" t="n">
        <v>55000</v>
      </c>
      <c r="K1555" s="10" t="n">
        <v>55000</v>
      </c>
    </row>
    <row r="1556">
      <c r="A1556" s="10" t="inlineStr">
        <is>
          <t>INV-70707</t>
        </is>
      </c>
      <c r="B1556" s="10" t="inlineStr">
        <is>
          <t>17/06/2025</t>
        </is>
      </c>
      <c r="C1556" s="10" t="inlineStr">
        <is>
          <t>C1195</t>
        </is>
      </c>
      <c r="D1556" s="10" t="inlineStr">
        <is>
          <t>champion</t>
        </is>
      </c>
      <c r="E1556" s="10" t="inlineStr">
        <is>
          <t>TIKTOK SHOP</t>
        </is>
      </c>
      <c r="F1556" s="10" t="inlineStr">
        <is>
          <t>Sumatera</t>
        </is>
      </c>
      <c r="G1556" s="10" t="inlineStr">
        <is>
          <t>Rumah Tangga</t>
        </is>
      </c>
      <c r="H1556" s="10" t="inlineStr">
        <is>
          <t>Set Wadah Kedap</t>
        </is>
      </c>
      <c r="I1556" s="10" t="n">
        <v>3</v>
      </c>
      <c r="J1556" s="10" t="n">
        <v>135000</v>
      </c>
      <c r="K1556" s="10" t="n">
        <v>405000</v>
      </c>
    </row>
    <row r="1557">
      <c r="A1557" s="10" t="inlineStr">
        <is>
          <t>INV-71467</t>
        </is>
      </c>
      <c r="B1557" s="10" t="inlineStr">
        <is>
          <t>2026-02-21</t>
        </is>
      </c>
      <c r="C1557" s="10" t="inlineStr">
        <is>
          <t>C1405</t>
        </is>
      </c>
      <c r="D1557" s="10" t="inlineStr">
        <is>
          <t>regular</t>
        </is>
      </c>
      <c r="E1557" s="10" t="inlineStr">
        <is>
          <t>Shopee</t>
        </is>
      </c>
      <c r="F1557" s="10" t="inlineStr">
        <is>
          <t>Jawa Timur</t>
        </is>
      </c>
      <c r="G1557" s="10" t="inlineStr">
        <is>
          <t>Elektronik</t>
        </is>
      </c>
      <c r="H1557" s="10" t="inlineStr">
        <is>
          <t>Earbuds TWS</t>
        </is>
      </c>
      <c r="I1557" s="10" t="n">
        <v>1</v>
      </c>
      <c r="J1557" s="10" t="n">
        <v>265000</v>
      </c>
      <c r="K1557" s="10" t="inlineStr">
        <is>
          <t>Rp 265.000</t>
        </is>
      </c>
    </row>
    <row r="1558">
      <c r="A1558" s="10" t="inlineStr">
        <is>
          <t>INV-70992</t>
        </is>
      </c>
      <c r="B1558" s="10" t="inlineStr">
        <is>
          <t>2025-05-18</t>
        </is>
      </c>
      <c r="C1558" s="10" t="inlineStr">
        <is>
          <t>C1286</t>
        </is>
      </c>
      <c r="D1558" s="10" t="inlineStr">
        <is>
          <t>regular</t>
        </is>
      </c>
      <c r="E1558" s="10" t="inlineStr">
        <is>
          <t>TikTok Shop</t>
        </is>
      </c>
      <c r="F1558" s="10" t="inlineStr">
        <is>
          <t>Jawa Timur</t>
        </is>
      </c>
      <c r="G1558" s="10" t="inlineStr">
        <is>
          <t>elektronik</t>
        </is>
      </c>
      <c r="H1558" s="10" t="inlineStr">
        <is>
          <t>Webcam HD</t>
        </is>
      </c>
      <c r="I1558" s="10" t="n">
        <v>3</v>
      </c>
      <c r="J1558" s="10" t="n">
        <v>210000</v>
      </c>
      <c r="K1558" s="10" t="inlineStr">
        <is>
          <t>Rp 630.000</t>
        </is>
      </c>
    </row>
    <row r="1559">
      <c r="A1559" s="10" t="inlineStr">
        <is>
          <t>INV-71274</t>
        </is>
      </c>
      <c r="B1559" s="10" t="inlineStr">
        <is>
          <t>04/08/2025</t>
        </is>
      </c>
      <c r="C1559" s="10" t="inlineStr">
        <is>
          <t>C1358</t>
        </is>
      </c>
      <c r="D1559" s="10" t="inlineStr">
        <is>
          <t>champion</t>
        </is>
      </c>
      <c r="E1559" s="10" t="inlineStr">
        <is>
          <t>TikTok Shop</t>
        </is>
      </c>
      <c r="F1559" s="10" t="inlineStr">
        <is>
          <t>Jabodetabek</t>
        </is>
      </c>
      <c r="G1559" s="10" t="inlineStr">
        <is>
          <t>Kecantikan</t>
        </is>
      </c>
      <c r="H1559" s="10" t="inlineStr">
        <is>
          <t>Masker Wajah (5s)</t>
        </is>
      </c>
      <c r="I1559" s="10" t="n">
        <v>4</v>
      </c>
      <c r="J1559" s="10" t="n">
        <v>55000</v>
      </c>
      <c r="K1559" s="10" t="n">
        <v>220000</v>
      </c>
    </row>
    <row r="1560">
      <c r="A1560" s="10" t="inlineStr">
        <is>
          <t>INV-70705</t>
        </is>
      </c>
      <c r="B1560" s="10" t="inlineStr">
        <is>
          <t>2025-11-01</t>
        </is>
      </c>
      <c r="C1560" s="10" t="inlineStr">
        <is>
          <t>C1195</t>
        </is>
      </c>
      <c r="D1560" s="10" t="inlineStr">
        <is>
          <t>champion</t>
        </is>
      </c>
      <c r="E1560" s="10" t="inlineStr">
        <is>
          <t>SHOPEE</t>
        </is>
      </c>
      <c r="F1560" s="10" t="inlineStr">
        <is>
          <t>Sumatera</t>
        </is>
      </c>
      <c r="G1560" s="10" t="inlineStr">
        <is>
          <t>Elektronik</t>
        </is>
      </c>
      <c r="H1560" s="10" t="inlineStr">
        <is>
          <t>Smartwatch</t>
        </is>
      </c>
      <c r="I1560" s="10" t="n">
        <v>1</v>
      </c>
      <c r="J1560" s="10" t="n">
        <v>450000</v>
      </c>
      <c r="K1560" s="10" t="n">
        <v>450000</v>
      </c>
    </row>
    <row r="1561">
      <c r="A1561" s="10" t="inlineStr">
        <is>
          <t>INV-71371</t>
        </is>
      </c>
      <c r="B1561" s="10" t="inlineStr">
        <is>
          <t>2025-10-25</t>
        </is>
      </c>
      <c r="C1561" s="10" t="inlineStr">
        <is>
          <t>C1378</t>
        </is>
      </c>
      <c r="D1561" s="10" t="inlineStr">
        <is>
          <t>regular</t>
        </is>
      </c>
      <c r="E1561" s="10" t="inlineStr">
        <is>
          <t>Shopee</t>
        </is>
      </c>
      <c r="F1561" s="10" t="inlineStr">
        <is>
          <t>Jabodetabek</t>
        </is>
      </c>
      <c r="G1561" s="10" t="inlineStr">
        <is>
          <t>Elektronik</t>
        </is>
      </c>
      <c r="H1561" s="10" t="inlineStr">
        <is>
          <t>Webcam HD</t>
        </is>
      </c>
      <c r="I1561" s="10" t="n">
        <v>4</v>
      </c>
      <c r="J1561" s="10" t="n">
        <v>210000</v>
      </c>
      <c r="K1561" s="10" t="n">
        <v>840000</v>
      </c>
    </row>
    <row r="1562">
      <c r="A1562" s="10" t="inlineStr">
        <is>
          <t>INV-71529</t>
        </is>
      </c>
      <c r="B1562" s="10" t="inlineStr">
        <is>
          <t>09/08/2025</t>
        </is>
      </c>
      <c r="C1562" s="10" t="inlineStr">
        <is>
          <t>C1420</t>
        </is>
      </c>
      <c r="D1562" s="10" t="inlineStr">
        <is>
          <t>regular</t>
        </is>
      </c>
      <c r="E1562" s="10" t="inlineStr">
        <is>
          <t>SHOPEE</t>
        </is>
      </c>
      <c r="F1562" s="10" t="inlineStr">
        <is>
          <t>Jawa Timur</t>
        </is>
      </c>
      <c r="G1562" s="10" t="inlineStr">
        <is>
          <t>Rumah Tangga</t>
        </is>
      </c>
      <c r="H1562" s="10" t="inlineStr">
        <is>
          <t>Set Wadah Kedap</t>
        </is>
      </c>
      <c r="I1562" s="10" t="n">
        <v>4</v>
      </c>
      <c r="J1562" s="10" t="n">
        <v>135000</v>
      </c>
      <c r="K1562" s="10" t="n">
        <v>540000</v>
      </c>
    </row>
    <row r="1563">
      <c r="A1563" s="10" t="inlineStr">
        <is>
          <t>INV-70786</t>
        </is>
      </c>
      <c r="B1563" s="10" t="inlineStr">
        <is>
          <t>14/04/2026</t>
        </is>
      </c>
      <c r="C1563" s="10" t="inlineStr">
        <is>
          <t>C1221</t>
        </is>
      </c>
      <c r="D1563" s="10" t="inlineStr">
        <is>
          <t>regular</t>
        </is>
      </c>
      <c r="E1563" s="10" t="inlineStr">
        <is>
          <t>Shopee</t>
        </is>
      </c>
      <c r="F1563" s="10" t="inlineStr">
        <is>
          <t>Jawa Barat</t>
        </is>
      </c>
      <c r="G1563" s="10" t="inlineStr">
        <is>
          <t>kecantikan</t>
        </is>
      </c>
      <c r="H1563" s="10" t="inlineStr">
        <is>
          <t>Masker Wajah (5s)</t>
        </is>
      </c>
      <c r="I1563" s="10" t="n">
        <v>1</v>
      </c>
      <c r="J1563" s="10" t="n">
        <v>55000</v>
      </c>
      <c r="K1563" s="10" t="inlineStr">
        <is>
          <t>Rp 55.000</t>
        </is>
      </c>
    </row>
    <row r="1564">
      <c r="A1564" s="10" t="inlineStr">
        <is>
          <t>INV-71020</t>
        </is>
      </c>
      <c r="B1564" s="10" t="inlineStr">
        <is>
          <t>2025-04-01</t>
        </is>
      </c>
      <c r="C1564" s="10" t="inlineStr">
        <is>
          <t>C1290</t>
        </is>
      </c>
      <c r="D1564" s="10" t="inlineStr">
        <is>
          <t>loyal</t>
        </is>
      </c>
      <c r="E1564" s="10" t="inlineStr">
        <is>
          <t>Shopee</t>
        </is>
      </c>
      <c r="F1564" s="10" t="inlineStr">
        <is>
          <t>Sumatera</t>
        </is>
      </c>
      <c r="G1564" s="10" t="inlineStr">
        <is>
          <t>Rumah Tangga</t>
        </is>
      </c>
      <c r="H1564" s="10" t="inlineStr">
        <is>
          <t>Set Wadah Kedap</t>
        </is>
      </c>
      <c r="I1564" s="10" t="n">
        <v>1</v>
      </c>
      <c r="J1564" s="10" t="n">
        <v>135000</v>
      </c>
      <c r="K1564" s="10" t="n">
        <v>135000</v>
      </c>
    </row>
    <row r="1565">
      <c r="A1565" s="10" t="inlineStr">
        <is>
          <t>INV-70063</t>
        </is>
      </c>
      <c r="B1565" s="10" t="inlineStr">
        <is>
          <t>2025-10-21</t>
        </is>
      </c>
      <c r="C1565" s="10" t="inlineStr">
        <is>
          <t>C1017</t>
        </is>
      </c>
      <c r="D1565" s="10" t="inlineStr">
        <is>
          <t>loyal</t>
        </is>
      </c>
      <c r="E1565" s="10" t="inlineStr">
        <is>
          <t xml:space="preserve"> tokopedia</t>
        </is>
      </c>
      <c r="F1565" s="10" t="inlineStr">
        <is>
          <t>Jawa Timur</t>
        </is>
      </c>
      <c r="G1565" s="10" t="inlineStr">
        <is>
          <t>Rumah Tangga</t>
        </is>
      </c>
      <c r="H1565" s="10" t="inlineStr">
        <is>
          <t>Set Wadah Kedap</t>
        </is>
      </c>
      <c r="I1565" s="10" t="n">
        <v>3</v>
      </c>
      <c r="J1565" s="10" t="n">
        <v>135000</v>
      </c>
      <c r="K1565" s="10" t="n">
        <v>405000</v>
      </c>
    </row>
    <row r="1566">
      <c r="A1566" s="10" t="inlineStr">
        <is>
          <t>INV-71541</t>
        </is>
      </c>
      <c r="B1566" s="10" t="inlineStr">
        <is>
          <t>2025-08-16</t>
        </is>
      </c>
      <c r="C1566" s="10" t="inlineStr">
        <is>
          <t>C1424</t>
        </is>
      </c>
      <c r="D1566" s="10" t="inlineStr">
        <is>
          <t>loyal</t>
        </is>
      </c>
      <c r="E1566" s="10" t="inlineStr">
        <is>
          <t>Shopee</t>
        </is>
      </c>
      <c r="F1566" s="10" t="inlineStr">
        <is>
          <t>Jawa Tengah</t>
        </is>
      </c>
      <c r="G1566" s="10" t="inlineStr">
        <is>
          <t>Rumah Tangga</t>
        </is>
      </c>
      <c r="H1566" s="10" t="inlineStr">
        <is>
          <t>Diffuser Aroma</t>
        </is>
      </c>
      <c r="I1566" s="10" t="n">
        <v>1</v>
      </c>
      <c r="J1566" s="10" t="n">
        <v>195000</v>
      </c>
      <c r="K1566" s="10" t="n">
        <v>195000</v>
      </c>
    </row>
    <row r="1567">
      <c r="A1567" s="10" t="inlineStr">
        <is>
          <t>INV-70476</t>
        </is>
      </c>
      <c r="B1567" s="10" t="inlineStr">
        <is>
          <t>2026-06-01</t>
        </is>
      </c>
      <c r="C1567" s="10" t="inlineStr">
        <is>
          <t>C1137</t>
        </is>
      </c>
      <c r="D1567" s="10" t="inlineStr">
        <is>
          <t>loyal</t>
        </is>
      </c>
      <c r="E1567" s="10" t="inlineStr">
        <is>
          <t>Shopee</t>
        </is>
      </c>
      <c r="F1567" s="10" t="inlineStr">
        <is>
          <t>Jabodetabek</t>
        </is>
      </c>
      <c r="G1567" s="10" t="inlineStr">
        <is>
          <t>Elektronik</t>
        </is>
      </c>
      <c r="H1567" s="10" t="inlineStr">
        <is>
          <t>Power Bank 20K</t>
        </is>
      </c>
      <c r="I1567" s="10" t="n">
        <v>1</v>
      </c>
      <c r="J1567" s="10" t="n">
        <v>185000</v>
      </c>
      <c r="K1567" s="10" t="inlineStr">
        <is>
          <t>Rp 185.000</t>
        </is>
      </c>
    </row>
    <row r="1568">
      <c r="A1568" s="10" t="inlineStr">
        <is>
          <t>INV-71032</t>
        </is>
      </c>
      <c r="B1568" s="10" t="inlineStr">
        <is>
          <t>2025-04-22</t>
        </is>
      </c>
      <c r="C1568" s="10" t="inlineStr">
        <is>
          <t>C1294</t>
        </is>
      </c>
      <c r="D1568" s="10" t="inlineStr">
        <is>
          <t>loyal</t>
        </is>
      </c>
      <c r="E1568" s="10" t="inlineStr">
        <is>
          <t>shopee</t>
        </is>
      </c>
      <c r="F1568" s="10" t="inlineStr">
        <is>
          <t>Jawa Timur</t>
        </is>
      </c>
      <c r="G1568" s="10" t="inlineStr">
        <is>
          <t>Elektronik</t>
        </is>
      </c>
      <c r="H1568" s="10" t="inlineStr">
        <is>
          <t>Power Bank 20K</t>
        </is>
      </c>
      <c r="I1568" s="10" t="n">
        <v>2</v>
      </c>
      <c r="J1568" s="10" t="n">
        <v>185000</v>
      </c>
      <c r="K1568" s="10" t="inlineStr">
        <is>
          <t>Rp 370.000</t>
        </is>
      </c>
    </row>
    <row r="1569">
      <c r="A1569" s="10" t="inlineStr">
        <is>
          <t>INV-70130</t>
        </is>
      </c>
      <c r="B1569" s="10" t="inlineStr">
        <is>
          <t>2026-06-27</t>
        </is>
      </c>
      <c r="C1569" s="10" t="inlineStr">
        <is>
          <t>C1038</t>
        </is>
      </c>
      <c r="D1569" s="10" t="inlineStr">
        <is>
          <t>champion</t>
        </is>
      </c>
      <c r="E1569" s="10" t="inlineStr">
        <is>
          <t>Shopee</t>
        </is>
      </c>
      <c r="F1569" s="10" t="inlineStr">
        <is>
          <t>Jabodetabek</t>
        </is>
      </c>
      <c r="G1569" s="10" t="inlineStr">
        <is>
          <t>Rumah Tangga</t>
        </is>
      </c>
      <c r="H1569" s="10" t="inlineStr">
        <is>
          <t>Diffuser Aroma</t>
        </is>
      </c>
      <c r="I1569" s="10" t="n">
        <v>4</v>
      </c>
      <c r="J1569" s="10" t="n">
        <v>195000</v>
      </c>
      <c r="K1569" s="10" t="n">
        <v>780000</v>
      </c>
    </row>
    <row r="1570">
      <c r="A1570" s="10" t="inlineStr">
        <is>
          <t>INV-70951</t>
        </is>
      </c>
      <c r="B1570" s="10" t="inlineStr">
        <is>
          <t>2026-06-13</t>
        </is>
      </c>
      <c r="C1570" s="10" t="inlineStr">
        <is>
          <t>C1270</t>
        </is>
      </c>
      <c r="D1570" s="10" t="inlineStr">
        <is>
          <t>regular</t>
        </is>
      </c>
      <c r="E1570" s="10" t="inlineStr">
        <is>
          <t>Shopee</t>
        </is>
      </c>
      <c r="F1570" s="10" t="inlineStr">
        <is>
          <t>Sumatera</t>
        </is>
      </c>
      <c r="G1570" s="10" t="inlineStr">
        <is>
          <t>Makanan</t>
        </is>
      </c>
      <c r="H1570" s="10" t="inlineStr">
        <is>
          <t>Madu Hutan 250ml</t>
        </is>
      </c>
      <c r="I1570" s="10" t="n">
        <v>2</v>
      </c>
      <c r="J1570" s="10" t="n">
        <v>110000</v>
      </c>
      <c r="K1570" s="10" t="inlineStr">
        <is>
          <t>Rp 220.000</t>
        </is>
      </c>
    </row>
    <row r="1571">
      <c r="A1571" s="10" t="inlineStr">
        <is>
          <t>INV-70558</t>
        </is>
      </c>
      <c r="B1571" s="10" t="inlineStr">
        <is>
          <t>2025-05-11</t>
        </is>
      </c>
      <c r="C1571" s="10" t="inlineStr">
        <is>
          <t>C1153</t>
        </is>
      </c>
      <c r="D1571" s="10" t="inlineStr">
        <is>
          <t>loyal</t>
        </is>
      </c>
      <c r="E1571" s="10" t="inlineStr">
        <is>
          <t>TikTok Shop</t>
        </is>
      </c>
      <c r="F1571" s="10" t="inlineStr">
        <is>
          <t>Jabodetabek</t>
        </is>
      </c>
      <c r="G1571" s="10" t="inlineStr">
        <is>
          <t>Elektronik</t>
        </is>
      </c>
      <c r="H1571" s="10" t="inlineStr">
        <is>
          <t>Smartwatch</t>
        </is>
      </c>
      <c r="I1571" s="10" t="n">
        <v>1</v>
      </c>
      <c r="J1571" s="10" t="n">
        <v>450000</v>
      </c>
      <c r="K1571" s="10" t="n">
        <v>450000</v>
      </c>
    </row>
    <row r="1572">
      <c r="A1572" s="10" t="inlineStr">
        <is>
          <t>INV-70370</t>
        </is>
      </c>
      <c r="B1572" s="10" t="inlineStr">
        <is>
          <t>2026-05-18</t>
        </is>
      </c>
      <c r="C1572" s="10" t="inlineStr">
        <is>
          <t>C1104</t>
        </is>
      </c>
      <c r="D1572" s="10" t="inlineStr">
        <is>
          <t>occasional</t>
        </is>
      </c>
      <c r="E1572" s="10" t="inlineStr">
        <is>
          <t>Tokopedia</t>
        </is>
      </c>
      <c r="F1572" s="10" t="inlineStr">
        <is>
          <t>Jabodetabek</t>
        </is>
      </c>
      <c r="G1572" s="10" t="inlineStr">
        <is>
          <t>Rumah Tangga</t>
        </is>
      </c>
      <c r="H1572" s="10" t="inlineStr">
        <is>
          <t>Set Wadah Kedap</t>
        </is>
      </c>
      <c r="I1572" s="10" t="n">
        <v>3</v>
      </c>
      <c r="J1572" s="10" t="n">
        <v>135000</v>
      </c>
      <c r="K1572" s="10" t="n">
        <v>405000</v>
      </c>
    </row>
    <row r="1573">
      <c r="A1573" s="10" t="inlineStr">
        <is>
          <t>INV-71254</t>
        </is>
      </c>
      <c r="B1573" s="10" t="inlineStr">
        <is>
          <t>2025-07-23</t>
        </is>
      </c>
      <c r="C1573" s="10" t="inlineStr">
        <is>
          <t>C1353</t>
        </is>
      </c>
      <c r="D1573" s="10" t="inlineStr">
        <is>
          <t>loyal</t>
        </is>
      </c>
      <c r="E1573" s="10" t="inlineStr">
        <is>
          <t xml:space="preserve">Shopee </t>
        </is>
      </c>
      <c r="F1573" s="10" t="inlineStr">
        <is>
          <t>Sumatera</t>
        </is>
      </c>
      <c r="G1573" s="10" t="inlineStr">
        <is>
          <t>Kecantikan</t>
        </is>
      </c>
      <c r="H1573" s="10" t="inlineStr">
        <is>
          <t>Masker Wajah (5s)</t>
        </is>
      </c>
      <c r="I1573" s="10" t="n">
        <v>2</v>
      </c>
      <c r="J1573" s="10" t="n">
        <v>55000</v>
      </c>
      <c r="K1573" s="10" t="n">
        <v>110000</v>
      </c>
    </row>
    <row r="1574">
      <c r="A1574" s="10" t="inlineStr">
        <is>
          <t>INV-70859</t>
        </is>
      </c>
      <c r="B1574" s="10" t="inlineStr">
        <is>
          <t>2025-06-08</t>
        </is>
      </c>
      <c r="C1574" s="10" t="inlineStr">
        <is>
          <t>C1241</t>
        </is>
      </c>
      <c r="D1574" s="10" t="inlineStr">
        <is>
          <t>occasional</t>
        </is>
      </c>
      <c r="E1574" s="10" t="inlineStr">
        <is>
          <t>Tiktok Shop</t>
        </is>
      </c>
      <c r="F1574" s="10" t="inlineStr">
        <is>
          <t>Sumatera</t>
        </is>
      </c>
      <c r="G1574" s="10" t="inlineStr">
        <is>
          <t>Elektronik</t>
        </is>
      </c>
      <c r="H1574" s="10" t="inlineStr">
        <is>
          <t>Webcam HD</t>
        </is>
      </c>
      <c r="I1574" s="10" t="n">
        <v>1</v>
      </c>
      <c r="J1574" s="10" t="n">
        <v>210000</v>
      </c>
      <c r="K1574" s="10" t="n">
        <v>210000</v>
      </c>
    </row>
    <row r="1575">
      <c r="A1575" s="10" t="inlineStr">
        <is>
          <t>INV-70270</t>
        </is>
      </c>
      <c r="B1575" s="10" t="inlineStr">
        <is>
          <t>18/05/2026</t>
        </is>
      </c>
      <c r="C1575" s="10" t="inlineStr">
        <is>
          <t>C1076</t>
        </is>
      </c>
      <c r="D1575" s="10" t="inlineStr">
        <is>
          <t>loyal</t>
        </is>
      </c>
      <c r="E1575" s="10" t="inlineStr">
        <is>
          <t>Tokopedia</t>
        </is>
      </c>
      <c r="F1575" s="10" t="inlineStr">
        <is>
          <t>Jabodetabek</t>
        </is>
      </c>
      <c r="G1575" s="10" t="inlineStr">
        <is>
          <t>Rumah Tangga</t>
        </is>
      </c>
      <c r="H1575" s="10" t="inlineStr">
        <is>
          <t>Organizer Laci</t>
        </is>
      </c>
      <c r="I1575" s="10" t="n">
        <v>3</v>
      </c>
      <c r="J1575" s="10" t="n">
        <v>78000</v>
      </c>
      <c r="K1575" s="10" t="n">
        <v>234000</v>
      </c>
    </row>
    <row r="1576">
      <c r="A1576" s="10" t="inlineStr">
        <is>
          <t>INV-70216</t>
        </is>
      </c>
      <c r="B1576" s="10" t="inlineStr">
        <is>
          <t>2026-02-04</t>
        </is>
      </c>
      <c r="C1576" s="10" t="inlineStr">
        <is>
          <t>C1060</t>
        </is>
      </c>
      <c r="D1576" s="10" t="inlineStr">
        <is>
          <t>loyal</t>
        </is>
      </c>
      <c r="E1576" s="10" t="inlineStr">
        <is>
          <t>TikTok Shop</t>
        </is>
      </c>
      <c r="F1576" s="10" t="inlineStr">
        <is>
          <t>Jawa Barat</t>
        </is>
      </c>
      <c r="G1576" s="10" t="inlineStr">
        <is>
          <t>rumah tangga</t>
        </is>
      </c>
      <c r="H1576" s="10" t="inlineStr">
        <is>
          <t>Set Wadah Kedap</t>
        </is>
      </c>
      <c r="I1576" s="10" t="n">
        <v>3</v>
      </c>
      <c r="J1576" s="10" t="n">
        <v>135000</v>
      </c>
      <c r="K1576" s="10" t="n">
        <v>405000</v>
      </c>
    </row>
    <row r="1577">
      <c r="A1577" s="10" t="inlineStr">
        <is>
          <t>INV-71512</t>
        </is>
      </c>
      <c r="B1577" s="10" t="inlineStr">
        <is>
          <t>2025-11-13</t>
        </is>
      </c>
      <c r="C1577" s="10" t="inlineStr">
        <is>
          <t>C1415</t>
        </is>
      </c>
      <c r="D1577" s="10" t="inlineStr">
        <is>
          <t>regular</t>
        </is>
      </c>
      <c r="E1577" s="10" t="inlineStr">
        <is>
          <t>Shopee</t>
        </is>
      </c>
      <c r="F1577" s="10" t="inlineStr">
        <is>
          <t>Jabodetabek</t>
        </is>
      </c>
      <c r="G1577" s="10" t="inlineStr">
        <is>
          <t>Elektronik</t>
        </is>
      </c>
      <c r="H1577" s="10" t="inlineStr">
        <is>
          <t>Earbuds TWS</t>
        </is>
      </c>
      <c r="I1577" s="10" t="n">
        <v>1</v>
      </c>
      <c r="J1577" s="10" t="n">
        <v>265000</v>
      </c>
      <c r="K1577" s="10" t="n">
        <v>265000</v>
      </c>
    </row>
    <row r="1578">
      <c r="A1578" s="10" t="inlineStr">
        <is>
          <t>INV-71109</t>
        </is>
      </c>
      <c r="B1578" s="10" t="inlineStr">
        <is>
          <t>2025-12-14</t>
        </is>
      </c>
      <c r="C1578" s="10" t="inlineStr">
        <is>
          <t>C1310</t>
        </is>
      </c>
      <c r="D1578" s="10" t="inlineStr">
        <is>
          <t>loyal</t>
        </is>
      </c>
      <c r="E1578" s="10" t="inlineStr">
        <is>
          <t>shopee</t>
        </is>
      </c>
      <c r="F1578" s="10" t="inlineStr">
        <is>
          <t>Jabodetabek</t>
        </is>
      </c>
      <c r="G1578" s="10" t="inlineStr">
        <is>
          <t>Rumah Tangga</t>
        </is>
      </c>
      <c r="H1578" s="10" t="inlineStr">
        <is>
          <t>Set Wadah Kedap</t>
        </is>
      </c>
      <c r="I1578" s="10" t="n">
        <v>1</v>
      </c>
      <c r="J1578" s="10" t="n">
        <v>135000</v>
      </c>
      <c r="K1578" s="10" t="n">
        <v>135000</v>
      </c>
    </row>
    <row r="1579">
      <c r="A1579" s="10" t="inlineStr">
        <is>
          <t>INV-70279</t>
        </is>
      </c>
      <c r="B1579" s="10" t="inlineStr">
        <is>
          <t>02/11/2025</t>
        </is>
      </c>
      <c r="C1579" s="10" t="inlineStr">
        <is>
          <t>C1079</t>
        </is>
      </c>
      <c r="D1579" s="10" t="inlineStr">
        <is>
          <t>regular</t>
        </is>
      </c>
      <c r="E1579" s="10" t="inlineStr">
        <is>
          <t>tiktok shop</t>
        </is>
      </c>
      <c r="F1579" s="10" t="inlineStr">
        <is>
          <t>Jabodetabek</t>
        </is>
      </c>
      <c r="G1579" s="10" t="inlineStr">
        <is>
          <t>rumah tangga</t>
        </is>
      </c>
      <c r="H1579" s="10" t="inlineStr">
        <is>
          <t>Karpet Bulu</t>
        </is>
      </c>
      <c r="I1579" s="10" t="n">
        <v>2</v>
      </c>
      <c r="J1579" s="10" t="n">
        <v>240000</v>
      </c>
      <c r="K1579" s="10" t="n">
        <v>480000</v>
      </c>
    </row>
    <row r="1580">
      <c r="A1580" s="10" t="inlineStr">
        <is>
          <t>INV-70086</t>
        </is>
      </c>
      <c r="B1580" s="10" t="inlineStr">
        <is>
          <t>2025-08-14</t>
        </is>
      </c>
      <c r="C1580" s="10" t="inlineStr">
        <is>
          <t>C1025</t>
        </is>
      </c>
      <c r="D1580" s="10" t="inlineStr">
        <is>
          <t>loyal</t>
        </is>
      </c>
      <c r="E1580" s="10" t="inlineStr">
        <is>
          <t xml:space="preserve">Tokopedia </t>
        </is>
      </c>
      <c r="F1580" s="10" t="inlineStr">
        <is>
          <t>Jabodetabek</t>
        </is>
      </c>
      <c r="G1580" s="10" t="inlineStr">
        <is>
          <t>Elektronik</t>
        </is>
      </c>
      <c r="H1580" s="10" t="inlineStr">
        <is>
          <t>Power Bank 20K</t>
        </is>
      </c>
      <c r="I1580" s="10" t="n">
        <v>1</v>
      </c>
      <c r="J1580" s="10" t="n">
        <v>185000</v>
      </c>
      <c r="K1580" s="10" t="n">
        <v>185000</v>
      </c>
    </row>
    <row r="1581">
      <c r="A1581" s="10" t="inlineStr">
        <is>
          <t>INV-71245</t>
        </is>
      </c>
      <c r="B1581" s="10" t="inlineStr">
        <is>
          <t>2025-12-15</t>
        </is>
      </c>
      <c r="C1581" s="10" t="inlineStr">
        <is>
          <t>C1351</t>
        </is>
      </c>
      <c r="D1581" s="10" t="inlineStr">
        <is>
          <t>loyal</t>
        </is>
      </c>
      <c r="E1581" s="10" t="inlineStr">
        <is>
          <t>Shopee</t>
        </is>
      </c>
      <c r="F1581" s="10" t="inlineStr">
        <is>
          <t>Jawa Timur</t>
        </is>
      </c>
      <c r="G1581" s="10" t="inlineStr">
        <is>
          <t>Rumah Tangga</t>
        </is>
      </c>
      <c r="H1581" s="10" t="inlineStr">
        <is>
          <t>Set Wadah Kedap</t>
        </is>
      </c>
      <c r="I1581" s="10" t="n">
        <v>2</v>
      </c>
      <c r="J1581" s="10" t="n">
        <v>135000</v>
      </c>
      <c r="K1581" s="10" t="n">
        <v>270000</v>
      </c>
    </row>
    <row r="1582">
      <c r="A1582" s="10" t="inlineStr">
        <is>
          <t>INV-70536</t>
        </is>
      </c>
      <c r="B1582" s="10" t="inlineStr">
        <is>
          <t>2025-10-06</t>
        </is>
      </c>
      <c r="C1582" s="10" t="inlineStr">
        <is>
          <t>C1148</t>
        </is>
      </c>
      <c r="D1582" s="10" t="inlineStr">
        <is>
          <t>occasional</t>
        </is>
      </c>
      <c r="E1582" s="10" t="inlineStr">
        <is>
          <t>Tokopedia</t>
        </is>
      </c>
      <c r="F1582" s="10" t="inlineStr">
        <is>
          <t>Jabodetabek</t>
        </is>
      </c>
      <c r="G1582" s="10" t="inlineStr">
        <is>
          <t>Fashion</t>
        </is>
      </c>
      <c r="H1582" s="10" t="inlineStr">
        <is>
          <t>Dress Casual</t>
        </is>
      </c>
      <c r="I1582" s="10" t="n">
        <v>2</v>
      </c>
      <c r="J1582" s="10" t="n">
        <v>225000</v>
      </c>
      <c r="K1582" s="10" t="n">
        <v>450000</v>
      </c>
    </row>
    <row r="1583">
      <c r="A1583" s="10" t="inlineStr">
        <is>
          <t>INV-70281</t>
        </is>
      </c>
      <c r="B1583" s="10" t="inlineStr">
        <is>
          <t>2025-04-01</t>
        </is>
      </c>
      <c r="C1583" s="10" t="inlineStr">
        <is>
          <t>C1079</t>
        </is>
      </c>
      <c r="D1583" s="10" t="inlineStr">
        <is>
          <t>regular</t>
        </is>
      </c>
      <c r="E1583" s="10" t="inlineStr">
        <is>
          <t>TikTok Shop</t>
        </is>
      </c>
      <c r="F1583" s="10" t="inlineStr">
        <is>
          <t>Jawa Barat</t>
        </is>
      </c>
      <c r="G1583" s="10" t="inlineStr">
        <is>
          <t>Kecantikan</t>
        </is>
      </c>
      <c r="H1583" s="10" t="inlineStr">
        <is>
          <t>Masker Wajah (5s)</t>
        </is>
      </c>
      <c r="I1583" s="10" t="n">
        <v>1</v>
      </c>
      <c r="J1583" s="10" t="n">
        <v>55000</v>
      </c>
      <c r="K1583" s="10" t="n">
        <v>55000</v>
      </c>
    </row>
    <row r="1584">
      <c r="A1584" s="10" t="inlineStr">
        <is>
          <t>INV-70623</t>
        </is>
      </c>
      <c r="B1584" s="10" t="inlineStr">
        <is>
          <t>2025-11-27</t>
        </is>
      </c>
      <c r="C1584" s="10" t="inlineStr">
        <is>
          <t>C1170</t>
        </is>
      </c>
      <c r="D1584" s="10" t="inlineStr">
        <is>
          <t>champion</t>
        </is>
      </c>
      <c r="E1584" s="10" t="inlineStr">
        <is>
          <t>TIKTOK SHOP</t>
        </is>
      </c>
      <c r="F1584" s="10" t="inlineStr">
        <is>
          <t>Jawa Barat</t>
        </is>
      </c>
      <c r="G1584" s="10" t="inlineStr">
        <is>
          <t>Rumah Tangga</t>
        </is>
      </c>
      <c r="H1584" s="10" t="inlineStr">
        <is>
          <t>Organizer Laci</t>
        </is>
      </c>
      <c r="I1584" s="10" t="n">
        <v>2</v>
      </c>
      <c r="J1584" s="10" t="n">
        <v>78000</v>
      </c>
      <c r="K1584" s="10" t="n">
        <v>156000</v>
      </c>
    </row>
    <row r="1585">
      <c r="A1585" s="10" t="inlineStr">
        <is>
          <t>INV-70235</t>
        </is>
      </c>
      <c r="B1585" s="10" t="inlineStr">
        <is>
          <t>23 Nov 2025</t>
        </is>
      </c>
      <c r="C1585" s="10" t="inlineStr">
        <is>
          <t>C1066</t>
        </is>
      </c>
      <c r="D1585" s="10" t="inlineStr">
        <is>
          <t>loyal</t>
        </is>
      </c>
      <c r="E1585" s="10" t="inlineStr">
        <is>
          <t>shopee</t>
        </is>
      </c>
      <c r="F1585" s="10" t="inlineStr">
        <is>
          <t>Sumatera</t>
        </is>
      </c>
      <c r="G1585" s="10" t="inlineStr">
        <is>
          <t>Rumah Tangga</t>
        </is>
      </c>
      <c r="H1585" s="10" t="inlineStr">
        <is>
          <t>Diffuser Aroma</t>
        </is>
      </c>
      <c r="I1585" s="10" t="n">
        <v>4</v>
      </c>
      <c r="J1585" s="10" t="n">
        <v>195000</v>
      </c>
      <c r="K1585" s="10" t="n">
        <v>780000</v>
      </c>
    </row>
    <row r="1586">
      <c r="A1586" s="10" t="inlineStr">
        <is>
          <t>INV-70632</t>
        </is>
      </c>
      <c r="B1586" s="10" t="inlineStr">
        <is>
          <t>2026-03-24</t>
        </is>
      </c>
      <c r="C1586" s="10" t="inlineStr">
        <is>
          <t>C1173</t>
        </is>
      </c>
      <c r="D1586" s="10" t="inlineStr">
        <is>
          <t>loyal</t>
        </is>
      </c>
      <c r="E1586" s="10" t="inlineStr">
        <is>
          <t>Shopee</t>
        </is>
      </c>
      <c r="F1586" s="10" t="inlineStr">
        <is>
          <t>Jawa Barat</t>
        </is>
      </c>
      <c r="G1586" s="10" t="inlineStr">
        <is>
          <t>Elektronik</t>
        </is>
      </c>
      <c r="H1586" s="10" t="inlineStr">
        <is>
          <t>Power Bank 20K</t>
        </is>
      </c>
      <c r="I1586" s="10" t="n">
        <v>1</v>
      </c>
      <c r="J1586" s="10" t="n">
        <v>185000</v>
      </c>
      <c r="K1586" s="10" t="n">
        <v>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44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date formats</t>
        </is>
      </c>
      <c r="B5" s="13" t="inlineStr">
        <is>
          <t>01/03/2025  and  15 Mar 2025</t>
        </is>
      </c>
      <c r="C5" s="12" t="inlineStr">
        <is>
          <t>Parsed all to real Excel dates</t>
        </is>
      </c>
      <c r="D5" s="12" t="n">
        <v>437</v>
      </c>
    </row>
    <row r="6">
      <c r="A6" s="12" t="inlineStr">
        <is>
          <t>Channel: mixed case and stray spaces</t>
        </is>
      </c>
      <c r="B6" s="13" t="inlineStr">
        <is>
          <t>'shopee ',  'TIKTOK SHOP'</t>
        </is>
      </c>
      <c r="C6" s="12" t="inlineStr">
        <is>
          <t>TRIM + PROPER normalisation</t>
        </is>
      </c>
      <c r="D6" s="12" t="n">
        <v>469</v>
      </c>
    </row>
    <row r="7">
      <c r="A7" s="12" t="inlineStr">
        <is>
          <t>Category: inconsistent casing</t>
        </is>
      </c>
      <c r="B7" s="13" t="inlineStr">
        <is>
          <t>'kecantikan',  'makanan'</t>
        </is>
      </c>
      <c r="C7" s="12" t="inlineStr">
        <is>
          <t>PROPER case normalisation</t>
        </is>
      </c>
      <c r="D7" s="12" t="n">
        <v>187</v>
      </c>
    </row>
    <row r="8">
      <c r="A8" s="12" t="inlineStr">
        <is>
          <t>Revenue stored as text</t>
        </is>
      </c>
      <c r="B8" s="13" t="inlineStr">
        <is>
          <t>'Rp 156.000'</t>
        </is>
      </c>
      <c r="C8" s="12" t="inlineStr">
        <is>
          <t>Strip 'Rp' and dots, convert with VALUE()</t>
        </is>
      </c>
      <c r="D8" s="12" t="n">
        <v>312</v>
      </c>
    </row>
    <row r="9">
      <c r="A9" s="12" t="inlineStr">
        <is>
          <t>Missing region</t>
        </is>
      </c>
      <c r="B9" s="13" t="inlineStr">
        <is>
          <t>(blank cell)</t>
        </is>
      </c>
      <c r="C9" s="12" t="inlineStr">
        <is>
          <t>Filled with 'Lainnya' (Other)</t>
        </is>
      </c>
      <c r="D9" s="12" t="n">
        <v>31</v>
      </c>
    </row>
    <row r="10">
      <c r="A10" s="12" t="inlineStr">
        <is>
          <t>Invalid quantity (blank or negative)</t>
        </is>
      </c>
      <c r="B10" s="13" t="inlineStr">
        <is>
          <t>blank,  -2</t>
        </is>
      </c>
      <c r="C10" s="12" t="inlineStr">
        <is>
          <t>Flagged and corrected from order lines</t>
        </is>
      </c>
      <c r="D10" s="12" t="n">
        <v>12</v>
      </c>
    </row>
    <row r="11">
      <c r="A11" s="12" t="inlineStr">
        <is>
          <t>Duplicate order rows</t>
        </is>
      </c>
      <c r="B11" s="13" t="inlineStr">
        <is>
          <t>INV-70016 appears twice</t>
        </is>
      </c>
      <c r="C11" s="12" t="inlineStr">
        <is>
          <t>Removed exact duplicates</t>
        </is>
      </c>
      <c r="D11" s="12" t="n">
        <v>18</v>
      </c>
    </row>
    <row r="12">
      <c r="A12" s="12" t="inlineStr">
        <is>
          <t>Revenue not equal to qty x unit_price</t>
        </is>
      </c>
      <c r="B12" s="13" t="inlineStr">
        <is>
          <t>off by 12.000</t>
        </is>
      </c>
      <c r="C12" s="12" t="inlineStr">
        <is>
          <t>Recomputed from qty x unit_price</t>
        </is>
      </c>
      <c r="D12" s="12" t="n">
        <v>9</v>
      </c>
    </row>
    <row r="13">
      <c r="A13" s="14" t="inlineStr">
        <is>
          <t>Rows in, then after de-duplication</t>
        </is>
      </c>
      <c r="D13" s="14" t="inlineStr">
        <is>
          <t>1,582 -&gt; 1,564</t>
        </is>
      </c>
    </row>
    <row r="16">
      <c r="A16" s="7" t="inlineStr">
        <is>
          <t>LIVE FORMULA DEMO  (the actual cleaning formulas, shown working)</t>
        </is>
      </c>
    </row>
    <row r="17">
      <c r="A17" s="8" t="inlineStr">
        <is>
          <t>Column C is live and recomputes from column A.</t>
        </is>
      </c>
    </row>
    <row r="19" ht="26" customHeight="1">
      <c r="A19" s="9" t="inlineStr">
        <is>
          <t>Raw value</t>
        </is>
      </c>
      <c r="B19" s="9" t="inlineStr">
        <is>
          <t>Formula (shown as text)</t>
        </is>
      </c>
      <c r="C19" s="9" t="inlineStr">
        <is>
          <t>Result (live)</t>
        </is>
      </c>
    </row>
    <row r="20">
      <c r="A20" s="10" t="inlineStr">
        <is>
          <t xml:space="preserve">shopee </t>
        </is>
      </c>
      <c r="B20" s="15" t="inlineStr">
        <is>
          <t>PROPER(TRIM(A20))</t>
        </is>
      </c>
      <c r="C20" s="16">
        <f>PROPER(TRIM(A20))</f>
        <v/>
      </c>
    </row>
    <row r="21">
      <c r="A21" s="10" t="inlineStr">
        <is>
          <t>TIKTOK SHOP</t>
        </is>
      </c>
      <c r="B21" s="15" t="inlineStr">
        <is>
          <t>PROPER(TRIM(A21))</t>
        </is>
      </c>
      <c r="C21" s="16">
        <f>PROPER(TRIM(A21))</f>
        <v/>
      </c>
    </row>
    <row r="22">
      <c r="A22" s="10" t="inlineStr">
        <is>
          <t>Rp 156.000</t>
        </is>
      </c>
      <c r="B22" s="15" t="inlineStr">
        <is>
          <t>VALUE(SUBSTITUTE(SUBSTITUTE(A22,"Rp ",""),".",""))</t>
        </is>
      </c>
      <c r="C22" s="16">
        <f>VALUE(SUBSTITUTE(SUBSTITUTE(A22,"Rp ",""),".",""))</f>
        <v/>
      </c>
    </row>
    <row r="23">
      <c r="A23" s="10" t="inlineStr">
        <is>
          <t>01/03/2025</t>
        </is>
      </c>
      <c r="B23" s="15" t="inlineStr">
        <is>
          <t>DATEVALUE(A23)</t>
        </is>
      </c>
      <c r="C23" s="17">
        <f>DATEVALUE(A23)</f>
        <v/>
      </c>
    </row>
    <row r="24">
      <c r="A24" s="10" t="inlineStr">
        <is>
          <t>kecantikan</t>
        </is>
      </c>
      <c r="B24" s="15" t="inlineStr">
        <is>
          <t>PROPER(A24)</t>
        </is>
      </c>
      <c r="C24" s="16">
        <f>PROPER(A24)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5" customWidth="1" min="5" max="5"/>
    <col width="13" customWidth="1" min="6" max="6"/>
    <col width="14" customWidth="1" min="7" max="7"/>
    <col width="19" customWidth="1" min="8" max="8"/>
    <col width="9" customWidth="1" min="9" max="9"/>
    <col width="12" customWidth="1" min="10" max="10"/>
    <col width="9" customWidth="1" min="11" max="11"/>
    <col width="10" customWidth="1" min="12" max="12"/>
  </cols>
  <sheetData>
    <row r="1" ht="26" customHeight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cust_type</t>
        </is>
      </c>
      <c r="E1" s="9" t="inlineStr">
        <is>
          <t>channel</t>
        </is>
      </c>
      <c r="F1" s="9" t="inlineStr">
        <is>
          <t>region</t>
        </is>
      </c>
      <c r="G1" s="9" t="inlineStr">
        <is>
          <t>category</t>
        </is>
      </c>
      <c r="H1" s="9" t="inlineStr">
        <is>
          <t>product</t>
        </is>
      </c>
      <c r="I1" s="9" t="inlineStr">
        <is>
          <t>qty</t>
        </is>
      </c>
      <c r="J1" s="9" t="inlineStr">
        <is>
          <t>unit_price</t>
        </is>
      </c>
      <c r="K1" s="9" t="inlineStr">
        <is>
          <t>revenue</t>
        </is>
      </c>
      <c r="L1" s="9" t="inlineStr">
        <is>
          <t>month</t>
        </is>
      </c>
    </row>
    <row r="2">
      <c r="A2" s="10" t="inlineStr">
        <is>
          <t>INV-70016</t>
        </is>
      </c>
      <c r="B2" s="18" t="n">
        <v>45658</v>
      </c>
      <c r="C2" s="10" t="inlineStr">
        <is>
          <t>C1003</t>
        </is>
      </c>
      <c r="D2" s="10" t="inlineStr">
        <is>
          <t>regular</t>
        </is>
      </c>
      <c r="E2" s="10" t="inlineStr">
        <is>
          <t>Tokopedia</t>
        </is>
      </c>
      <c r="F2" s="10" t="inlineStr">
        <is>
          <t>Jawa Barat</t>
        </is>
      </c>
      <c r="G2" s="10" t="inlineStr">
        <is>
          <t>Rumah Tangga</t>
        </is>
      </c>
      <c r="H2" s="10" t="inlineStr">
        <is>
          <t>Organizer Laci</t>
        </is>
      </c>
      <c r="I2" s="19" t="n">
        <v>2</v>
      </c>
      <c r="J2" s="20" t="n">
        <v>78000</v>
      </c>
      <c r="K2" s="20" t="n">
        <v>156000</v>
      </c>
      <c r="L2" s="10">
        <f>IF($B2="","",TEXT($B2,"YYYY-MM"))</f>
        <v/>
      </c>
    </row>
    <row r="3">
      <c r="A3" s="10" t="inlineStr">
        <is>
          <t>INV-71101</t>
        </is>
      </c>
      <c r="B3" s="18" t="n">
        <v>45658</v>
      </c>
      <c r="C3" s="10" t="inlineStr">
        <is>
          <t>C1309</t>
        </is>
      </c>
      <c r="D3" s="10" t="inlineStr">
        <is>
          <t>regular</t>
        </is>
      </c>
      <c r="E3" s="10" t="inlineStr">
        <is>
          <t>TikTok Shop</t>
        </is>
      </c>
      <c r="F3" s="10" t="inlineStr">
        <is>
          <t>Jabodetabek</t>
        </is>
      </c>
      <c r="G3" s="10" t="inlineStr">
        <is>
          <t>Makanan</t>
        </is>
      </c>
      <c r="H3" s="10" t="inlineStr">
        <is>
          <t>Granola 500g</t>
        </is>
      </c>
      <c r="I3" s="19" t="n">
        <v>1</v>
      </c>
      <c r="J3" s="20" t="n">
        <v>92000</v>
      </c>
      <c r="K3" s="20" t="n">
        <v>92000</v>
      </c>
      <c r="L3" s="10">
        <f>IF($B3="","",TEXT($B3,"YYYY-MM"))</f>
        <v/>
      </c>
    </row>
    <row r="4">
      <c r="A4" s="10" t="inlineStr">
        <is>
          <t>INV-71102</t>
        </is>
      </c>
      <c r="B4" s="18" t="n">
        <v>45658</v>
      </c>
      <c r="C4" s="10" t="inlineStr">
        <is>
          <t>C1309</t>
        </is>
      </c>
      <c r="D4" s="10" t="inlineStr">
        <is>
          <t>regular</t>
        </is>
      </c>
      <c r="E4" s="10" t="inlineStr">
        <is>
          <t>Shopee</t>
        </is>
      </c>
      <c r="F4" s="10" t="inlineStr">
        <is>
          <t>Jabodetabek</t>
        </is>
      </c>
      <c r="G4" s="10" t="inlineStr">
        <is>
          <t>Kecantikan</t>
        </is>
      </c>
      <c r="H4" s="10" t="inlineStr">
        <is>
          <t>Masker Wajah (5s)</t>
        </is>
      </c>
      <c r="I4" s="19" t="n">
        <v>2</v>
      </c>
      <c r="J4" s="20" t="n">
        <v>55000</v>
      </c>
      <c r="K4" s="20" t="n">
        <v>110000</v>
      </c>
      <c r="L4" s="10">
        <f>IF($B4="","",TEXT($B4,"YYYY-MM"))</f>
        <v/>
      </c>
    </row>
    <row r="5">
      <c r="A5" s="10" t="inlineStr">
        <is>
          <t>INV-71176</t>
        </is>
      </c>
      <c r="B5" s="18" t="n">
        <v>45658</v>
      </c>
      <c r="C5" s="10" t="inlineStr">
        <is>
          <t>C1334</t>
        </is>
      </c>
      <c r="D5" s="10" t="inlineStr">
        <is>
          <t>champion</t>
        </is>
      </c>
      <c r="E5" s="10" t="inlineStr">
        <is>
          <t>TikTok Shop</t>
        </is>
      </c>
      <c r="F5" s="10" t="inlineStr">
        <is>
          <t>Sumatera</t>
        </is>
      </c>
      <c r="G5" s="10" t="inlineStr">
        <is>
          <t>Kecantikan</t>
        </is>
      </c>
      <c r="H5" s="10" t="inlineStr">
        <is>
          <t>Masker Wajah (5s)</t>
        </is>
      </c>
      <c r="I5" s="19" t="n">
        <v>1</v>
      </c>
      <c r="J5" s="20" t="n">
        <v>55000</v>
      </c>
      <c r="K5" s="20" t="n">
        <v>55000</v>
      </c>
      <c r="L5" s="10">
        <f>IF($B5="","",TEXT($B5,"YYYY-MM"))</f>
        <v/>
      </c>
    </row>
    <row r="6">
      <c r="A6" s="10" t="inlineStr">
        <is>
          <t>INV-71062</t>
        </is>
      </c>
      <c r="B6" s="18" t="n">
        <v>45659</v>
      </c>
      <c r="C6" s="10" t="inlineStr">
        <is>
          <t>C1301</t>
        </is>
      </c>
      <c r="D6" s="10" t="inlineStr">
        <is>
          <t>regular</t>
        </is>
      </c>
      <c r="E6" s="10" t="inlineStr">
        <is>
          <t>Tokopedia</t>
        </is>
      </c>
      <c r="F6" s="10" t="inlineStr">
        <is>
          <t>Jabodetabek</t>
        </is>
      </c>
      <c r="G6" s="10" t="inlineStr">
        <is>
          <t>Rumah Tangga</t>
        </is>
      </c>
      <c r="H6" s="10" t="inlineStr">
        <is>
          <t>Set Wadah Kedap</t>
        </is>
      </c>
      <c r="I6" s="19" t="n">
        <v>1</v>
      </c>
      <c r="J6" s="20" t="n">
        <v>135000</v>
      </c>
      <c r="K6" s="20" t="n">
        <v>135000</v>
      </c>
      <c r="L6" s="10">
        <f>IF($B6="","",TEXT($B6,"YYYY-MM"))</f>
        <v/>
      </c>
    </row>
    <row r="7">
      <c r="A7" s="10" t="inlineStr">
        <is>
          <t>INV-71377</t>
        </is>
      </c>
      <c r="B7" s="18" t="n">
        <v>45659</v>
      </c>
      <c r="C7" s="10" t="inlineStr">
        <is>
          <t>C1380</t>
        </is>
      </c>
      <c r="D7" s="10" t="inlineStr">
        <is>
          <t>onetime</t>
        </is>
      </c>
      <c r="E7" s="10" t="inlineStr">
        <is>
          <t>TikTok Shop</t>
        </is>
      </c>
      <c r="F7" s="10" t="inlineStr">
        <is>
          <t>Jabodetabek</t>
        </is>
      </c>
      <c r="G7" s="10" t="inlineStr">
        <is>
          <t>Elektronik</t>
        </is>
      </c>
      <c r="H7" s="10" t="inlineStr">
        <is>
          <t>Webcam HD</t>
        </is>
      </c>
      <c r="I7" s="19" t="n">
        <v>2</v>
      </c>
      <c r="J7" s="20" t="n">
        <v>210000</v>
      </c>
      <c r="K7" s="20" t="n">
        <v>420000</v>
      </c>
      <c r="L7" s="10">
        <f>IF($B7="","",TEXT($B7,"YYYY-MM"))</f>
        <v/>
      </c>
    </row>
    <row r="8">
      <c r="A8" s="10" t="inlineStr">
        <is>
          <t>INV-70336</t>
        </is>
      </c>
      <c r="B8" s="18" t="n">
        <v>45660</v>
      </c>
      <c r="C8" s="10" t="inlineStr">
        <is>
          <t>C1093</t>
        </is>
      </c>
      <c r="D8" s="10" t="inlineStr">
        <is>
          <t>champion</t>
        </is>
      </c>
      <c r="E8" s="10" t="inlineStr">
        <is>
          <t>Shopee</t>
        </is>
      </c>
      <c r="F8" s="10" t="inlineStr">
        <is>
          <t>Jabodetabek</t>
        </is>
      </c>
      <c r="G8" s="10" t="inlineStr">
        <is>
          <t>Elektronik</t>
        </is>
      </c>
      <c r="H8" s="10" t="inlineStr">
        <is>
          <t>Earbuds TWS</t>
        </is>
      </c>
      <c r="I8" s="19" t="n">
        <v>4</v>
      </c>
      <c r="J8" s="20" t="n">
        <v>265000</v>
      </c>
      <c r="K8" s="20" t="n">
        <v>1060000</v>
      </c>
      <c r="L8" s="10">
        <f>IF($B8="","",TEXT($B8,"YYYY-MM"))</f>
        <v/>
      </c>
    </row>
    <row r="9">
      <c r="A9" s="10" t="inlineStr">
        <is>
          <t>INV-70129</t>
        </is>
      </c>
      <c r="B9" s="18" t="n">
        <v>45660</v>
      </c>
      <c r="C9" s="10" t="inlineStr">
        <is>
          <t>C1038</t>
        </is>
      </c>
      <c r="D9" s="10" t="inlineStr">
        <is>
          <t>champion</t>
        </is>
      </c>
      <c r="E9" s="10" t="inlineStr">
        <is>
          <t>TikTok Shop</t>
        </is>
      </c>
      <c r="F9" s="10" t="inlineStr">
        <is>
          <t>Jawa Barat</t>
        </is>
      </c>
      <c r="G9" s="10" t="inlineStr">
        <is>
          <t>Kecantikan</t>
        </is>
      </c>
      <c r="H9" s="10" t="inlineStr">
        <is>
          <t>Masker Wajah (5s)</t>
        </is>
      </c>
      <c r="I9" s="19" t="n">
        <v>4</v>
      </c>
      <c r="J9" s="20" t="n">
        <v>55000</v>
      </c>
      <c r="K9" s="20" t="n">
        <v>220000</v>
      </c>
      <c r="L9" s="10">
        <f>IF($B9="","",TEXT($B9,"YYYY-MM"))</f>
        <v/>
      </c>
    </row>
    <row r="10">
      <c r="A10" s="10" t="inlineStr">
        <is>
          <t>INV-70988</t>
        </is>
      </c>
      <c r="B10" s="18" t="n">
        <v>45660</v>
      </c>
      <c r="C10" s="10" t="inlineStr">
        <is>
          <t>C1284</t>
        </is>
      </c>
      <c r="D10" s="10" t="inlineStr">
        <is>
          <t>occasional</t>
        </is>
      </c>
      <c r="E10" s="10" t="inlineStr">
        <is>
          <t>Offline Store</t>
        </is>
      </c>
      <c r="F10" s="10" t="inlineStr">
        <is>
          <t>Jawa Tengah</t>
        </is>
      </c>
      <c r="G10" s="10" t="inlineStr">
        <is>
          <t>Fashion</t>
        </is>
      </c>
      <c r="H10" s="10" t="inlineStr">
        <is>
          <t>Celana Chino</t>
        </is>
      </c>
      <c r="I10" s="19" t="n">
        <v>4</v>
      </c>
      <c r="J10" s="20" t="n">
        <v>195000</v>
      </c>
      <c r="K10" s="20" t="n">
        <v>780000</v>
      </c>
      <c r="L10" s="10">
        <f>IF($B10="","",TEXT($B10,"YYYY-MM"))</f>
        <v/>
      </c>
    </row>
    <row r="11">
      <c r="A11" s="10" t="inlineStr">
        <is>
          <t>INV-70969</t>
        </is>
      </c>
      <c r="B11" s="18" t="n">
        <v>45661</v>
      </c>
      <c r="C11" s="10" t="inlineStr">
        <is>
          <t>C1277</t>
        </is>
      </c>
      <c r="D11" s="10" t="inlineStr">
        <is>
          <t>onetime</t>
        </is>
      </c>
      <c r="E11" s="10" t="inlineStr">
        <is>
          <t>Offline Store</t>
        </is>
      </c>
      <c r="F11" s="10" t="inlineStr">
        <is>
          <t>Jabodetabek</t>
        </is>
      </c>
      <c r="G11" s="10" t="inlineStr">
        <is>
          <t>Makanan</t>
        </is>
      </c>
      <c r="H11" s="10" t="inlineStr">
        <is>
          <t>Granola 500g</t>
        </is>
      </c>
      <c r="I11" s="19" t="n">
        <v>4</v>
      </c>
      <c r="J11" s="20" t="n">
        <v>92000</v>
      </c>
      <c r="K11" s="20" t="n">
        <v>368000</v>
      </c>
      <c r="L11" s="10">
        <f>IF($B11="","",TEXT($B11,"YYYY-MM"))</f>
        <v/>
      </c>
    </row>
    <row r="12">
      <c r="A12" s="10" t="inlineStr">
        <is>
          <t>INV-70326</t>
        </is>
      </c>
      <c r="B12" s="18" t="n">
        <v>45662</v>
      </c>
      <c r="C12" s="10" t="inlineStr">
        <is>
          <t>C1090</t>
        </is>
      </c>
      <c r="D12" s="10" t="inlineStr">
        <is>
          <t>champion</t>
        </is>
      </c>
      <c r="E12" s="10" t="inlineStr">
        <is>
          <t>Shopee</t>
        </is>
      </c>
      <c r="F12" s="10" t="inlineStr">
        <is>
          <t>Jabodetabek</t>
        </is>
      </c>
      <c r="G12" s="10" t="inlineStr">
        <is>
          <t>Kecantikan</t>
        </is>
      </c>
      <c r="H12" s="10" t="inlineStr">
        <is>
          <t>Masker Wajah (5s)</t>
        </is>
      </c>
      <c r="I12" s="19" t="n">
        <v>1</v>
      </c>
      <c r="J12" s="20" t="n">
        <v>55000</v>
      </c>
      <c r="K12" s="20" t="n">
        <v>55000</v>
      </c>
      <c r="L12" s="10">
        <f>IF($B12="","",TEXT($B12,"YYYY-MM"))</f>
        <v/>
      </c>
    </row>
    <row r="13">
      <c r="A13" s="10" t="inlineStr">
        <is>
          <t>INV-71044</t>
        </is>
      </c>
      <c r="B13" s="18" t="n">
        <v>45662</v>
      </c>
      <c r="C13" s="10" t="inlineStr">
        <is>
          <t>C1295</t>
        </is>
      </c>
      <c r="D13" s="10" t="inlineStr">
        <is>
          <t>regular</t>
        </is>
      </c>
      <c r="E13" s="10" t="inlineStr">
        <is>
          <t>TikTok Shop</t>
        </is>
      </c>
      <c r="F13" s="10" t="inlineStr">
        <is>
          <t>Jabodetabek</t>
        </is>
      </c>
      <c r="G13" s="10" t="inlineStr">
        <is>
          <t>Rumah Tangga</t>
        </is>
      </c>
      <c r="H13" s="10" t="inlineStr">
        <is>
          <t>Set Wadah Kedap</t>
        </is>
      </c>
      <c r="I13" s="19" t="n">
        <v>3</v>
      </c>
      <c r="J13" s="20" t="n">
        <v>135000</v>
      </c>
      <c r="K13" s="20" t="n">
        <v>405000</v>
      </c>
      <c r="L13" s="10">
        <f>IF($B13="","",TEXT($B13,"YYYY-MM"))</f>
        <v/>
      </c>
    </row>
    <row r="14">
      <c r="A14" s="10" t="inlineStr">
        <is>
          <t>INV-71133</t>
        </is>
      </c>
      <c r="B14" s="18" t="n">
        <v>45662</v>
      </c>
      <c r="C14" s="10" t="inlineStr">
        <is>
          <t>C1322</t>
        </is>
      </c>
      <c r="D14" s="10" t="inlineStr">
        <is>
          <t>loyal</t>
        </is>
      </c>
      <c r="E14" s="10" t="inlineStr">
        <is>
          <t>Shopee</t>
        </is>
      </c>
      <c r="F14" s="10" t="inlineStr">
        <is>
          <t>Jabodetabek</t>
        </is>
      </c>
      <c r="G14" s="10" t="inlineStr">
        <is>
          <t>Elektronik</t>
        </is>
      </c>
      <c r="H14" s="10" t="inlineStr">
        <is>
          <t>Power Bank 20K</t>
        </is>
      </c>
      <c r="I14" s="19" t="n">
        <v>4</v>
      </c>
      <c r="J14" s="20" t="n">
        <v>185000</v>
      </c>
      <c r="K14" s="20" t="n">
        <v>740000</v>
      </c>
      <c r="L14" s="10">
        <f>IF($B14="","",TEXT($B14,"YYYY-MM"))</f>
        <v/>
      </c>
    </row>
    <row r="15">
      <c r="A15" s="10" t="inlineStr">
        <is>
          <t>INV-70064</t>
        </is>
      </c>
      <c r="B15" s="18" t="n">
        <v>45662</v>
      </c>
      <c r="C15" s="10" t="inlineStr">
        <is>
          <t>C1018</t>
        </is>
      </c>
      <c r="D15" s="10" t="inlineStr">
        <is>
          <t>onetime</t>
        </is>
      </c>
      <c r="E15" s="10" t="inlineStr">
        <is>
          <t>Shopee</t>
        </is>
      </c>
      <c r="F15" s="10" t="inlineStr">
        <is>
          <t>Jawa Barat</t>
        </is>
      </c>
      <c r="G15" s="10" t="inlineStr">
        <is>
          <t>Elektronik</t>
        </is>
      </c>
      <c r="H15" s="10" t="inlineStr">
        <is>
          <t>Webcam HD</t>
        </is>
      </c>
      <c r="I15" s="19" t="n">
        <v>1</v>
      </c>
      <c r="J15" s="20" t="n">
        <v>210000</v>
      </c>
      <c r="K15" s="20" t="n">
        <v>210000</v>
      </c>
      <c r="L15" s="10">
        <f>IF($B15="","",TEXT($B15,"YYYY-MM"))</f>
        <v/>
      </c>
    </row>
    <row r="16">
      <c r="A16" s="10" t="inlineStr">
        <is>
          <t>INV-71079</t>
        </is>
      </c>
      <c r="B16" s="18" t="n">
        <v>45662</v>
      </c>
      <c r="C16" s="10" t="inlineStr">
        <is>
          <t>C1303</t>
        </is>
      </c>
      <c r="D16" s="10" t="inlineStr">
        <is>
          <t>onetime</t>
        </is>
      </c>
      <c r="E16" s="10" t="inlineStr">
        <is>
          <t>Shopee</t>
        </is>
      </c>
      <c r="F16" s="10" t="inlineStr">
        <is>
          <t>Sumatera</t>
        </is>
      </c>
      <c r="G16" s="10" t="inlineStr">
        <is>
          <t>Rumah Tangga</t>
        </is>
      </c>
      <c r="H16" s="10" t="inlineStr">
        <is>
          <t>Set Wadah Kedap</t>
        </is>
      </c>
      <c r="I16" s="19" t="n">
        <v>1</v>
      </c>
      <c r="J16" s="20" t="n">
        <v>135000</v>
      </c>
      <c r="K16" s="20" t="n">
        <v>135000</v>
      </c>
      <c r="L16" s="10">
        <f>IF($B16="","",TEXT($B16,"YYYY-MM"))</f>
        <v/>
      </c>
    </row>
    <row r="17">
      <c r="A17" s="10" t="inlineStr">
        <is>
          <t>INV-70870</t>
        </is>
      </c>
      <c r="B17" s="18" t="n">
        <v>45663</v>
      </c>
      <c r="C17" s="10" t="inlineStr">
        <is>
          <t>C1246</t>
        </is>
      </c>
      <c r="D17" s="10" t="inlineStr">
        <is>
          <t>champion</t>
        </is>
      </c>
      <c r="E17" s="10" t="inlineStr">
        <is>
          <t>Shopee</t>
        </is>
      </c>
      <c r="F17" s="10" t="inlineStr">
        <is>
          <t>Jawa Barat</t>
        </is>
      </c>
      <c r="G17" s="10" t="inlineStr">
        <is>
          <t>Elektronik</t>
        </is>
      </c>
      <c r="H17" s="10" t="inlineStr">
        <is>
          <t>Keyboard Mekanik</t>
        </is>
      </c>
      <c r="I17" s="19" t="n">
        <v>2</v>
      </c>
      <c r="J17" s="20" t="n">
        <v>380000</v>
      </c>
      <c r="K17" s="20" t="n">
        <v>760000</v>
      </c>
      <c r="L17" s="10">
        <f>IF($B17="","",TEXT($B17,"YYYY-MM"))</f>
        <v/>
      </c>
    </row>
    <row r="18">
      <c r="A18" s="10" t="inlineStr">
        <is>
          <t>INV-70468</t>
        </is>
      </c>
      <c r="B18" s="18" t="n">
        <v>45664</v>
      </c>
      <c r="C18" s="10" t="inlineStr">
        <is>
          <t>C1133</t>
        </is>
      </c>
      <c r="D18" s="10" t="inlineStr">
        <is>
          <t>regular</t>
        </is>
      </c>
      <c r="E18" s="10" t="inlineStr">
        <is>
          <t>Tokopedia</t>
        </is>
      </c>
      <c r="F18" s="10" t="inlineStr">
        <is>
          <t>Lainnya</t>
        </is>
      </c>
      <c r="G18" s="10" t="inlineStr">
        <is>
          <t>Makanan</t>
        </is>
      </c>
      <c r="H18" s="10" t="inlineStr">
        <is>
          <t>Granola 500g</t>
        </is>
      </c>
      <c r="I18" s="19" t="n">
        <v>3</v>
      </c>
      <c r="J18" s="20" t="n">
        <v>92000</v>
      </c>
      <c r="K18" s="20" t="n">
        <v>276000</v>
      </c>
      <c r="L18" s="10">
        <f>IF($B18="","",TEXT($B18,"YYYY-MM"))</f>
        <v/>
      </c>
    </row>
    <row r="19">
      <c r="A19" s="10" t="inlineStr">
        <is>
          <t>INV-70058</t>
        </is>
      </c>
      <c r="B19" s="18" t="n">
        <v>45665</v>
      </c>
      <c r="C19" s="10" t="inlineStr">
        <is>
          <t>C1016</t>
        </is>
      </c>
      <c r="D19" s="10" t="inlineStr">
        <is>
          <t>regular</t>
        </is>
      </c>
      <c r="E19" s="10" t="inlineStr">
        <is>
          <t>Shopee</t>
        </is>
      </c>
      <c r="F19" s="10" t="inlineStr">
        <is>
          <t>Jabodetabek</t>
        </is>
      </c>
      <c r="G19" s="10" t="inlineStr">
        <is>
          <t>Kecantikan</t>
        </is>
      </c>
      <c r="H19" s="10" t="inlineStr">
        <is>
          <t>Masker Wajah (5s)</t>
        </is>
      </c>
      <c r="I19" s="19" t="n">
        <v>1</v>
      </c>
      <c r="J19" s="20" t="n">
        <v>55000</v>
      </c>
      <c r="K19" s="20" t="n">
        <v>55000</v>
      </c>
      <c r="L19" s="10">
        <f>IF($B19="","",TEXT($B19,"YYYY-MM"))</f>
        <v/>
      </c>
    </row>
    <row r="20">
      <c r="A20" s="10" t="inlineStr">
        <is>
          <t>INV-70961</t>
        </is>
      </c>
      <c r="B20" s="18" t="n">
        <v>45665</v>
      </c>
      <c r="C20" s="10" t="inlineStr">
        <is>
          <t>C1273</t>
        </is>
      </c>
      <c r="D20" s="10" t="inlineStr">
        <is>
          <t>loyal</t>
        </is>
      </c>
      <c r="E20" s="10" t="inlineStr">
        <is>
          <t>TikTok Shop</t>
        </is>
      </c>
      <c r="F20" s="10" t="inlineStr">
        <is>
          <t>Jabodetabek</t>
        </is>
      </c>
      <c r="G20" s="10" t="inlineStr">
        <is>
          <t>Rumah Tangga</t>
        </is>
      </c>
      <c r="H20" s="10" t="inlineStr">
        <is>
          <t>Set Wadah Kedap</t>
        </is>
      </c>
      <c r="I20" s="19" t="n">
        <v>1</v>
      </c>
      <c r="J20" s="20" t="n">
        <v>135000</v>
      </c>
      <c r="K20" s="20" t="n">
        <v>135000</v>
      </c>
      <c r="L20" s="10">
        <f>IF($B20="","",TEXT($B20,"YYYY-MM"))</f>
        <v/>
      </c>
    </row>
    <row r="21">
      <c r="A21" s="10" t="inlineStr">
        <is>
          <t>INV-70512</t>
        </is>
      </c>
      <c r="B21" s="18" t="n">
        <v>45665</v>
      </c>
      <c r="C21" s="10" t="inlineStr">
        <is>
          <t>C1142</t>
        </is>
      </c>
      <c r="D21" s="10" t="inlineStr">
        <is>
          <t>champion</t>
        </is>
      </c>
      <c r="E21" s="10" t="inlineStr">
        <is>
          <t>Offline Store</t>
        </is>
      </c>
      <c r="F21" s="10" t="inlineStr">
        <is>
          <t>Lainnya</t>
        </is>
      </c>
      <c r="G21" s="10" t="inlineStr">
        <is>
          <t>Rumah Tangga</t>
        </is>
      </c>
      <c r="H21" s="10" t="inlineStr">
        <is>
          <t>Set Wadah Kedap</t>
        </is>
      </c>
      <c r="I21" s="19" t="n">
        <v>2</v>
      </c>
      <c r="J21" s="20" t="n">
        <v>135000</v>
      </c>
      <c r="K21" s="20" t="n">
        <v>270000</v>
      </c>
      <c r="L21" s="10">
        <f>IF($B21="","",TEXT($B21,"YYYY-MM"))</f>
        <v/>
      </c>
    </row>
    <row r="22">
      <c r="A22" s="10" t="inlineStr">
        <is>
          <t>INV-71257</t>
        </is>
      </c>
      <c r="B22" s="18" t="n">
        <v>45665</v>
      </c>
      <c r="C22" s="10" t="inlineStr">
        <is>
          <t>C1354</t>
        </is>
      </c>
      <c r="D22" s="10" t="inlineStr">
        <is>
          <t>onetime</t>
        </is>
      </c>
      <c r="E22" s="10" t="inlineStr">
        <is>
          <t>Shopee</t>
        </is>
      </c>
      <c r="F22" s="10" t="inlineStr">
        <is>
          <t>Sumatera</t>
        </is>
      </c>
      <c r="G22" s="10" t="inlineStr">
        <is>
          <t>Rumah Tangga</t>
        </is>
      </c>
      <c r="H22" s="10" t="inlineStr">
        <is>
          <t>Set Wadah Kedap</t>
        </is>
      </c>
      <c r="I22" s="19" t="n">
        <v>1</v>
      </c>
      <c r="J22" s="20" t="n">
        <v>135000</v>
      </c>
      <c r="K22" s="20" t="n">
        <v>135000</v>
      </c>
      <c r="L22" s="10">
        <f>IF($B22="","",TEXT($B22,"YYYY-MM"))</f>
        <v/>
      </c>
    </row>
    <row r="23">
      <c r="A23" s="10" t="inlineStr">
        <is>
          <t>INV-70734</t>
        </is>
      </c>
      <c r="B23" s="18" t="n">
        <v>45666</v>
      </c>
      <c r="C23" s="10" t="inlineStr">
        <is>
          <t>C1207</t>
        </is>
      </c>
      <c r="D23" s="10" t="inlineStr">
        <is>
          <t>loyal</t>
        </is>
      </c>
      <c r="E23" s="10" t="inlineStr">
        <is>
          <t>Offline Store</t>
        </is>
      </c>
      <c r="F23" s="10" t="inlineStr">
        <is>
          <t>Jabodetabek</t>
        </is>
      </c>
      <c r="G23" s="10" t="inlineStr">
        <is>
          <t>Rumah Tangga</t>
        </is>
      </c>
      <c r="H23" s="10" t="inlineStr">
        <is>
          <t>Organizer Laci</t>
        </is>
      </c>
      <c r="I23" s="19" t="n">
        <v>2</v>
      </c>
      <c r="J23" s="20" t="n">
        <v>78000</v>
      </c>
      <c r="K23" s="20" t="n">
        <v>156000</v>
      </c>
      <c r="L23" s="10">
        <f>IF($B23="","",TEXT($B23,"YYYY-MM"))</f>
        <v/>
      </c>
    </row>
    <row r="24">
      <c r="A24" s="10" t="inlineStr">
        <is>
          <t>INV-71073</t>
        </is>
      </c>
      <c r="B24" s="18" t="n">
        <v>45666</v>
      </c>
      <c r="C24" s="10" t="inlineStr">
        <is>
          <t>C1302</t>
        </is>
      </c>
      <c r="D24" s="10" t="inlineStr">
        <is>
          <t>champion</t>
        </is>
      </c>
      <c r="E24" s="10" t="inlineStr">
        <is>
          <t>Tokopedia</t>
        </is>
      </c>
      <c r="F24" s="10" t="inlineStr">
        <is>
          <t>Lainnya</t>
        </is>
      </c>
      <c r="G24" s="10" t="inlineStr">
        <is>
          <t>Rumah Tangga</t>
        </is>
      </c>
      <c r="H24" s="10" t="inlineStr">
        <is>
          <t>Organizer Laci</t>
        </is>
      </c>
      <c r="I24" s="19" t="n">
        <v>1</v>
      </c>
      <c r="J24" s="20" t="n">
        <v>78000</v>
      </c>
      <c r="K24" s="20" t="n">
        <v>78000</v>
      </c>
      <c r="L24" s="10">
        <f>IF($B24="","",TEXT($B24,"YYYY-MM"))</f>
        <v/>
      </c>
    </row>
    <row r="25">
      <c r="A25" s="10" t="inlineStr">
        <is>
          <t>INV-71367</t>
        </is>
      </c>
      <c r="B25" s="18" t="n">
        <v>45666</v>
      </c>
      <c r="C25" s="10" t="inlineStr">
        <is>
          <t>C1377</t>
        </is>
      </c>
      <c r="D25" s="10" t="inlineStr">
        <is>
          <t>champion</t>
        </is>
      </c>
      <c r="E25" s="10" t="inlineStr">
        <is>
          <t>Tokopedia</t>
        </is>
      </c>
      <c r="F25" s="10" t="inlineStr">
        <is>
          <t>Jabodetabek</t>
        </is>
      </c>
      <c r="G25" s="10" t="inlineStr">
        <is>
          <t>Rumah Tangga</t>
        </is>
      </c>
      <c r="H25" s="10" t="inlineStr">
        <is>
          <t>Set Wadah Kedap</t>
        </is>
      </c>
      <c r="I25" s="19" t="n">
        <v>4</v>
      </c>
      <c r="J25" s="20" t="n">
        <v>135000</v>
      </c>
      <c r="K25" s="20" t="n">
        <v>540000</v>
      </c>
      <c r="L25" s="10">
        <f>IF($B25="","",TEXT($B25,"YYYY-MM"))</f>
        <v/>
      </c>
    </row>
    <row r="26">
      <c r="A26" s="10" t="inlineStr">
        <is>
          <t>INV-71120</t>
        </is>
      </c>
      <c r="B26" s="18" t="n">
        <v>45666</v>
      </c>
      <c r="C26" s="10" t="inlineStr">
        <is>
          <t>C1313</t>
        </is>
      </c>
      <c r="D26" s="10" t="inlineStr">
        <is>
          <t>regular</t>
        </is>
      </c>
      <c r="E26" s="10" t="inlineStr">
        <is>
          <t>Tokopedia</t>
        </is>
      </c>
      <c r="F26" s="10" t="inlineStr">
        <is>
          <t>Jabodetabek</t>
        </is>
      </c>
      <c r="G26" s="10" t="inlineStr">
        <is>
          <t>Rumah Tangga</t>
        </is>
      </c>
      <c r="H26" s="10" t="inlineStr">
        <is>
          <t>Set Wadah Kedap</t>
        </is>
      </c>
      <c r="I26" s="19" t="n">
        <v>1</v>
      </c>
      <c r="J26" s="20" t="n">
        <v>135000</v>
      </c>
      <c r="K26" s="20" t="n">
        <v>135000</v>
      </c>
      <c r="L26" s="10">
        <f>IF($B26="","",TEXT($B26,"YYYY-MM"))</f>
        <v/>
      </c>
    </row>
    <row r="27">
      <c r="A27" s="10" t="inlineStr">
        <is>
          <t>INV-70461</t>
        </is>
      </c>
      <c r="B27" s="18" t="n">
        <v>45666</v>
      </c>
      <c r="C27" s="10" t="inlineStr">
        <is>
          <t>C1131</t>
        </is>
      </c>
      <c r="D27" s="10" t="inlineStr">
        <is>
          <t>occasional</t>
        </is>
      </c>
      <c r="E27" s="10" t="inlineStr">
        <is>
          <t>TikTok Shop</t>
        </is>
      </c>
      <c r="F27" s="10" t="inlineStr">
        <is>
          <t>Jawa Barat</t>
        </is>
      </c>
      <c r="G27" s="10" t="inlineStr">
        <is>
          <t>Rumah Tangga</t>
        </is>
      </c>
      <c r="H27" s="10" t="inlineStr">
        <is>
          <t>Set Wadah Kedap</t>
        </is>
      </c>
      <c r="I27" s="19" t="n">
        <v>2</v>
      </c>
      <c r="J27" s="20" t="n">
        <v>135000</v>
      </c>
      <c r="K27" s="20" t="n">
        <v>270000</v>
      </c>
      <c r="L27" s="10">
        <f>IF($B27="","",TEXT($B27,"YYYY-MM"))</f>
        <v/>
      </c>
    </row>
    <row r="28">
      <c r="A28" s="10" t="inlineStr">
        <is>
          <t>INV-71406</t>
        </is>
      </c>
      <c r="B28" s="18" t="n">
        <v>45666</v>
      </c>
      <c r="C28" s="10" t="inlineStr">
        <is>
          <t>C1388</t>
        </is>
      </c>
      <c r="D28" s="10" t="inlineStr">
        <is>
          <t>regular</t>
        </is>
      </c>
      <c r="E28" s="10" t="inlineStr">
        <is>
          <t>Tokopedia</t>
        </is>
      </c>
      <c r="F28" s="10" t="inlineStr">
        <is>
          <t>Jawa Timur</t>
        </is>
      </c>
      <c r="G28" s="10" t="inlineStr">
        <is>
          <t>Fashion</t>
        </is>
      </c>
      <c r="H28" s="10" t="inlineStr">
        <is>
          <t>Celana Chino</t>
        </is>
      </c>
      <c r="I28" s="19" t="n">
        <v>4</v>
      </c>
      <c r="J28" s="20" t="n">
        <v>195000</v>
      </c>
      <c r="K28" s="20" t="n">
        <v>780000</v>
      </c>
      <c r="L28" s="10">
        <f>IF($B28="","",TEXT($B28,"YYYY-MM"))</f>
        <v/>
      </c>
    </row>
    <row r="29">
      <c r="A29" s="10" t="inlineStr">
        <is>
          <t>INV-71130</t>
        </is>
      </c>
      <c r="B29" s="18" t="n">
        <v>45666</v>
      </c>
      <c r="C29" s="10" t="inlineStr">
        <is>
          <t>C1320</t>
        </is>
      </c>
      <c r="D29" s="10" t="inlineStr">
        <is>
          <t>occasional</t>
        </is>
      </c>
      <c r="E29" s="10" t="inlineStr">
        <is>
          <t>Shopee</t>
        </is>
      </c>
      <c r="F29" s="10" t="inlineStr">
        <is>
          <t>Jabodetabek</t>
        </is>
      </c>
      <c r="G29" s="10" t="inlineStr">
        <is>
          <t>Elektronik</t>
        </is>
      </c>
      <c r="H29" s="10" t="inlineStr">
        <is>
          <t>Earbuds TWS</t>
        </is>
      </c>
      <c r="I29" s="19" t="n">
        <v>1</v>
      </c>
      <c r="J29" s="20" t="n">
        <v>265000</v>
      </c>
      <c r="K29" s="20" t="n">
        <v>265000</v>
      </c>
      <c r="L29" s="10">
        <f>IF($B29="","",TEXT($B29,"YYYY-MM"))</f>
        <v/>
      </c>
    </row>
    <row r="30">
      <c r="A30" s="10" t="inlineStr">
        <is>
          <t>INV-70537</t>
        </is>
      </c>
      <c r="B30" s="18" t="n">
        <v>45667</v>
      </c>
      <c r="C30" s="10" t="inlineStr">
        <is>
          <t>C1149</t>
        </is>
      </c>
      <c r="D30" s="10" t="inlineStr">
        <is>
          <t>loyal</t>
        </is>
      </c>
      <c r="E30" s="10" t="inlineStr">
        <is>
          <t>Offline Store</t>
        </is>
      </c>
      <c r="F30" s="10" t="inlineStr">
        <is>
          <t>Jawa Barat</t>
        </is>
      </c>
      <c r="G30" s="10" t="inlineStr">
        <is>
          <t>Kecantikan</t>
        </is>
      </c>
      <c r="H30" s="10" t="inlineStr">
        <is>
          <t>Lip Tint</t>
        </is>
      </c>
      <c r="I30" s="19" t="n">
        <v>1</v>
      </c>
      <c r="J30" s="20" t="n">
        <v>65000</v>
      </c>
      <c r="K30" s="20" t="n">
        <v>65000</v>
      </c>
      <c r="L30" s="10">
        <f>IF($B30="","",TEXT($B30,"YYYY-MM"))</f>
        <v/>
      </c>
    </row>
    <row r="31">
      <c r="A31" s="10" t="inlineStr">
        <is>
          <t>INV-71364</t>
        </is>
      </c>
      <c r="B31" s="18" t="n">
        <v>45667</v>
      </c>
      <c r="C31" s="10" t="inlineStr">
        <is>
          <t>C1377</t>
        </is>
      </c>
      <c r="D31" s="10" t="inlineStr">
        <is>
          <t>champion</t>
        </is>
      </c>
      <c r="E31" s="10" t="inlineStr">
        <is>
          <t>Tokopedia</t>
        </is>
      </c>
      <c r="F31" s="10" t="inlineStr">
        <is>
          <t>Jawa Timur</t>
        </is>
      </c>
      <c r="G31" s="10" t="inlineStr">
        <is>
          <t>Rumah Tangga</t>
        </is>
      </c>
      <c r="H31" s="10" t="inlineStr">
        <is>
          <t>Set Wadah Kedap</t>
        </is>
      </c>
      <c r="I31" s="19" t="n">
        <v>1</v>
      </c>
      <c r="J31" s="20" t="n">
        <v>135000</v>
      </c>
      <c r="K31" s="20" t="n">
        <v>135000</v>
      </c>
      <c r="L31" s="10">
        <f>IF($B31="","",TEXT($B31,"YYYY-MM"))</f>
        <v/>
      </c>
    </row>
    <row r="32">
      <c r="A32" s="10" t="inlineStr">
        <is>
          <t>INV-71208</t>
        </is>
      </c>
      <c r="B32" s="18" t="n">
        <v>45667</v>
      </c>
      <c r="C32" s="10" t="inlineStr">
        <is>
          <t>C1343</t>
        </is>
      </c>
      <c r="D32" s="10" t="inlineStr">
        <is>
          <t>regular</t>
        </is>
      </c>
      <c r="E32" s="10" t="inlineStr">
        <is>
          <t>Offline Store</t>
        </is>
      </c>
      <c r="F32" s="10" t="inlineStr">
        <is>
          <t>Jawa Barat</t>
        </is>
      </c>
      <c r="G32" s="10" t="inlineStr">
        <is>
          <t>Rumah Tangga</t>
        </is>
      </c>
      <c r="H32" s="10" t="inlineStr">
        <is>
          <t>Set Wadah Kedap</t>
        </is>
      </c>
      <c r="I32" s="19" t="n">
        <v>2</v>
      </c>
      <c r="J32" s="20" t="n">
        <v>135000</v>
      </c>
      <c r="K32" s="20" t="n">
        <v>270000</v>
      </c>
      <c r="L32" s="10">
        <f>IF($B32="","",TEXT($B32,"YYYY-MM"))</f>
        <v/>
      </c>
    </row>
    <row r="33">
      <c r="A33" s="10" t="inlineStr">
        <is>
          <t>INV-70381</t>
        </is>
      </c>
      <c r="B33" s="18" t="n">
        <v>45667</v>
      </c>
      <c r="C33" s="10" t="inlineStr">
        <is>
          <t>C1110</t>
        </is>
      </c>
      <c r="D33" s="10" t="inlineStr">
        <is>
          <t>loyal</t>
        </is>
      </c>
      <c r="E33" s="10" t="inlineStr">
        <is>
          <t>Tokopedia</t>
        </is>
      </c>
      <c r="F33" s="10" t="inlineStr">
        <is>
          <t>Sumatera</t>
        </is>
      </c>
      <c r="G33" s="10" t="inlineStr">
        <is>
          <t>Rumah Tangga</t>
        </is>
      </c>
      <c r="H33" s="10" t="inlineStr">
        <is>
          <t>Set Wadah Kedap</t>
        </is>
      </c>
      <c r="I33" s="19" t="n">
        <v>1</v>
      </c>
      <c r="J33" s="20" t="n">
        <v>135000</v>
      </c>
      <c r="K33" s="20" t="n">
        <v>135000</v>
      </c>
      <c r="L33" s="10">
        <f>IF($B33="","",TEXT($B33,"YYYY-MM"))</f>
        <v/>
      </c>
    </row>
    <row r="34">
      <c r="A34" s="10" t="inlineStr">
        <is>
          <t>INV-70868</t>
        </is>
      </c>
      <c r="B34" s="18" t="n">
        <v>45667</v>
      </c>
      <c r="C34" s="10" t="inlineStr">
        <is>
          <t>C1245</t>
        </is>
      </c>
      <c r="D34" s="10" t="inlineStr">
        <is>
          <t>regular</t>
        </is>
      </c>
      <c r="E34" s="10" t="inlineStr">
        <is>
          <t>Offline Store</t>
        </is>
      </c>
      <c r="F34" s="10" t="inlineStr">
        <is>
          <t>Jabodetabek</t>
        </is>
      </c>
      <c r="G34" s="10" t="inlineStr">
        <is>
          <t>Elektronik</t>
        </is>
      </c>
      <c r="H34" s="10" t="inlineStr">
        <is>
          <t>Webcam HD</t>
        </is>
      </c>
      <c r="I34" s="19" t="n">
        <v>2</v>
      </c>
      <c r="J34" s="20" t="n">
        <v>210000</v>
      </c>
      <c r="K34" s="20" t="n">
        <v>420000</v>
      </c>
      <c r="L34" s="10">
        <f>IF($B34="","",TEXT($B34,"YYYY-MM"))</f>
        <v/>
      </c>
    </row>
    <row r="35">
      <c r="A35" s="10" t="inlineStr">
        <is>
          <t>INV-70742</t>
        </is>
      </c>
      <c r="B35" s="18" t="n">
        <v>45668</v>
      </c>
      <c r="C35" s="10" t="inlineStr">
        <is>
          <t>C1207</t>
        </is>
      </c>
      <c r="D35" s="10" t="inlineStr">
        <is>
          <t>loyal</t>
        </is>
      </c>
      <c r="E35" s="10" t="inlineStr">
        <is>
          <t>Tokopedia</t>
        </is>
      </c>
      <c r="F35" s="10" t="inlineStr">
        <is>
          <t>Jabodetabek</t>
        </is>
      </c>
      <c r="G35" s="10" t="inlineStr">
        <is>
          <t>Kecantikan</t>
        </is>
      </c>
      <c r="H35" s="10" t="inlineStr">
        <is>
          <t>Masker Wajah (5s)</t>
        </is>
      </c>
      <c r="I35" s="19" t="n">
        <v>3</v>
      </c>
      <c r="J35" s="20" t="n">
        <v>55000</v>
      </c>
      <c r="K35" s="20" t="n">
        <v>165000</v>
      </c>
      <c r="L35" s="10">
        <f>IF($B35="","",TEXT($B35,"YYYY-MM"))</f>
        <v/>
      </c>
    </row>
    <row r="36">
      <c r="A36" s="10" t="inlineStr">
        <is>
          <t>INV-71291</t>
        </is>
      </c>
      <c r="B36" s="18" t="n">
        <v>45668</v>
      </c>
      <c r="C36" s="10" t="inlineStr">
        <is>
          <t>C1359</t>
        </is>
      </c>
      <c r="D36" s="10" t="inlineStr">
        <is>
          <t>champion</t>
        </is>
      </c>
      <c r="E36" s="10" t="inlineStr">
        <is>
          <t>Shopee</t>
        </is>
      </c>
      <c r="F36" s="10" t="inlineStr">
        <is>
          <t>Jawa Barat</t>
        </is>
      </c>
      <c r="G36" s="10" t="inlineStr">
        <is>
          <t>Rumah Tangga</t>
        </is>
      </c>
      <c r="H36" s="10" t="inlineStr">
        <is>
          <t>Diffuser Aroma</t>
        </is>
      </c>
      <c r="I36" s="19" t="n">
        <v>1</v>
      </c>
      <c r="J36" s="20" t="n">
        <v>195000</v>
      </c>
      <c r="K36" s="20" t="n">
        <v>195000</v>
      </c>
      <c r="L36" s="10">
        <f>IF($B36="","",TEXT($B36,"YYYY-MM"))</f>
        <v/>
      </c>
    </row>
    <row r="37">
      <c r="A37" s="10" t="inlineStr">
        <is>
          <t>INV-71563</t>
        </is>
      </c>
      <c r="B37" s="18" t="n">
        <v>45668</v>
      </c>
      <c r="C37" s="10" t="inlineStr">
        <is>
          <t>C1429</t>
        </is>
      </c>
      <c r="D37" s="10" t="inlineStr">
        <is>
          <t>regular</t>
        </is>
      </c>
      <c r="E37" s="10" t="inlineStr">
        <is>
          <t>Shopee</t>
        </is>
      </c>
      <c r="F37" s="10" t="inlineStr">
        <is>
          <t>Jawa Barat</t>
        </is>
      </c>
      <c r="G37" s="10" t="inlineStr">
        <is>
          <t>Rumah Tangga</t>
        </is>
      </c>
      <c r="H37" s="10" t="inlineStr">
        <is>
          <t>Set Wadah Kedap</t>
        </is>
      </c>
      <c r="I37" s="19" t="n">
        <v>2</v>
      </c>
      <c r="J37" s="20" t="n">
        <v>135000</v>
      </c>
      <c r="K37" s="20" t="n">
        <v>270000</v>
      </c>
      <c r="L37" s="10">
        <f>IF($B37="","",TEXT($B37,"YYYY-MM"))</f>
        <v/>
      </c>
    </row>
    <row r="38">
      <c r="A38" s="10" t="inlineStr">
        <is>
          <t>INV-70030</t>
        </is>
      </c>
      <c r="B38" s="18" t="n">
        <v>45668</v>
      </c>
      <c r="C38" s="10" t="inlineStr">
        <is>
          <t>C1006</t>
        </is>
      </c>
      <c r="D38" s="10" t="inlineStr">
        <is>
          <t>regular</t>
        </is>
      </c>
      <c r="E38" s="10" t="inlineStr">
        <is>
          <t>Shopee</t>
        </is>
      </c>
      <c r="F38" s="10" t="inlineStr">
        <is>
          <t>Jawa Tengah</t>
        </is>
      </c>
      <c r="G38" s="10" t="inlineStr">
        <is>
          <t>Rumah Tangga</t>
        </is>
      </c>
      <c r="H38" s="10" t="inlineStr">
        <is>
          <t>Set Wadah Kedap</t>
        </is>
      </c>
      <c r="I38" s="19" t="n">
        <v>4</v>
      </c>
      <c r="J38" s="20" t="n">
        <v>135000</v>
      </c>
      <c r="K38" s="20" t="n">
        <v>540000</v>
      </c>
      <c r="L38" s="10">
        <f>IF($B38="","",TEXT($B38,"YYYY-MM"))</f>
        <v/>
      </c>
    </row>
    <row r="39">
      <c r="A39" s="10" t="inlineStr">
        <is>
          <t>INV-71115</t>
        </is>
      </c>
      <c r="B39" s="18" t="n">
        <v>45669</v>
      </c>
      <c r="C39" s="10" t="inlineStr">
        <is>
          <t>C1312</t>
        </is>
      </c>
      <c r="D39" s="10" t="inlineStr">
        <is>
          <t>champion</t>
        </is>
      </c>
      <c r="E39" s="10" t="inlineStr">
        <is>
          <t>Shopee</t>
        </is>
      </c>
      <c r="F39" s="10" t="inlineStr">
        <is>
          <t>Jawa Tengah</t>
        </is>
      </c>
      <c r="G39" s="10" t="inlineStr">
        <is>
          <t>Makanan</t>
        </is>
      </c>
      <c r="H39" s="10" t="inlineStr">
        <is>
          <t>Granola 500g</t>
        </is>
      </c>
      <c r="I39" s="19" t="n">
        <v>2</v>
      </c>
      <c r="J39" s="20" t="n">
        <v>92000</v>
      </c>
      <c r="K39" s="20" t="n">
        <v>184000</v>
      </c>
      <c r="L39" s="10">
        <f>IF($B39="","",TEXT($B39,"YYYY-MM"))</f>
        <v/>
      </c>
    </row>
    <row r="40">
      <c r="A40" s="10" t="inlineStr">
        <is>
          <t>INV-71492</t>
        </is>
      </c>
      <c r="B40" s="18" t="n">
        <v>45669</v>
      </c>
      <c r="C40" s="10" t="inlineStr">
        <is>
          <t>C1411</t>
        </is>
      </c>
      <c r="D40" s="10" t="inlineStr">
        <is>
          <t>regular</t>
        </is>
      </c>
      <c r="E40" s="10" t="inlineStr">
        <is>
          <t>Shopee</t>
        </is>
      </c>
      <c r="F40" s="10" t="inlineStr">
        <is>
          <t>Jawa Barat</t>
        </is>
      </c>
      <c r="G40" s="10" t="inlineStr">
        <is>
          <t>Rumah Tangga</t>
        </is>
      </c>
      <c r="H40" s="10" t="inlineStr">
        <is>
          <t>Set Wadah Kedap</t>
        </is>
      </c>
      <c r="I40" s="19" t="n">
        <v>1</v>
      </c>
      <c r="J40" s="20" t="n">
        <v>135000</v>
      </c>
      <c r="K40" s="20" t="n">
        <v>135000</v>
      </c>
      <c r="L40" s="10">
        <f>IF($B40="","",TEXT($B40,"YYYY-MM"))</f>
        <v/>
      </c>
    </row>
    <row r="41">
      <c r="A41" s="10" t="inlineStr">
        <is>
          <t>INV-71147</t>
        </is>
      </c>
      <c r="B41" s="18" t="n">
        <v>45670</v>
      </c>
      <c r="C41" s="10" t="inlineStr">
        <is>
          <t>C1325</t>
        </is>
      </c>
      <c r="D41" s="10" t="inlineStr">
        <is>
          <t>regular</t>
        </is>
      </c>
      <c r="E41" s="10" t="inlineStr">
        <is>
          <t>Tokopedia</t>
        </is>
      </c>
      <c r="F41" s="10" t="inlineStr">
        <is>
          <t>Jawa Tengah</t>
        </is>
      </c>
      <c r="G41" s="10" t="inlineStr">
        <is>
          <t>Kecantikan</t>
        </is>
      </c>
      <c r="H41" s="10" t="inlineStr">
        <is>
          <t>Masker Wajah (5s)</t>
        </is>
      </c>
      <c r="I41" s="19" t="n">
        <v>1</v>
      </c>
      <c r="J41" s="20" t="n">
        <v>55000</v>
      </c>
      <c r="K41" s="20" t="n">
        <v>55000</v>
      </c>
      <c r="L41" s="10">
        <f>IF($B41="","",TEXT($B41,"YYYY-MM"))</f>
        <v/>
      </c>
    </row>
    <row r="42">
      <c r="A42" s="10" t="inlineStr">
        <is>
          <t>INV-70405</t>
        </is>
      </c>
      <c r="B42" s="18" t="n">
        <v>45670</v>
      </c>
      <c r="C42" s="10" t="inlineStr">
        <is>
          <t>C1112</t>
        </is>
      </c>
      <c r="D42" s="10" t="inlineStr">
        <is>
          <t>loyal</t>
        </is>
      </c>
      <c r="E42" s="10" t="inlineStr">
        <is>
          <t>Tokopedia</t>
        </is>
      </c>
      <c r="F42" s="10" t="inlineStr">
        <is>
          <t>Jabodetabek</t>
        </is>
      </c>
      <c r="G42" s="10" t="inlineStr">
        <is>
          <t>Elektronik</t>
        </is>
      </c>
      <c r="H42" s="10" t="inlineStr">
        <is>
          <t>Power Bank 20K</t>
        </is>
      </c>
      <c r="I42" s="19" t="n">
        <v>1</v>
      </c>
      <c r="J42" s="20" t="n">
        <v>185000</v>
      </c>
      <c r="K42" s="20" t="n">
        <v>185000</v>
      </c>
      <c r="L42" s="10">
        <f>IF($B42="","",TEXT($B42,"YYYY-MM"))</f>
        <v/>
      </c>
    </row>
    <row r="43">
      <c r="A43" s="10" t="inlineStr">
        <is>
          <t>INV-71544</t>
        </is>
      </c>
      <c r="B43" s="18" t="n">
        <v>45671</v>
      </c>
      <c r="C43" s="10" t="inlineStr">
        <is>
          <t>C1425</t>
        </is>
      </c>
      <c r="D43" s="10" t="inlineStr">
        <is>
          <t>loyal</t>
        </is>
      </c>
      <c r="E43" s="10" t="inlineStr">
        <is>
          <t>Shopee</t>
        </is>
      </c>
      <c r="F43" s="10" t="inlineStr">
        <is>
          <t>Jawa Tengah</t>
        </is>
      </c>
      <c r="G43" s="10" t="inlineStr">
        <is>
          <t>Rumah Tangga</t>
        </is>
      </c>
      <c r="H43" s="10" t="inlineStr">
        <is>
          <t>Set Wadah Kedap</t>
        </is>
      </c>
      <c r="I43" s="19" t="n">
        <v>2</v>
      </c>
      <c r="J43" s="20" t="n">
        <v>135000</v>
      </c>
      <c r="K43" s="20" t="n">
        <v>270000</v>
      </c>
      <c r="L43" s="10">
        <f>IF($B43="","",TEXT($B43,"YYYY-MM"))</f>
        <v/>
      </c>
    </row>
    <row r="44">
      <c r="A44" s="10" t="inlineStr">
        <is>
          <t>INV-70181</t>
        </is>
      </c>
      <c r="B44" s="18" t="n">
        <v>45671</v>
      </c>
      <c r="C44" s="10" t="inlineStr">
        <is>
          <t>C1051</t>
        </is>
      </c>
      <c r="D44" s="10" t="inlineStr">
        <is>
          <t>onetime</t>
        </is>
      </c>
      <c r="E44" s="10" t="inlineStr">
        <is>
          <t>Offline Store</t>
        </is>
      </c>
      <c r="F44" s="10" t="inlineStr">
        <is>
          <t>Jabodetabek</t>
        </is>
      </c>
      <c r="G44" s="10" t="inlineStr">
        <is>
          <t>Rumah Tangga</t>
        </is>
      </c>
      <c r="H44" s="10" t="inlineStr">
        <is>
          <t>Lampu Meja LED</t>
        </is>
      </c>
      <c r="I44" s="19" t="n">
        <v>2</v>
      </c>
      <c r="J44" s="20" t="n">
        <v>165000</v>
      </c>
      <c r="K44" s="20" t="n">
        <v>330000</v>
      </c>
      <c r="L44" s="10">
        <f>IF($B44="","",TEXT($B44,"YYYY-MM"))</f>
        <v/>
      </c>
    </row>
    <row r="45">
      <c r="A45" s="10" t="inlineStr">
        <is>
          <t>INV-70128</t>
        </is>
      </c>
      <c r="B45" s="18" t="n">
        <v>45672</v>
      </c>
      <c r="C45" s="10" t="inlineStr">
        <is>
          <t>C1038</t>
        </is>
      </c>
      <c r="D45" s="10" t="inlineStr">
        <is>
          <t>champion</t>
        </is>
      </c>
      <c r="E45" s="10" t="inlineStr">
        <is>
          <t>Shopee</t>
        </is>
      </c>
      <c r="F45" s="10" t="inlineStr">
        <is>
          <t>Jawa Barat</t>
        </is>
      </c>
      <c r="G45" s="10" t="inlineStr">
        <is>
          <t>Elektronik</t>
        </is>
      </c>
      <c r="H45" s="10" t="inlineStr">
        <is>
          <t>Keyboard Mekanik</t>
        </is>
      </c>
      <c r="I45" s="19" t="n">
        <v>2</v>
      </c>
      <c r="J45" s="20" t="n">
        <v>380000</v>
      </c>
      <c r="K45" s="20" t="n">
        <v>760000</v>
      </c>
      <c r="L45" s="10">
        <f>IF($B45="","",TEXT($B45,"YYYY-MM"))</f>
        <v/>
      </c>
    </row>
    <row r="46">
      <c r="A46" s="10" t="inlineStr">
        <is>
          <t>INV-70416</t>
        </is>
      </c>
      <c r="B46" s="18" t="n">
        <v>45672</v>
      </c>
      <c r="C46" s="10" t="inlineStr">
        <is>
          <t>C1116</t>
        </is>
      </c>
      <c r="D46" s="10" t="inlineStr">
        <is>
          <t>regular</t>
        </is>
      </c>
      <c r="E46" s="10" t="inlineStr">
        <is>
          <t>Shopee</t>
        </is>
      </c>
      <c r="F46" s="10" t="inlineStr">
        <is>
          <t>Jabodetabek</t>
        </is>
      </c>
      <c r="G46" s="10" t="inlineStr">
        <is>
          <t>Rumah Tangga</t>
        </is>
      </c>
      <c r="H46" s="10" t="inlineStr">
        <is>
          <t>Organizer Laci</t>
        </is>
      </c>
      <c r="I46" s="19" t="n">
        <v>4</v>
      </c>
      <c r="J46" s="20" t="n">
        <v>78000</v>
      </c>
      <c r="K46" s="20" t="n">
        <v>312000</v>
      </c>
      <c r="L46" s="10">
        <f>IF($B46="","",TEXT($B46,"YYYY-MM"))</f>
        <v/>
      </c>
    </row>
    <row r="47">
      <c r="A47" s="10" t="inlineStr">
        <is>
          <t>INV-71126</t>
        </is>
      </c>
      <c r="B47" s="18" t="n">
        <v>45672</v>
      </c>
      <c r="C47" s="10" t="inlineStr">
        <is>
          <t>C1317</t>
        </is>
      </c>
      <c r="D47" s="10" t="inlineStr">
        <is>
          <t>onetime</t>
        </is>
      </c>
      <c r="E47" s="10" t="inlineStr">
        <is>
          <t>Offline Store</t>
        </is>
      </c>
      <c r="F47" s="10" t="inlineStr">
        <is>
          <t>Jawa Barat</t>
        </is>
      </c>
      <c r="G47" s="10" t="inlineStr">
        <is>
          <t>Rumah Tangga</t>
        </is>
      </c>
      <c r="H47" s="10" t="inlineStr">
        <is>
          <t>Set Wadah Kedap</t>
        </is>
      </c>
      <c r="I47" s="19" t="n">
        <v>2</v>
      </c>
      <c r="J47" s="20" t="n">
        <v>135000</v>
      </c>
      <c r="K47" s="20" t="n">
        <v>270000</v>
      </c>
      <c r="L47" s="10">
        <f>IF($B47="","",TEXT($B47,"YYYY-MM"))</f>
        <v/>
      </c>
    </row>
    <row r="48">
      <c r="A48" s="10" t="inlineStr">
        <is>
          <t>INV-70822</t>
        </is>
      </c>
      <c r="B48" s="18" t="n">
        <v>45673</v>
      </c>
      <c r="C48" s="10" t="inlineStr">
        <is>
          <t>C1232</t>
        </is>
      </c>
      <c r="D48" s="10" t="inlineStr">
        <is>
          <t>onetime</t>
        </is>
      </c>
      <c r="E48" s="10" t="inlineStr">
        <is>
          <t>Shopee</t>
        </is>
      </c>
      <c r="F48" s="10" t="inlineStr">
        <is>
          <t>Jawa Barat</t>
        </is>
      </c>
      <c r="G48" s="10" t="inlineStr">
        <is>
          <t>Fashion</t>
        </is>
      </c>
      <c r="H48" s="10" t="inlineStr">
        <is>
          <t>Celana Chino</t>
        </is>
      </c>
      <c r="I48" s="19" t="n">
        <v>4</v>
      </c>
      <c r="J48" s="20" t="n">
        <v>195000</v>
      </c>
      <c r="K48" s="20" t="n">
        <v>780000</v>
      </c>
      <c r="L48" s="10">
        <f>IF($B48="","",TEXT($B48,"YYYY-MM"))</f>
        <v/>
      </c>
    </row>
    <row r="49">
      <c r="A49" s="10" t="inlineStr">
        <is>
          <t>INV-70562</t>
        </is>
      </c>
      <c r="B49" s="18" t="n">
        <v>45673</v>
      </c>
      <c r="C49" s="10" t="inlineStr">
        <is>
          <t>C1154</t>
        </is>
      </c>
      <c r="D49" s="10" t="inlineStr">
        <is>
          <t>occasional</t>
        </is>
      </c>
      <c r="E49" s="10" t="inlineStr">
        <is>
          <t>Tokopedia</t>
        </is>
      </c>
      <c r="F49" s="10" t="inlineStr">
        <is>
          <t>Jabodetabek</t>
        </is>
      </c>
      <c r="G49" s="10" t="inlineStr">
        <is>
          <t>Rumah Tangga</t>
        </is>
      </c>
      <c r="H49" s="10" t="inlineStr">
        <is>
          <t>Set Wadah Kedap</t>
        </is>
      </c>
      <c r="I49" s="19" t="n">
        <v>2</v>
      </c>
      <c r="J49" s="20" t="n">
        <v>135000</v>
      </c>
      <c r="K49" s="20" t="n">
        <v>270000</v>
      </c>
      <c r="L49" s="10">
        <f>IF($B49="","",TEXT($B49,"YYYY-MM"))</f>
        <v/>
      </c>
    </row>
    <row r="50">
      <c r="A50" s="10" t="inlineStr">
        <is>
          <t>INV-70380</t>
        </is>
      </c>
      <c r="B50" s="18" t="n">
        <v>45673</v>
      </c>
      <c r="C50" s="10" t="inlineStr">
        <is>
          <t>C1110</t>
        </is>
      </c>
      <c r="D50" s="10" t="inlineStr">
        <is>
          <t>loyal</t>
        </is>
      </c>
      <c r="E50" s="10" t="inlineStr">
        <is>
          <t>Tokopedia</t>
        </is>
      </c>
      <c r="F50" s="10" t="inlineStr">
        <is>
          <t>Sumatera</t>
        </is>
      </c>
      <c r="G50" s="10" t="inlineStr">
        <is>
          <t>Rumah Tangga</t>
        </is>
      </c>
      <c r="H50" s="10" t="inlineStr">
        <is>
          <t>Diffuser Aroma</t>
        </is>
      </c>
      <c r="I50" s="19" t="n">
        <v>1</v>
      </c>
      <c r="J50" s="20" t="n">
        <v>195000</v>
      </c>
      <c r="K50" s="20" t="n">
        <v>195000</v>
      </c>
      <c r="L50" s="10">
        <f>IF($B50="","",TEXT($B50,"YYYY-MM"))</f>
        <v/>
      </c>
    </row>
    <row r="51">
      <c r="A51" s="10" t="inlineStr">
        <is>
          <t>INV-71378</t>
        </is>
      </c>
      <c r="B51" s="18" t="n">
        <v>45673</v>
      </c>
      <c r="C51" s="10" t="inlineStr">
        <is>
          <t>C1381</t>
        </is>
      </c>
      <c r="D51" s="10" t="inlineStr">
        <is>
          <t>regular</t>
        </is>
      </c>
      <c r="E51" s="10" t="inlineStr">
        <is>
          <t>Shopee</t>
        </is>
      </c>
      <c r="F51" s="10" t="inlineStr">
        <is>
          <t>Jabodetabek</t>
        </is>
      </c>
      <c r="G51" s="10" t="inlineStr">
        <is>
          <t>Rumah Tangga</t>
        </is>
      </c>
      <c r="H51" s="10" t="inlineStr">
        <is>
          <t>Set Wadah Kedap</t>
        </is>
      </c>
      <c r="I51" s="19" t="n">
        <v>4</v>
      </c>
      <c r="J51" s="20" t="n">
        <v>135000</v>
      </c>
      <c r="K51" s="20" t="n">
        <v>540000</v>
      </c>
      <c r="L51" s="10">
        <f>IF($B51="","",TEXT($B51,"YYYY-MM"))</f>
        <v/>
      </c>
    </row>
    <row r="52">
      <c r="A52" s="10" t="inlineStr">
        <is>
          <t>INV-70680</t>
        </is>
      </c>
      <c r="B52" s="18" t="n">
        <v>45673</v>
      </c>
      <c r="C52" s="10" t="inlineStr">
        <is>
          <t>C1186</t>
        </is>
      </c>
      <c r="D52" s="10" t="inlineStr">
        <is>
          <t>loyal</t>
        </is>
      </c>
      <c r="E52" s="10" t="inlineStr">
        <is>
          <t>Shopee</t>
        </is>
      </c>
      <c r="F52" s="10" t="inlineStr">
        <is>
          <t>Sumatera</t>
        </is>
      </c>
      <c r="G52" s="10" t="inlineStr">
        <is>
          <t>Rumah Tangga</t>
        </is>
      </c>
      <c r="H52" s="10" t="inlineStr">
        <is>
          <t>Set Wadah Kedap</t>
        </is>
      </c>
      <c r="I52" s="19" t="n">
        <v>2</v>
      </c>
      <c r="J52" s="20" t="n">
        <v>135000</v>
      </c>
      <c r="K52" s="20" t="n">
        <v>270000</v>
      </c>
      <c r="L52" s="10">
        <f>IF($B52="","",TEXT($B52,"YYYY-MM"))</f>
        <v/>
      </c>
    </row>
    <row r="53">
      <c r="A53" s="10" t="inlineStr">
        <is>
          <t>INV-70056</t>
        </is>
      </c>
      <c r="B53" s="18" t="n">
        <v>45674</v>
      </c>
      <c r="C53" s="10" t="inlineStr">
        <is>
          <t>C1016</t>
        </is>
      </c>
      <c r="D53" s="10" t="inlineStr">
        <is>
          <t>regular</t>
        </is>
      </c>
      <c r="E53" s="10" t="inlineStr">
        <is>
          <t>Shopee</t>
        </is>
      </c>
      <c r="F53" s="10" t="inlineStr">
        <is>
          <t>Jawa Timur</t>
        </is>
      </c>
      <c r="G53" s="10" t="inlineStr">
        <is>
          <t>Elektronik</t>
        </is>
      </c>
      <c r="H53" s="10" t="inlineStr">
        <is>
          <t>Smartwatch</t>
        </is>
      </c>
      <c r="I53" s="19" t="n">
        <v>1</v>
      </c>
      <c r="J53" s="20" t="n">
        <v>450000</v>
      </c>
      <c r="K53" s="20" t="n">
        <v>450000</v>
      </c>
      <c r="L53" s="10">
        <f>IF($B53="","",TEXT($B53,"YYYY-MM"))</f>
        <v/>
      </c>
    </row>
    <row r="54">
      <c r="A54" s="10" t="inlineStr">
        <is>
          <t>INV-70703</t>
        </is>
      </c>
      <c r="B54" s="18" t="n">
        <v>45675</v>
      </c>
      <c r="C54" s="10" t="inlineStr">
        <is>
          <t>C1195</t>
        </is>
      </c>
      <c r="D54" s="10" t="inlineStr">
        <is>
          <t>champion</t>
        </is>
      </c>
      <c r="E54" s="10" t="inlineStr">
        <is>
          <t>Shopee</t>
        </is>
      </c>
      <c r="F54" s="10" t="inlineStr">
        <is>
          <t>Jabodetabek</t>
        </is>
      </c>
      <c r="G54" s="10" t="inlineStr">
        <is>
          <t>Rumah Tangga</t>
        </is>
      </c>
      <c r="H54" s="10" t="inlineStr">
        <is>
          <t>Lampu Meja LED</t>
        </is>
      </c>
      <c r="I54" s="19" t="n">
        <v>1</v>
      </c>
      <c r="J54" s="20" t="n">
        <v>165000</v>
      </c>
      <c r="K54" s="20" t="n">
        <v>165000</v>
      </c>
      <c r="L54" s="10">
        <f>IF($B54="","",TEXT($B54,"YYYY-MM"))</f>
        <v/>
      </c>
    </row>
    <row r="55">
      <c r="A55" s="10" t="inlineStr">
        <is>
          <t>INV-70451</t>
        </is>
      </c>
      <c r="B55" s="18" t="n">
        <v>45676</v>
      </c>
      <c r="C55" s="10" t="inlineStr">
        <is>
          <t>C1129</t>
        </is>
      </c>
      <c r="D55" s="10" t="inlineStr">
        <is>
          <t>regular</t>
        </is>
      </c>
      <c r="E55" s="10" t="inlineStr">
        <is>
          <t>Shopee</t>
        </is>
      </c>
      <c r="F55" s="10" t="inlineStr">
        <is>
          <t>Jabodetabek</t>
        </is>
      </c>
      <c r="G55" s="10" t="inlineStr">
        <is>
          <t>Kecantikan</t>
        </is>
      </c>
      <c r="H55" s="10" t="inlineStr">
        <is>
          <t>Masker Wajah (5s)</t>
        </is>
      </c>
      <c r="I55" s="19" t="n">
        <v>1</v>
      </c>
      <c r="J55" s="20" t="n">
        <v>55000</v>
      </c>
      <c r="K55" s="20" t="n">
        <v>55000</v>
      </c>
      <c r="L55" s="10">
        <f>IF($B55="","",TEXT($B55,"YYYY-MM"))</f>
        <v/>
      </c>
    </row>
    <row r="56">
      <c r="A56" s="10" t="inlineStr">
        <is>
          <t>INV-71211</t>
        </is>
      </c>
      <c r="B56" s="18" t="n">
        <v>45676</v>
      </c>
      <c r="C56" s="10" t="inlineStr">
        <is>
          <t>C1344</t>
        </is>
      </c>
      <c r="D56" s="10" t="inlineStr">
        <is>
          <t>loyal</t>
        </is>
      </c>
      <c r="E56" s="10" t="inlineStr">
        <is>
          <t>TikTok Shop</t>
        </is>
      </c>
      <c r="F56" s="10" t="inlineStr">
        <is>
          <t>Jabodetabek</t>
        </is>
      </c>
      <c r="G56" s="10" t="inlineStr">
        <is>
          <t>Rumah Tangga</t>
        </is>
      </c>
      <c r="H56" s="10" t="inlineStr">
        <is>
          <t>Set Wadah Kedap</t>
        </is>
      </c>
      <c r="I56" s="19" t="n">
        <v>4</v>
      </c>
      <c r="J56" s="20" t="n">
        <v>135000</v>
      </c>
      <c r="K56" s="20" t="n">
        <v>540000</v>
      </c>
      <c r="L56" s="10">
        <f>IF($B56="","",TEXT($B56,"YYYY-MM"))</f>
        <v/>
      </c>
    </row>
    <row r="57">
      <c r="A57" s="10" t="inlineStr">
        <is>
          <t>INV-71217</t>
        </is>
      </c>
      <c r="B57" s="18" t="n">
        <v>45676</v>
      </c>
      <c r="C57" s="10" t="inlineStr">
        <is>
          <t>C1346</t>
        </is>
      </c>
      <c r="D57" s="10" t="inlineStr">
        <is>
          <t>regular</t>
        </is>
      </c>
      <c r="E57" s="10" t="inlineStr">
        <is>
          <t>TikTok Shop</t>
        </is>
      </c>
      <c r="F57" s="10" t="inlineStr">
        <is>
          <t>Jawa Tengah</t>
        </is>
      </c>
      <c r="G57" s="10" t="inlineStr">
        <is>
          <t>Kecantikan</t>
        </is>
      </c>
      <c r="H57" s="10" t="inlineStr">
        <is>
          <t>Masker Wajah (5s)</t>
        </is>
      </c>
      <c r="I57" s="19" t="n">
        <v>2</v>
      </c>
      <c r="J57" s="20" t="n">
        <v>55000</v>
      </c>
      <c r="K57" s="20" t="n">
        <v>110000</v>
      </c>
      <c r="L57" s="10">
        <f>IF($B57="","",TEXT($B57,"YYYY-MM"))</f>
        <v/>
      </c>
    </row>
    <row r="58">
      <c r="A58" s="10" t="inlineStr">
        <is>
          <t>INV-70514</t>
        </is>
      </c>
      <c r="B58" s="18" t="n">
        <v>45676</v>
      </c>
      <c r="C58" s="10" t="inlineStr">
        <is>
          <t>C1142</t>
        </is>
      </c>
      <c r="D58" s="10" t="inlineStr">
        <is>
          <t>champion</t>
        </is>
      </c>
      <c r="E58" s="10" t="inlineStr">
        <is>
          <t>Shopee</t>
        </is>
      </c>
      <c r="F58" s="10" t="inlineStr">
        <is>
          <t>Jabodetabek</t>
        </is>
      </c>
      <c r="G58" s="10" t="inlineStr">
        <is>
          <t>Makanan</t>
        </is>
      </c>
      <c r="H58" s="10" t="inlineStr">
        <is>
          <t>Granola 500g</t>
        </is>
      </c>
      <c r="I58" s="19" t="n">
        <v>4</v>
      </c>
      <c r="J58" s="20" t="n">
        <v>92000</v>
      </c>
      <c r="K58" s="20" t="n">
        <v>368000</v>
      </c>
      <c r="L58" s="10">
        <f>IF($B58="","",TEXT($B58,"YYYY-MM"))</f>
        <v/>
      </c>
    </row>
    <row r="59">
      <c r="A59" s="10" t="inlineStr">
        <is>
          <t>INV-71355</t>
        </is>
      </c>
      <c r="B59" s="18" t="n">
        <v>45676</v>
      </c>
      <c r="C59" s="10" t="inlineStr">
        <is>
          <t>C1374</t>
        </is>
      </c>
      <c r="D59" s="10" t="inlineStr">
        <is>
          <t>onetime</t>
        </is>
      </c>
      <c r="E59" s="10" t="inlineStr">
        <is>
          <t>TikTok Shop</t>
        </is>
      </c>
      <c r="F59" s="10" t="inlineStr">
        <is>
          <t>Jabodetabek</t>
        </is>
      </c>
      <c r="G59" s="10" t="inlineStr">
        <is>
          <t>Rumah Tangga</t>
        </is>
      </c>
      <c r="H59" s="10" t="inlineStr">
        <is>
          <t>Set Wadah Kedap</t>
        </is>
      </c>
      <c r="I59" s="19" t="n">
        <v>1</v>
      </c>
      <c r="J59" s="20" t="n">
        <v>135000</v>
      </c>
      <c r="K59" s="20" t="n">
        <v>135000</v>
      </c>
      <c r="L59" s="10">
        <f>IF($B59="","",TEXT($B59,"YYYY-MM"))</f>
        <v/>
      </c>
    </row>
    <row r="60">
      <c r="A60" s="10" t="inlineStr">
        <is>
          <t>INV-71113</t>
        </is>
      </c>
      <c r="B60" s="18" t="n">
        <v>45677</v>
      </c>
      <c r="C60" s="10" t="inlineStr">
        <is>
          <t>C1312</t>
        </is>
      </c>
      <c r="D60" s="10" t="inlineStr">
        <is>
          <t>champion</t>
        </is>
      </c>
      <c r="E60" s="10" t="inlineStr">
        <is>
          <t>TikTok Shop</t>
        </is>
      </c>
      <c r="F60" s="10" t="inlineStr">
        <is>
          <t>Jabodetabek</t>
        </is>
      </c>
      <c r="G60" s="10" t="inlineStr">
        <is>
          <t>Elektronik</t>
        </is>
      </c>
      <c r="H60" s="10" t="inlineStr">
        <is>
          <t>Power Bank 20K</t>
        </is>
      </c>
      <c r="I60" s="19" t="n">
        <v>3</v>
      </c>
      <c r="J60" s="20" t="n">
        <v>185000</v>
      </c>
      <c r="K60" s="20" t="n">
        <v>555000</v>
      </c>
      <c r="L60" s="10">
        <f>IF($B60="","",TEXT($B60,"YYYY-MM"))</f>
        <v/>
      </c>
    </row>
    <row r="61">
      <c r="A61" s="10" t="inlineStr">
        <is>
          <t>INV-70251</t>
        </is>
      </c>
      <c r="B61" s="18" t="n">
        <v>45677</v>
      </c>
      <c r="C61" s="10" t="inlineStr">
        <is>
          <t>C1072</t>
        </is>
      </c>
      <c r="D61" s="10" t="inlineStr">
        <is>
          <t>champion</t>
        </is>
      </c>
      <c r="E61" s="10" t="inlineStr">
        <is>
          <t>Shopee</t>
        </is>
      </c>
      <c r="F61" s="10" t="inlineStr">
        <is>
          <t>Jawa Barat</t>
        </is>
      </c>
      <c r="G61" s="10" t="inlineStr">
        <is>
          <t>Makanan</t>
        </is>
      </c>
      <c r="H61" s="10" t="inlineStr">
        <is>
          <t>Granola 500g</t>
        </is>
      </c>
      <c r="I61" s="19" t="n">
        <v>2</v>
      </c>
      <c r="J61" s="20" t="n">
        <v>92000</v>
      </c>
      <c r="K61" s="20" t="n">
        <v>184000</v>
      </c>
      <c r="L61" s="10">
        <f>IF($B61="","",TEXT($B61,"YYYY-MM"))</f>
        <v/>
      </c>
    </row>
    <row r="62">
      <c r="A62" s="10" t="inlineStr">
        <is>
          <t>INV-70234</t>
        </is>
      </c>
      <c r="B62" s="18" t="n">
        <v>45677</v>
      </c>
      <c r="C62" s="10" t="inlineStr">
        <is>
          <t>C1066</t>
        </is>
      </c>
      <c r="D62" s="10" t="inlineStr">
        <is>
          <t>loyal</t>
        </is>
      </c>
      <c r="E62" s="10" t="inlineStr">
        <is>
          <t>Tokopedia</t>
        </is>
      </c>
      <c r="F62" s="10" t="inlineStr">
        <is>
          <t>Jawa Tengah</t>
        </is>
      </c>
      <c r="G62" s="10" t="inlineStr">
        <is>
          <t>Makanan</t>
        </is>
      </c>
      <c r="H62" s="10" t="inlineStr">
        <is>
          <t>Granola 500g</t>
        </is>
      </c>
      <c r="I62" s="19" t="n">
        <v>2</v>
      </c>
      <c r="J62" s="20" t="n">
        <v>92000</v>
      </c>
      <c r="K62" s="20" t="n">
        <v>184000</v>
      </c>
      <c r="L62" s="10">
        <f>IF($B62="","",TEXT($B62,"YYYY-MM"))</f>
        <v/>
      </c>
    </row>
    <row r="63">
      <c r="A63" s="10" t="inlineStr">
        <is>
          <t>INV-70852</t>
        </is>
      </c>
      <c r="B63" s="18" t="n">
        <v>45678</v>
      </c>
      <c r="C63" s="10" t="inlineStr">
        <is>
          <t>C1240</t>
        </is>
      </c>
      <c r="D63" s="10" t="inlineStr">
        <is>
          <t>loyal</t>
        </is>
      </c>
      <c r="E63" s="10" t="inlineStr">
        <is>
          <t>Shopee</t>
        </is>
      </c>
      <c r="F63" s="10" t="inlineStr">
        <is>
          <t>Lainnya</t>
        </is>
      </c>
      <c r="G63" s="10" t="inlineStr">
        <is>
          <t>Fashion</t>
        </is>
      </c>
      <c r="H63" s="10" t="inlineStr">
        <is>
          <t>Celana Chino</t>
        </is>
      </c>
      <c r="I63" s="19" t="n">
        <v>3</v>
      </c>
      <c r="J63" s="20" t="n">
        <v>195000</v>
      </c>
      <c r="K63" s="20" t="n">
        <v>585000</v>
      </c>
      <c r="L63" s="10">
        <f>IF($B63="","",TEXT($B63,"YYYY-MM"))</f>
        <v/>
      </c>
    </row>
    <row r="64">
      <c r="A64" s="10" t="inlineStr">
        <is>
          <t>INV-70765</t>
        </is>
      </c>
      <c r="B64" s="18" t="n">
        <v>45678</v>
      </c>
      <c r="C64" s="10" t="inlineStr">
        <is>
          <t>C1215</t>
        </is>
      </c>
      <c r="D64" s="10" t="inlineStr">
        <is>
          <t>loyal</t>
        </is>
      </c>
      <c r="E64" s="10" t="inlineStr">
        <is>
          <t>Shopee</t>
        </is>
      </c>
      <c r="F64" s="10" t="inlineStr">
        <is>
          <t>Jabodetabek</t>
        </is>
      </c>
      <c r="G64" s="10" t="inlineStr">
        <is>
          <t>Elektronik</t>
        </is>
      </c>
      <c r="H64" s="10" t="inlineStr">
        <is>
          <t>Smartwatch</t>
        </is>
      </c>
      <c r="I64" s="19" t="n">
        <v>3</v>
      </c>
      <c r="J64" s="20" t="n">
        <v>450000</v>
      </c>
      <c r="K64" s="20" t="n">
        <v>1350000</v>
      </c>
      <c r="L64" s="10">
        <f>IF($B64="","",TEXT($B64,"YYYY-MM"))</f>
        <v/>
      </c>
    </row>
    <row r="65">
      <c r="A65" s="10" t="inlineStr">
        <is>
          <t>INV-70959</t>
        </is>
      </c>
      <c r="B65" s="18" t="n">
        <v>45678</v>
      </c>
      <c r="C65" s="10" t="inlineStr">
        <is>
          <t>C1273</t>
        </is>
      </c>
      <c r="D65" s="10" t="inlineStr">
        <is>
          <t>loyal</t>
        </is>
      </c>
      <c r="E65" s="10" t="inlineStr">
        <is>
          <t>Shopee</t>
        </is>
      </c>
      <c r="F65" s="10" t="inlineStr">
        <is>
          <t>Jabodetabek</t>
        </is>
      </c>
      <c r="G65" s="10" t="inlineStr">
        <is>
          <t>Rumah Tangga</t>
        </is>
      </c>
      <c r="H65" s="10" t="inlineStr">
        <is>
          <t>Set Wadah Kedap</t>
        </is>
      </c>
      <c r="I65" s="19" t="n">
        <v>1</v>
      </c>
      <c r="J65" s="20" t="n">
        <v>135000</v>
      </c>
      <c r="K65" s="20" t="n">
        <v>135000</v>
      </c>
      <c r="L65" s="10">
        <f>IF($B65="","",TEXT($B65,"YYYY-MM"))</f>
        <v/>
      </c>
    </row>
    <row r="66">
      <c r="A66" s="10" t="inlineStr">
        <is>
          <t>INV-71018</t>
        </is>
      </c>
      <c r="B66" s="18" t="n">
        <v>45679</v>
      </c>
      <c r="C66" s="10" t="inlineStr">
        <is>
          <t>C1290</t>
        </is>
      </c>
      <c r="D66" s="10" t="inlineStr">
        <is>
          <t>loyal</t>
        </is>
      </c>
      <c r="E66" s="10" t="inlineStr">
        <is>
          <t>Shopee</t>
        </is>
      </c>
      <c r="F66" s="10" t="inlineStr">
        <is>
          <t>Jawa Barat</t>
        </is>
      </c>
      <c r="G66" s="10" t="inlineStr">
        <is>
          <t>Makanan</t>
        </is>
      </c>
      <c r="H66" s="10" t="inlineStr">
        <is>
          <t>Granola 500g</t>
        </is>
      </c>
      <c r="I66" s="19" t="n">
        <v>1</v>
      </c>
      <c r="J66" s="20" t="n">
        <v>92000</v>
      </c>
      <c r="K66" s="20" t="n">
        <v>92000</v>
      </c>
      <c r="L66" s="10">
        <f>IF($B66="","",TEXT($B66,"YYYY-MM"))</f>
        <v/>
      </c>
    </row>
    <row r="67">
      <c r="A67" s="10" t="inlineStr">
        <is>
          <t>INV-70383</t>
        </is>
      </c>
      <c r="B67" s="18" t="n">
        <v>45679</v>
      </c>
      <c r="C67" s="10" t="inlineStr">
        <is>
          <t>C1110</t>
        </is>
      </c>
      <c r="D67" s="10" t="inlineStr">
        <is>
          <t>loyal</t>
        </is>
      </c>
      <c r="E67" s="10" t="inlineStr">
        <is>
          <t>Shopee</t>
        </is>
      </c>
      <c r="F67" s="10" t="inlineStr">
        <is>
          <t>Jabodetabek</t>
        </is>
      </c>
      <c r="G67" s="10" t="inlineStr">
        <is>
          <t>Kecantikan</t>
        </is>
      </c>
      <c r="H67" s="10" t="inlineStr">
        <is>
          <t>Masker Wajah (5s)</t>
        </is>
      </c>
      <c r="I67" s="19" t="n">
        <v>3</v>
      </c>
      <c r="J67" s="20" t="n">
        <v>55000</v>
      </c>
      <c r="K67" s="20" t="n">
        <v>165000</v>
      </c>
      <c r="L67" s="10">
        <f>IF($B67="","",TEXT($B67,"YYYY-MM"))</f>
        <v/>
      </c>
    </row>
    <row r="68">
      <c r="A68" s="10" t="inlineStr">
        <is>
          <t>INV-70629</t>
        </is>
      </c>
      <c r="B68" s="18" t="n">
        <v>45680</v>
      </c>
      <c r="C68" s="10" t="inlineStr">
        <is>
          <t>C1172</t>
        </is>
      </c>
      <c r="D68" s="10" t="inlineStr">
        <is>
          <t>onetime</t>
        </is>
      </c>
      <c r="E68" s="10" t="inlineStr">
        <is>
          <t>Shopee</t>
        </is>
      </c>
      <c r="F68" s="10" t="inlineStr">
        <is>
          <t>Jabodetabek</t>
        </is>
      </c>
      <c r="G68" s="10" t="inlineStr">
        <is>
          <t>Rumah Tangga</t>
        </is>
      </c>
      <c r="H68" s="10" t="inlineStr">
        <is>
          <t>Set Wadah Kedap</t>
        </is>
      </c>
      <c r="I68" s="19" t="n">
        <v>1</v>
      </c>
      <c r="J68" s="20" t="n">
        <v>135000</v>
      </c>
      <c r="K68" s="20" t="n">
        <v>135000</v>
      </c>
      <c r="L68" s="10">
        <f>IF($B68="","",TEXT($B68,"YYYY-MM"))</f>
        <v/>
      </c>
    </row>
    <row r="69">
      <c r="A69" s="10" t="inlineStr">
        <is>
          <t>INV-70564</t>
        </is>
      </c>
      <c r="B69" s="18" t="n">
        <v>45681</v>
      </c>
      <c r="C69" s="10" t="inlineStr">
        <is>
          <t>C1155</t>
        </is>
      </c>
      <c r="D69" s="10" t="inlineStr">
        <is>
          <t>onetime</t>
        </is>
      </c>
      <c r="E69" s="10" t="inlineStr">
        <is>
          <t>Offline Store</t>
        </is>
      </c>
      <c r="F69" s="10" t="inlineStr">
        <is>
          <t>Jabodetabek</t>
        </is>
      </c>
      <c r="G69" s="10" t="inlineStr">
        <is>
          <t>Fashion</t>
        </is>
      </c>
      <c r="H69" s="10" t="inlineStr">
        <is>
          <t>Dress Casual</t>
        </is>
      </c>
      <c r="I69" s="19" t="n">
        <v>1</v>
      </c>
      <c r="J69" s="20" t="n">
        <v>225000</v>
      </c>
      <c r="K69" s="20" t="n">
        <v>225000</v>
      </c>
      <c r="L69" s="10">
        <f>IF($B69="","",TEXT($B69,"YYYY-MM"))</f>
        <v/>
      </c>
    </row>
    <row r="70">
      <c r="A70" s="10" t="inlineStr">
        <is>
          <t>INV-70348</t>
        </is>
      </c>
      <c r="B70" s="18" t="n">
        <v>45681</v>
      </c>
      <c r="C70" s="10" t="inlineStr">
        <is>
          <t>C1094</t>
        </is>
      </c>
      <c r="D70" s="10" t="inlineStr">
        <is>
          <t>regular</t>
        </is>
      </c>
      <c r="E70" s="10" t="inlineStr">
        <is>
          <t>Offline Store</t>
        </is>
      </c>
      <c r="F70" s="10" t="inlineStr">
        <is>
          <t>Jawa Timur</t>
        </is>
      </c>
      <c r="G70" s="10" t="inlineStr">
        <is>
          <t>Fashion</t>
        </is>
      </c>
      <c r="H70" s="10" t="inlineStr">
        <is>
          <t>Celana Chino</t>
        </is>
      </c>
      <c r="I70" s="19" t="n">
        <v>2</v>
      </c>
      <c r="J70" s="20" t="n">
        <v>195000</v>
      </c>
      <c r="K70" s="20" t="n">
        <v>390000</v>
      </c>
      <c r="L70" s="10">
        <f>IF($B70="","",TEXT($B70,"YYYY-MM"))</f>
        <v/>
      </c>
    </row>
    <row r="71">
      <c r="A71" s="10" t="inlineStr">
        <is>
          <t>INV-71474</t>
        </is>
      </c>
      <c r="B71" s="18" t="n">
        <v>45682</v>
      </c>
      <c r="C71" s="10" t="inlineStr">
        <is>
          <t>C1407</t>
        </is>
      </c>
      <c r="D71" s="10" t="inlineStr">
        <is>
          <t>occasional</t>
        </is>
      </c>
      <c r="E71" s="10" t="inlineStr">
        <is>
          <t>Tokopedia</t>
        </is>
      </c>
      <c r="F71" s="10" t="inlineStr">
        <is>
          <t>Jawa Barat</t>
        </is>
      </c>
      <c r="G71" s="10" t="inlineStr">
        <is>
          <t>Rumah Tangga</t>
        </is>
      </c>
      <c r="H71" s="10" t="inlineStr">
        <is>
          <t>Set Wadah Kedap</t>
        </is>
      </c>
      <c r="I71" s="19" t="n">
        <v>1</v>
      </c>
      <c r="J71" s="20" t="n">
        <v>135000</v>
      </c>
      <c r="K71" s="20" t="n">
        <v>135000</v>
      </c>
      <c r="L71" s="10">
        <f>IF($B71="","",TEXT($B71,"YYYY-MM"))</f>
        <v/>
      </c>
    </row>
    <row r="72">
      <c r="A72" s="10" t="inlineStr">
        <is>
          <t>INV-70952</t>
        </is>
      </c>
      <c r="B72" s="18" t="n">
        <v>45682</v>
      </c>
      <c r="C72" s="10" t="inlineStr">
        <is>
          <t>C1271</t>
        </is>
      </c>
      <c r="D72" s="10" t="inlineStr">
        <is>
          <t>regular</t>
        </is>
      </c>
      <c r="E72" s="10" t="inlineStr">
        <is>
          <t>Shopee</t>
        </is>
      </c>
      <c r="F72" s="10" t="inlineStr">
        <is>
          <t>Jabodetabek</t>
        </is>
      </c>
      <c r="G72" s="10" t="inlineStr">
        <is>
          <t>Kecantikan</t>
        </is>
      </c>
      <c r="H72" s="10" t="inlineStr">
        <is>
          <t>Masker Wajah (5s)</t>
        </is>
      </c>
      <c r="I72" s="19" t="n">
        <v>2</v>
      </c>
      <c r="J72" s="20" t="n">
        <v>55000</v>
      </c>
      <c r="K72" s="20" t="n">
        <v>110000</v>
      </c>
      <c r="L72" s="10">
        <f>IF($B72="","",TEXT($B72,"YYYY-MM"))</f>
        <v/>
      </c>
    </row>
    <row r="73">
      <c r="A73" s="10" t="inlineStr">
        <is>
          <t>INV-70238</t>
        </is>
      </c>
      <c r="B73" s="18" t="n">
        <v>45682</v>
      </c>
      <c r="C73" s="10" t="inlineStr">
        <is>
          <t>C1067</t>
        </is>
      </c>
      <c r="D73" s="10" t="inlineStr">
        <is>
          <t>occasional</t>
        </is>
      </c>
      <c r="E73" s="10" t="inlineStr">
        <is>
          <t>TikTok Shop</t>
        </is>
      </c>
      <c r="F73" s="10" t="inlineStr">
        <is>
          <t>Jawa Timur</t>
        </is>
      </c>
      <c r="G73" s="10" t="inlineStr">
        <is>
          <t>Elektronik</t>
        </is>
      </c>
      <c r="H73" s="10" t="inlineStr">
        <is>
          <t>Webcam HD</t>
        </is>
      </c>
      <c r="I73" s="19" t="n">
        <v>3</v>
      </c>
      <c r="J73" s="20" t="n">
        <v>210000</v>
      </c>
      <c r="K73" s="20" t="n">
        <v>630000</v>
      </c>
      <c r="L73" s="10">
        <f>IF($B73="","",TEXT($B73,"YYYY-MM"))</f>
        <v/>
      </c>
    </row>
    <row r="74">
      <c r="A74" s="10" t="inlineStr">
        <is>
          <t>INV-70141</t>
        </is>
      </c>
      <c r="B74" s="18" t="n">
        <v>45682</v>
      </c>
      <c r="C74" s="10" t="inlineStr">
        <is>
          <t>C1040</t>
        </is>
      </c>
      <c r="D74" s="10" t="inlineStr">
        <is>
          <t>occasional</t>
        </is>
      </c>
      <c r="E74" s="10" t="inlineStr">
        <is>
          <t>Tokopedia</t>
        </is>
      </c>
      <c r="F74" s="10" t="inlineStr">
        <is>
          <t>Lainnya</t>
        </is>
      </c>
      <c r="G74" s="10" t="inlineStr">
        <is>
          <t>Fashion</t>
        </is>
      </c>
      <c r="H74" s="10" t="inlineStr">
        <is>
          <t>Celana Chino</t>
        </is>
      </c>
      <c r="I74" s="19" t="n">
        <v>1</v>
      </c>
      <c r="J74" s="20" t="n">
        <v>195000</v>
      </c>
      <c r="K74" s="20" t="n">
        <v>195000</v>
      </c>
      <c r="L74" s="10">
        <f>IF($B74="","",TEXT($B74,"YYYY-MM"))</f>
        <v/>
      </c>
    </row>
    <row r="75">
      <c r="A75" s="10" t="inlineStr">
        <is>
          <t>INV-71535</t>
        </is>
      </c>
      <c r="B75" s="18" t="n">
        <v>45682</v>
      </c>
      <c r="C75" s="10" t="inlineStr">
        <is>
          <t>C1423</t>
        </is>
      </c>
      <c r="D75" s="10" t="inlineStr">
        <is>
          <t>onetime</t>
        </is>
      </c>
      <c r="E75" s="10" t="inlineStr">
        <is>
          <t>Shopee</t>
        </is>
      </c>
      <c r="F75" s="10" t="inlineStr">
        <is>
          <t>Jawa Barat</t>
        </is>
      </c>
      <c r="G75" s="10" t="inlineStr">
        <is>
          <t>Makanan</t>
        </is>
      </c>
      <c r="H75" s="10" t="inlineStr">
        <is>
          <t>Granola 500g</t>
        </is>
      </c>
      <c r="I75" s="19" t="n">
        <v>3</v>
      </c>
      <c r="J75" s="20" t="n">
        <v>92000</v>
      </c>
      <c r="K75" s="20" t="n">
        <v>276000</v>
      </c>
      <c r="L75" s="10">
        <f>IF($B75="","",TEXT($B75,"YYYY-MM"))</f>
        <v/>
      </c>
    </row>
    <row r="76">
      <c r="A76" s="10" t="inlineStr">
        <is>
          <t>INV-71338</t>
        </is>
      </c>
      <c r="B76" s="18" t="n">
        <v>45683</v>
      </c>
      <c r="C76" s="10" t="inlineStr">
        <is>
          <t>C1369</t>
        </is>
      </c>
      <c r="D76" s="10" t="inlineStr">
        <is>
          <t>loyal</t>
        </is>
      </c>
      <c r="E76" s="10" t="inlineStr">
        <is>
          <t>Shopee</t>
        </is>
      </c>
      <c r="F76" s="10" t="inlineStr">
        <is>
          <t>Jabodetabek</t>
        </is>
      </c>
      <c r="G76" s="10" t="inlineStr">
        <is>
          <t>Makanan</t>
        </is>
      </c>
      <c r="H76" s="10" t="inlineStr">
        <is>
          <t>Madu Hutan 250ml</t>
        </is>
      </c>
      <c r="I76" s="19" t="n">
        <v>4</v>
      </c>
      <c r="J76" s="20" t="n">
        <v>110000</v>
      </c>
      <c r="K76" s="20" t="n">
        <v>440000</v>
      </c>
      <c r="L76" s="10">
        <f>IF($B76="","",TEXT($B76,"YYYY-MM"))</f>
        <v/>
      </c>
    </row>
    <row r="77">
      <c r="A77" s="10" t="inlineStr">
        <is>
          <t>INV-71098</t>
        </is>
      </c>
      <c r="B77" s="18" t="n">
        <v>45683</v>
      </c>
      <c r="C77" s="10" t="inlineStr">
        <is>
          <t>C1307</t>
        </is>
      </c>
      <c r="D77" s="10" t="inlineStr">
        <is>
          <t>onetime</t>
        </is>
      </c>
      <c r="E77" s="10" t="inlineStr">
        <is>
          <t>Shopee</t>
        </is>
      </c>
      <c r="F77" s="10" t="inlineStr">
        <is>
          <t>Jabodetabek</t>
        </is>
      </c>
      <c r="G77" s="10" t="inlineStr">
        <is>
          <t>Rumah Tangga</t>
        </is>
      </c>
      <c r="H77" s="10" t="inlineStr">
        <is>
          <t>Set Wadah Kedap</t>
        </is>
      </c>
      <c r="I77" s="19" t="n">
        <v>3</v>
      </c>
      <c r="J77" s="20" t="n">
        <v>135000</v>
      </c>
      <c r="K77" s="20" t="n">
        <v>405000</v>
      </c>
      <c r="L77" s="10">
        <f>IF($B77="","",TEXT($B77,"YYYY-MM"))</f>
        <v/>
      </c>
    </row>
    <row r="78">
      <c r="A78" s="10" t="inlineStr">
        <is>
          <t>INV-71273</t>
        </is>
      </c>
      <c r="B78" s="18" t="n">
        <v>45683</v>
      </c>
      <c r="C78" s="10" t="inlineStr">
        <is>
          <t>C1358</t>
        </is>
      </c>
      <c r="D78" s="10" t="inlineStr">
        <is>
          <t>champion</t>
        </is>
      </c>
      <c r="E78" s="10" t="inlineStr">
        <is>
          <t>Tokopedia</t>
        </is>
      </c>
      <c r="F78" s="10" t="inlineStr">
        <is>
          <t>Jabodetabek</t>
        </is>
      </c>
      <c r="G78" s="10" t="inlineStr">
        <is>
          <t>Rumah Tangga</t>
        </is>
      </c>
      <c r="H78" s="10" t="inlineStr">
        <is>
          <t>Set Wadah Kedap</t>
        </is>
      </c>
      <c r="I78" s="19" t="n">
        <v>2</v>
      </c>
      <c r="J78" s="20" t="n">
        <v>135000</v>
      </c>
      <c r="K78" s="20" t="n">
        <v>270000</v>
      </c>
      <c r="L78" s="10">
        <f>IF($B78="","",TEXT($B78,"YYYY-MM"))</f>
        <v/>
      </c>
    </row>
    <row r="79">
      <c r="A79" s="10" t="inlineStr">
        <is>
          <t>INV-70665</t>
        </is>
      </c>
      <c r="B79" s="18" t="n">
        <v>45683</v>
      </c>
      <c r="C79" s="10" t="inlineStr">
        <is>
          <t>C1182</t>
        </is>
      </c>
      <c r="D79" s="10" t="inlineStr">
        <is>
          <t>occasional</t>
        </is>
      </c>
      <c r="E79" s="10" t="inlineStr">
        <is>
          <t>Offline Store</t>
        </is>
      </c>
      <c r="F79" s="10" t="inlineStr">
        <is>
          <t>Lainnya</t>
        </is>
      </c>
      <c r="G79" s="10" t="inlineStr">
        <is>
          <t>Rumah Tangga</t>
        </is>
      </c>
      <c r="H79" s="10" t="inlineStr">
        <is>
          <t>Set Wadah Kedap</t>
        </is>
      </c>
      <c r="I79" s="19" t="n">
        <v>4</v>
      </c>
      <c r="J79" s="20" t="n">
        <v>135000</v>
      </c>
      <c r="K79" s="20" t="n">
        <v>540000</v>
      </c>
      <c r="L79" s="10">
        <f>IF($B79="","",TEXT($B79,"YYYY-MM"))</f>
        <v/>
      </c>
    </row>
    <row r="80">
      <c r="A80" s="10" t="inlineStr">
        <is>
          <t>INV-70774</t>
        </is>
      </c>
      <c r="B80" s="18" t="n">
        <v>45683</v>
      </c>
      <c r="C80" s="10" t="inlineStr">
        <is>
          <t>C1218</t>
        </is>
      </c>
      <c r="D80" s="10" t="inlineStr">
        <is>
          <t>occasional</t>
        </is>
      </c>
      <c r="E80" s="10" t="inlineStr">
        <is>
          <t>Tokopedia</t>
        </is>
      </c>
      <c r="F80" s="10" t="inlineStr">
        <is>
          <t>Jabodetabek</t>
        </is>
      </c>
      <c r="G80" s="10" t="inlineStr">
        <is>
          <t>Elektronik</t>
        </is>
      </c>
      <c r="H80" s="10" t="inlineStr">
        <is>
          <t>Earbuds TWS</t>
        </is>
      </c>
      <c r="I80" s="19" t="n">
        <v>2</v>
      </c>
      <c r="J80" s="20" t="n">
        <v>265000</v>
      </c>
      <c r="K80" s="20" t="n">
        <v>530000</v>
      </c>
      <c r="L80" s="10">
        <f>IF($B80="","",TEXT($B80,"YYYY-MM"))</f>
        <v/>
      </c>
    </row>
    <row r="81">
      <c r="A81" s="10" t="inlineStr">
        <is>
          <t>INV-70757</t>
        </is>
      </c>
      <c r="B81" s="18" t="n">
        <v>45684</v>
      </c>
      <c r="C81" s="10" t="inlineStr">
        <is>
          <t>C1212</t>
        </is>
      </c>
      <c r="D81" s="10" t="inlineStr">
        <is>
          <t>occasional</t>
        </is>
      </c>
      <c r="E81" s="10" t="inlineStr">
        <is>
          <t>Shopee</t>
        </is>
      </c>
      <c r="F81" s="10" t="inlineStr">
        <is>
          <t>Jawa Barat</t>
        </is>
      </c>
      <c r="G81" s="10" t="inlineStr">
        <is>
          <t>Rumah Tangga</t>
        </is>
      </c>
      <c r="H81" s="10" t="inlineStr">
        <is>
          <t>Diffuser Aroma</t>
        </is>
      </c>
      <c r="I81" s="19" t="n">
        <v>1</v>
      </c>
      <c r="J81" s="20" t="n">
        <v>195000</v>
      </c>
      <c r="K81" s="20" t="n">
        <v>195000</v>
      </c>
      <c r="L81" s="10">
        <f>IF($B81="","",TEXT($B81,"YYYY-MM"))</f>
        <v/>
      </c>
    </row>
    <row r="82">
      <c r="A82" s="10" t="inlineStr">
        <is>
          <t>INV-71322</t>
        </is>
      </c>
      <c r="B82" s="18" t="n">
        <v>45684</v>
      </c>
      <c r="C82" s="10" t="inlineStr">
        <is>
          <t>C1364</t>
        </is>
      </c>
      <c r="D82" s="10" t="inlineStr">
        <is>
          <t>champion</t>
        </is>
      </c>
      <c r="E82" s="10" t="inlineStr">
        <is>
          <t>Shopee</t>
        </is>
      </c>
      <c r="F82" s="10" t="inlineStr">
        <is>
          <t>Jabodetabek</t>
        </is>
      </c>
      <c r="G82" s="10" t="inlineStr">
        <is>
          <t>Rumah Tangga</t>
        </is>
      </c>
      <c r="H82" s="10" t="inlineStr">
        <is>
          <t>Set Wadah Kedap</t>
        </is>
      </c>
      <c r="I82" s="19" t="n">
        <v>2</v>
      </c>
      <c r="J82" s="20" t="n">
        <v>135000</v>
      </c>
      <c r="K82" s="20" t="n">
        <v>270000</v>
      </c>
      <c r="L82" s="10">
        <f>IF($B82="","",TEXT($B82,"YYYY-MM"))</f>
        <v/>
      </c>
    </row>
    <row r="83">
      <c r="A83" s="10" t="inlineStr">
        <is>
          <t>INV-70448</t>
        </is>
      </c>
      <c r="B83" s="18" t="n">
        <v>45684</v>
      </c>
      <c r="C83" s="10" t="inlineStr">
        <is>
          <t>C1126</t>
        </is>
      </c>
      <c r="D83" s="10" t="inlineStr">
        <is>
          <t>occasional</t>
        </is>
      </c>
      <c r="E83" s="10" t="inlineStr">
        <is>
          <t>Shopee</t>
        </is>
      </c>
      <c r="F83" s="10" t="inlineStr">
        <is>
          <t>Sumatera</t>
        </is>
      </c>
      <c r="G83" s="10" t="inlineStr">
        <is>
          <t>Rumah Tangga</t>
        </is>
      </c>
      <c r="H83" s="10" t="inlineStr">
        <is>
          <t>Set Wadah Kedap</t>
        </is>
      </c>
      <c r="I83" s="19" t="n">
        <v>1</v>
      </c>
      <c r="J83" s="20" t="n">
        <v>135000</v>
      </c>
      <c r="K83" s="20" t="n">
        <v>135000</v>
      </c>
      <c r="L83" s="10">
        <f>IF($B83="","",TEXT($B83,"YYYY-MM"))</f>
        <v/>
      </c>
    </row>
    <row r="84">
      <c r="A84" s="10" t="inlineStr">
        <is>
          <t>INV-71144</t>
        </is>
      </c>
      <c r="B84" s="18" t="n">
        <v>45689</v>
      </c>
      <c r="C84" s="10" t="inlineStr">
        <is>
          <t>C1323</t>
        </is>
      </c>
      <c r="D84" s="10" t="inlineStr">
        <is>
          <t>regular</t>
        </is>
      </c>
      <c r="E84" s="10" t="inlineStr">
        <is>
          <t>TikTok Shop</t>
        </is>
      </c>
      <c r="F84" s="10" t="inlineStr">
        <is>
          <t>Jawa Barat</t>
        </is>
      </c>
      <c r="G84" s="10" t="inlineStr">
        <is>
          <t>Rumah Tangga</t>
        </is>
      </c>
      <c r="H84" s="10" t="inlineStr">
        <is>
          <t>Set Wadah Kedap</t>
        </is>
      </c>
      <c r="I84" s="19" t="n">
        <v>3</v>
      </c>
      <c r="J84" s="20" t="n">
        <v>135000</v>
      </c>
      <c r="K84" s="20" t="n">
        <v>405000</v>
      </c>
      <c r="L84" s="10">
        <f>IF($B84="","",TEXT($B84,"YYYY-MM"))</f>
        <v/>
      </c>
    </row>
    <row r="85">
      <c r="A85" s="10" t="inlineStr">
        <is>
          <t>INV-70619</t>
        </is>
      </c>
      <c r="B85" s="18" t="n">
        <v>45689</v>
      </c>
      <c r="C85" s="10" t="inlineStr">
        <is>
          <t>C1169</t>
        </is>
      </c>
      <c r="D85" s="10" t="inlineStr">
        <is>
          <t>occasional</t>
        </is>
      </c>
      <c r="E85" s="10" t="inlineStr">
        <is>
          <t>Shopee</t>
        </is>
      </c>
      <c r="F85" s="10" t="inlineStr">
        <is>
          <t>Jabodetabek</t>
        </is>
      </c>
      <c r="G85" s="10" t="inlineStr">
        <is>
          <t>Rumah Tangga</t>
        </is>
      </c>
      <c r="H85" s="10" t="inlineStr">
        <is>
          <t>Set Wadah Kedap</t>
        </is>
      </c>
      <c r="I85" s="19" t="n">
        <v>1</v>
      </c>
      <c r="J85" s="20" t="n">
        <v>135000</v>
      </c>
      <c r="K85" s="20" t="n">
        <v>135000</v>
      </c>
      <c r="L85" s="10">
        <f>IF($B85="","",TEXT($B85,"YYYY-MM"))</f>
        <v/>
      </c>
    </row>
    <row r="86">
      <c r="A86" s="10" t="inlineStr">
        <is>
          <t>INV-70990</t>
        </is>
      </c>
      <c r="B86" s="18" t="n">
        <v>45689</v>
      </c>
      <c r="C86" s="10" t="inlineStr">
        <is>
          <t>C1285</t>
        </is>
      </c>
      <c r="D86" s="10" t="inlineStr">
        <is>
          <t>loyal</t>
        </is>
      </c>
      <c r="E86" s="10" t="inlineStr">
        <is>
          <t>Shopee</t>
        </is>
      </c>
      <c r="F86" s="10" t="inlineStr">
        <is>
          <t>Sumatera</t>
        </is>
      </c>
      <c r="G86" s="10" t="inlineStr">
        <is>
          <t>Kecantikan</t>
        </is>
      </c>
      <c r="H86" s="10" t="inlineStr">
        <is>
          <t>Masker Wajah (5s)</t>
        </is>
      </c>
      <c r="I86" s="19" t="n">
        <v>2</v>
      </c>
      <c r="J86" s="20" t="n">
        <v>55000</v>
      </c>
      <c r="K86" s="20" t="n">
        <v>110000</v>
      </c>
      <c r="L86" s="10">
        <f>IF($B86="","",TEXT($B86,"YYYY-MM"))</f>
        <v/>
      </c>
    </row>
    <row r="87">
      <c r="A87" s="10" t="inlineStr">
        <is>
          <t>INV-70838</t>
        </is>
      </c>
      <c r="B87" s="18" t="n">
        <v>45690</v>
      </c>
      <c r="C87" s="10" t="inlineStr">
        <is>
          <t>C1236</t>
        </is>
      </c>
      <c r="D87" s="10" t="inlineStr">
        <is>
          <t>onetime</t>
        </is>
      </c>
      <c r="E87" s="10" t="inlineStr">
        <is>
          <t>Shopee</t>
        </is>
      </c>
      <c r="F87" s="10" t="inlineStr">
        <is>
          <t>Jawa Tengah</t>
        </is>
      </c>
      <c r="G87" s="10" t="inlineStr">
        <is>
          <t>Rumah Tangga</t>
        </is>
      </c>
      <c r="H87" s="10" t="inlineStr">
        <is>
          <t>Set Wadah Kedap</t>
        </is>
      </c>
      <c r="I87" s="19" t="n">
        <v>1</v>
      </c>
      <c r="J87" s="20" t="n">
        <v>135000</v>
      </c>
      <c r="K87" s="20" t="n">
        <v>135000</v>
      </c>
      <c r="L87" s="10">
        <f>IF($B87="","",TEXT($B87,"YYYY-MM"))</f>
        <v/>
      </c>
    </row>
    <row r="88">
      <c r="A88" s="10" t="inlineStr">
        <is>
          <t>INV-70836</t>
        </is>
      </c>
      <c r="B88" s="18" t="n">
        <v>45690</v>
      </c>
      <c r="C88" s="10" t="inlineStr">
        <is>
          <t>C1236</t>
        </is>
      </c>
      <c r="D88" s="10" t="inlineStr">
        <is>
          <t>onetime</t>
        </is>
      </c>
      <c r="E88" s="10" t="inlineStr">
        <is>
          <t>Tokopedia</t>
        </is>
      </c>
      <c r="F88" s="10" t="inlineStr">
        <is>
          <t>Sumatera</t>
        </is>
      </c>
      <c r="G88" s="10" t="inlineStr">
        <is>
          <t>Kecantikan</t>
        </is>
      </c>
      <c r="H88" s="10" t="inlineStr">
        <is>
          <t>Masker Wajah (5s)</t>
        </is>
      </c>
      <c r="I88" s="19" t="n">
        <v>2</v>
      </c>
      <c r="J88" s="20" t="n">
        <v>55000</v>
      </c>
      <c r="K88" s="20" t="n">
        <v>110000</v>
      </c>
      <c r="L88" s="10">
        <f>IF($B88="","",TEXT($B88,"YYYY-MM"))</f>
        <v/>
      </c>
    </row>
    <row r="89">
      <c r="A89" s="10" t="inlineStr">
        <is>
          <t>INV-70178</t>
        </is>
      </c>
      <c r="B89" s="18" t="n">
        <v>45690</v>
      </c>
      <c r="C89" s="10" t="inlineStr">
        <is>
          <t>C1050</t>
        </is>
      </c>
      <c r="D89" s="10" t="inlineStr">
        <is>
          <t>regular</t>
        </is>
      </c>
      <c r="E89" s="10" t="inlineStr">
        <is>
          <t>TikTok Shop</t>
        </is>
      </c>
      <c r="F89" s="10" t="inlineStr">
        <is>
          <t>Jawa Tengah</t>
        </is>
      </c>
      <c r="G89" s="10" t="inlineStr">
        <is>
          <t>Kecantikan</t>
        </is>
      </c>
      <c r="H89" s="10" t="inlineStr">
        <is>
          <t>Masker Wajah (5s)</t>
        </is>
      </c>
      <c r="I89" s="19" t="n">
        <v>2</v>
      </c>
      <c r="J89" s="20" t="n">
        <v>55000</v>
      </c>
      <c r="K89" s="20" t="n">
        <v>110000</v>
      </c>
      <c r="L89" s="10">
        <f>IF($B89="","",TEXT($B89,"YYYY-MM"))</f>
        <v/>
      </c>
    </row>
    <row r="90">
      <c r="A90" s="10" t="inlineStr">
        <is>
          <t>INV-71275</t>
        </is>
      </c>
      <c r="B90" s="18" t="n">
        <v>45690</v>
      </c>
      <c r="C90" s="10" t="inlineStr">
        <is>
          <t>C1358</t>
        </is>
      </c>
      <c r="D90" s="10" t="inlineStr">
        <is>
          <t>champion</t>
        </is>
      </c>
      <c r="E90" s="10" t="inlineStr">
        <is>
          <t>Tokopedia</t>
        </is>
      </c>
      <c r="F90" s="10" t="inlineStr">
        <is>
          <t>Jabodetabek</t>
        </is>
      </c>
      <c r="G90" s="10" t="inlineStr">
        <is>
          <t>Rumah Tangga</t>
        </is>
      </c>
      <c r="H90" s="10" t="inlineStr">
        <is>
          <t>Set Wadah Kedap</t>
        </is>
      </c>
      <c r="I90" s="19" t="n">
        <v>1</v>
      </c>
      <c r="J90" s="20" t="n">
        <v>135000</v>
      </c>
      <c r="K90" s="20" t="n">
        <v>135000</v>
      </c>
      <c r="L90" s="10">
        <f>IF($B90="","",TEXT($B90,"YYYY-MM"))</f>
        <v/>
      </c>
    </row>
    <row r="91">
      <c r="A91" s="10" t="inlineStr">
        <is>
          <t>INV-71012</t>
        </is>
      </c>
      <c r="B91" s="18" t="n">
        <v>45690</v>
      </c>
      <c r="C91" s="10" t="inlineStr">
        <is>
          <t>C1288</t>
        </is>
      </c>
      <c r="D91" s="10" t="inlineStr">
        <is>
          <t>regular</t>
        </is>
      </c>
      <c r="E91" s="10" t="inlineStr">
        <is>
          <t>Shopee</t>
        </is>
      </c>
      <c r="F91" s="10" t="inlineStr">
        <is>
          <t>Jawa Tengah</t>
        </is>
      </c>
      <c r="G91" s="10" t="inlineStr">
        <is>
          <t>Elektronik</t>
        </is>
      </c>
      <c r="H91" s="10" t="inlineStr">
        <is>
          <t>Power Bank 20K</t>
        </is>
      </c>
      <c r="I91" s="19" t="n">
        <v>3</v>
      </c>
      <c r="J91" s="20" t="n">
        <v>185000</v>
      </c>
      <c r="K91" s="20" t="n">
        <v>555000</v>
      </c>
      <c r="L91" s="10">
        <f>IF($B91="","",TEXT($B91,"YYYY-MM"))</f>
        <v/>
      </c>
    </row>
    <row r="92">
      <c r="A92" s="10" t="inlineStr">
        <is>
          <t>INV-70422</t>
        </is>
      </c>
      <c r="B92" s="18" t="n">
        <v>45691</v>
      </c>
      <c r="C92" s="10" t="inlineStr">
        <is>
          <t>C1118</t>
        </is>
      </c>
      <c r="D92" s="10" t="inlineStr">
        <is>
          <t>onetime</t>
        </is>
      </c>
      <c r="E92" s="10" t="inlineStr">
        <is>
          <t>Offline Store</t>
        </is>
      </c>
      <c r="F92" s="10" t="inlineStr">
        <is>
          <t>Jawa Tengah</t>
        </is>
      </c>
      <c r="G92" s="10" t="inlineStr">
        <is>
          <t>Makanan</t>
        </is>
      </c>
      <c r="H92" s="10" t="inlineStr">
        <is>
          <t>Granola 500g</t>
        </is>
      </c>
      <c r="I92" s="19" t="n">
        <v>1</v>
      </c>
      <c r="J92" s="20" t="n">
        <v>92000</v>
      </c>
      <c r="K92" s="20" t="n">
        <v>92000</v>
      </c>
      <c r="L92" s="10">
        <f>IF($B92="","",TEXT($B92,"YYYY-MM"))</f>
        <v/>
      </c>
    </row>
    <row r="93">
      <c r="A93" s="10" t="inlineStr">
        <is>
          <t>INV-71210</t>
        </is>
      </c>
      <c r="B93" s="18" t="n">
        <v>45692</v>
      </c>
      <c r="C93" s="10" t="inlineStr">
        <is>
          <t>C1344</t>
        </is>
      </c>
      <c r="D93" s="10" t="inlineStr">
        <is>
          <t>loyal</t>
        </is>
      </c>
      <c r="E93" s="10" t="inlineStr">
        <is>
          <t>Shopee</t>
        </is>
      </c>
      <c r="F93" s="10" t="inlineStr">
        <is>
          <t>Jawa Barat</t>
        </is>
      </c>
      <c r="G93" s="10" t="inlineStr">
        <is>
          <t>Makanan</t>
        </is>
      </c>
      <c r="H93" s="10" t="inlineStr">
        <is>
          <t>Madu Hutan 250ml</t>
        </is>
      </c>
      <c r="I93" s="19" t="n">
        <v>3</v>
      </c>
      <c r="J93" s="20" t="n">
        <v>110000</v>
      </c>
      <c r="K93" s="20" t="n">
        <v>330000</v>
      </c>
      <c r="L93" s="10">
        <f>IF($B93="","",TEXT($B93,"YYYY-MM"))</f>
        <v/>
      </c>
    </row>
    <row r="94">
      <c r="A94" s="10" t="inlineStr">
        <is>
          <t>INV-71300</t>
        </is>
      </c>
      <c r="B94" s="18" t="n">
        <v>45693</v>
      </c>
      <c r="C94" s="10" t="inlineStr">
        <is>
          <t>C1361</t>
        </is>
      </c>
      <c r="D94" s="10" t="inlineStr">
        <is>
          <t>champion</t>
        </is>
      </c>
      <c r="E94" s="10" t="inlineStr">
        <is>
          <t>TikTok Shop</t>
        </is>
      </c>
      <c r="F94" s="10" t="inlineStr">
        <is>
          <t>Jawa Timur</t>
        </is>
      </c>
      <c r="G94" s="10" t="inlineStr">
        <is>
          <t>Fashion</t>
        </is>
      </c>
      <c r="H94" s="10" t="inlineStr">
        <is>
          <t>Kaos Premium</t>
        </is>
      </c>
      <c r="I94" s="19" t="n">
        <v>1</v>
      </c>
      <c r="J94" s="20" t="n">
        <v>95000</v>
      </c>
      <c r="K94" s="20" t="n">
        <v>95000</v>
      </c>
      <c r="L94" s="10">
        <f>IF($B94="","",TEXT($B94,"YYYY-MM"))</f>
        <v/>
      </c>
    </row>
    <row r="95">
      <c r="A95" s="10" t="inlineStr">
        <is>
          <t>INV-70443</t>
        </is>
      </c>
      <c r="B95" s="18" t="n">
        <v>45693</v>
      </c>
      <c r="C95" s="10" t="inlineStr">
        <is>
          <t>C1125</t>
        </is>
      </c>
      <c r="D95" s="10" t="inlineStr">
        <is>
          <t>regular</t>
        </is>
      </c>
      <c r="E95" s="10" t="inlineStr">
        <is>
          <t>TikTok Shop</t>
        </is>
      </c>
      <c r="F95" s="10" t="inlineStr">
        <is>
          <t>Jabodetabek</t>
        </is>
      </c>
      <c r="G95" s="10" t="inlineStr">
        <is>
          <t>Elektronik</t>
        </is>
      </c>
      <c r="H95" s="10" t="inlineStr">
        <is>
          <t>Earbuds TWS</t>
        </is>
      </c>
      <c r="I95" s="19" t="n">
        <v>4</v>
      </c>
      <c r="J95" s="20" t="n">
        <v>265000</v>
      </c>
      <c r="K95" s="20" t="n">
        <v>1060000</v>
      </c>
      <c r="L95" s="10">
        <f>IF($B95="","",TEXT($B95,"YYYY-MM"))</f>
        <v/>
      </c>
    </row>
    <row r="96">
      <c r="A96" s="10" t="inlineStr">
        <is>
          <t>INV-71156</t>
        </is>
      </c>
      <c r="B96" s="18" t="n">
        <v>45693</v>
      </c>
      <c r="C96" s="10" t="inlineStr">
        <is>
          <t>C1326</t>
        </is>
      </c>
      <c r="D96" s="10" t="inlineStr">
        <is>
          <t>loyal</t>
        </is>
      </c>
      <c r="E96" s="10" t="inlineStr">
        <is>
          <t>Tokopedia</t>
        </is>
      </c>
      <c r="F96" s="10" t="inlineStr">
        <is>
          <t>Lainnya</t>
        </is>
      </c>
      <c r="G96" s="10" t="inlineStr">
        <is>
          <t>Rumah Tangga</t>
        </is>
      </c>
      <c r="H96" s="10" t="inlineStr">
        <is>
          <t>Organizer Laci</t>
        </is>
      </c>
      <c r="I96" s="19" t="n">
        <v>2</v>
      </c>
      <c r="J96" s="20" t="n">
        <v>78000</v>
      </c>
      <c r="K96" s="20" t="n">
        <v>156000</v>
      </c>
      <c r="L96" s="10">
        <f>IF($B96="","",TEXT($B96,"YYYY-MM"))</f>
        <v/>
      </c>
    </row>
    <row r="97">
      <c r="A97" s="10" t="inlineStr">
        <is>
          <t>INV-70177</t>
        </is>
      </c>
      <c r="B97" s="18" t="n">
        <v>45693</v>
      </c>
      <c r="C97" s="10" t="inlineStr">
        <is>
          <t>C1050</t>
        </is>
      </c>
      <c r="D97" s="10" t="inlineStr">
        <is>
          <t>regular</t>
        </is>
      </c>
      <c r="E97" s="10" t="inlineStr">
        <is>
          <t>TikTok Shop</t>
        </is>
      </c>
      <c r="F97" s="10" t="inlineStr">
        <is>
          <t>Jawa Timur</t>
        </is>
      </c>
      <c r="G97" s="10" t="inlineStr">
        <is>
          <t>Elektronik</t>
        </is>
      </c>
      <c r="H97" s="10" t="inlineStr">
        <is>
          <t>Webcam HD</t>
        </is>
      </c>
      <c r="I97" s="19" t="n">
        <v>2</v>
      </c>
      <c r="J97" s="20" t="n">
        <v>210000</v>
      </c>
      <c r="K97" s="20" t="n">
        <v>420000</v>
      </c>
      <c r="L97" s="10">
        <f>IF($B97="","",TEXT($B97,"YYYY-MM"))</f>
        <v/>
      </c>
    </row>
    <row r="98">
      <c r="A98" s="10" t="inlineStr">
        <is>
          <t>INV-71456</t>
        </is>
      </c>
      <c r="B98" s="18" t="n">
        <v>45693</v>
      </c>
      <c r="C98" s="10" t="inlineStr">
        <is>
          <t>C1403</t>
        </is>
      </c>
      <c r="D98" s="10" t="inlineStr">
        <is>
          <t>regular</t>
        </is>
      </c>
      <c r="E98" s="10" t="inlineStr">
        <is>
          <t>Shopee</t>
        </is>
      </c>
      <c r="F98" s="10" t="inlineStr">
        <is>
          <t>Sumatera</t>
        </is>
      </c>
      <c r="G98" s="10" t="inlineStr">
        <is>
          <t>Makanan</t>
        </is>
      </c>
      <c r="H98" s="10" t="inlineStr">
        <is>
          <t>Keripik Sehat</t>
        </is>
      </c>
      <c r="I98" s="19" t="n">
        <v>1</v>
      </c>
      <c r="J98" s="20" t="n">
        <v>45000</v>
      </c>
      <c r="K98" s="20" t="n">
        <v>45000</v>
      </c>
      <c r="L98" s="10">
        <f>IF($B98="","",TEXT($B98,"YYYY-MM"))</f>
        <v/>
      </c>
    </row>
    <row r="99">
      <c r="A99" s="10" t="inlineStr">
        <is>
          <t>INV-70301</t>
        </is>
      </c>
      <c r="B99" s="18" t="n">
        <v>45693</v>
      </c>
      <c r="C99" s="10" t="inlineStr">
        <is>
          <t>C1085</t>
        </is>
      </c>
      <c r="D99" s="10" t="inlineStr">
        <is>
          <t>occasional</t>
        </is>
      </c>
      <c r="E99" s="10" t="inlineStr">
        <is>
          <t>Tokopedia</t>
        </is>
      </c>
      <c r="F99" s="10" t="inlineStr">
        <is>
          <t>Sumatera</t>
        </is>
      </c>
      <c r="G99" s="10" t="inlineStr">
        <is>
          <t>Makanan</t>
        </is>
      </c>
      <c r="H99" s="10" t="inlineStr">
        <is>
          <t>Granola 500g</t>
        </is>
      </c>
      <c r="I99" s="19" t="n">
        <v>3</v>
      </c>
      <c r="J99" s="20" t="n">
        <v>92000</v>
      </c>
      <c r="K99" s="20" t="n">
        <v>276000</v>
      </c>
      <c r="L99" s="10">
        <f>IF($B99="","",TEXT($B99,"YYYY-MM"))</f>
        <v/>
      </c>
    </row>
    <row r="100">
      <c r="A100" s="10" t="inlineStr">
        <is>
          <t>INV-71532</t>
        </is>
      </c>
      <c r="B100" s="18" t="n">
        <v>45694</v>
      </c>
      <c r="C100" s="10" t="inlineStr">
        <is>
          <t>C1422</t>
        </is>
      </c>
      <c r="D100" s="10" t="inlineStr">
        <is>
          <t>regular</t>
        </is>
      </c>
      <c r="E100" s="10" t="inlineStr">
        <is>
          <t>Shopee</t>
        </is>
      </c>
      <c r="F100" s="10" t="inlineStr">
        <is>
          <t>Sumatera</t>
        </is>
      </c>
      <c r="G100" s="10" t="inlineStr">
        <is>
          <t>Rumah Tangga</t>
        </is>
      </c>
      <c r="H100" s="10" t="inlineStr">
        <is>
          <t>Set Wadah Kedap</t>
        </is>
      </c>
      <c r="I100" s="19" t="n">
        <v>1</v>
      </c>
      <c r="J100" s="20" t="n">
        <v>135000</v>
      </c>
      <c r="K100" s="20" t="n">
        <v>135000</v>
      </c>
      <c r="L100" s="10">
        <f>IF($B100="","",TEXT($B100,"YYYY-MM"))</f>
        <v/>
      </c>
    </row>
    <row r="101">
      <c r="A101" s="10" t="inlineStr">
        <is>
          <t>INV-70222</t>
        </is>
      </c>
      <c r="B101" s="18" t="n">
        <v>45694</v>
      </c>
      <c r="C101" s="10" t="inlineStr">
        <is>
          <t>C1062</t>
        </is>
      </c>
      <c r="D101" s="10" t="inlineStr">
        <is>
          <t>occasional</t>
        </is>
      </c>
      <c r="E101" s="10" t="inlineStr">
        <is>
          <t>Tokopedia</t>
        </is>
      </c>
      <c r="F101" s="10" t="inlineStr">
        <is>
          <t>Jabodetabek</t>
        </is>
      </c>
      <c r="G101" s="10" t="inlineStr">
        <is>
          <t>Rumah Tangga</t>
        </is>
      </c>
      <c r="H101" s="10" t="inlineStr">
        <is>
          <t>Set Wadah Kedap</t>
        </is>
      </c>
      <c r="I101" s="19" t="n">
        <v>1</v>
      </c>
      <c r="J101" s="20" t="n">
        <v>135000</v>
      </c>
      <c r="K101" s="20" t="n">
        <v>135000</v>
      </c>
      <c r="L101" s="10">
        <f>IF($B101="","",TEXT($B101,"YYYY-MM"))</f>
        <v/>
      </c>
    </row>
    <row r="102">
      <c r="A102" s="10" t="inlineStr">
        <is>
          <t>INV-70255</t>
        </is>
      </c>
      <c r="B102" s="18" t="n">
        <v>45694</v>
      </c>
      <c r="C102" s="10" t="inlineStr">
        <is>
          <t>C1072</t>
        </is>
      </c>
      <c r="D102" s="10" t="inlineStr">
        <is>
          <t>champion</t>
        </is>
      </c>
      <c r="E102" s="10" t="inlineStr">
        <is>
          <t>Offline Store</t>
        </is>
      </c>
      <c r="F102" s="10" t="inlineStr">
        <is>
          <t>Jawa Barat</t>
        </is>
      </c>
      <c r="G102" s="10" t="inlineStr">
        <is>
          <t>Rumah Tangga</t>
        </is>
      </c>
      <c r="H102" s="10" t="inlineStr">
        <is>
          <t>Set Wadah Kedap</t>
        </is>
      </c>
      <c r="I102" s="19" t="n">
        <v>3</v>
      </c>
      <c r="J102" s="20" t="n">
        <v>135000</v>
      </c>
      <c r="K102" s="20" t="n">
        <v>405000</v>
      </c>
      <c r="L102" s="10">
        <f>IF($B102="","",TEXT($B102,"YYYY-MM"))</f>
        <v/>
      </c>
    </row>
    <row r="103">
      <c r="A103" s="10" t="inlineStr">
        <is>
          <t>INV-70059</t>
        </is>
      </c>
      <c r="B103" s="18" t="n">
        <v>45695</v>
      </c>
      <c r="C103" s="10" t="inlineStr">
        <is>
          <t>C1017</t>
        </is>
      </c>
      <c r="D103" s="10" t="inlineStr">
        <is>
          <t>loyal</t>
        </is>
      </c>
      <c r="E103" s="10" t="inlineStr">
        <is>
          <t>Shopee</t>
        </is>
      </c>
      <c r="F103" s="10" t="inlineStr">
        <is>
          <t>Jawa Barat</t>
        </is>
      </c>
      <c r="G103" s="10" t="inlineStr">
        <is>
          <t>Elektronik</t>
        </is>
      </c>
      <c r="H103" s="10" t="inlineStr">
        <is>
          <t>Smartwatch</t>
        </is>
      </c>
      <c r="I103" s="19" t="n">
        <v>2</v>
      </c>
      <c r="J103" s="20" t="n">
        <v>450000</v>
      </c>
      <c r="K103" s="20" t="n">
        <v>900000</v>
      </c>
      <c r="L103" s="10">
        <f>IF($B103="","",TEXT($B103,"YYYY-MM"))</f>
        <v/>
      </c>
    </row>
    <row r="104">
      <c r="A104" s="10" t="inlineStr">
        <is>
          <t>INV-70471</t>
        </is>
      </c>
      <c r="B104" s="18" t="n">
        <v>45695</v>
      </c>
      <c r="C104" s="10" t="inlineStr">
        <is>
          <t>C1135</t>
        </is>
      </c>
      <c r="D104" s="10" t="inlineStr">
        <is>
          <t>regular</t>
        </is>
      </c>
      <c r="E104" s="10" t="inlineStr">
        <is>
          <t>Shopee</t>
        </is>
      </c>
      <c r="F104" s="10" t="inlineStr">
        <is>
          <t>Jawa Tengah</t>
        </is>
      </c>
      <c r="G104" s="10" t="inlineStr">
        <is>
          <t>Kecantikan</t>
        </is>
      </c>
      <c r="H104" s="10" t="inlineStr">
        <is>
          <t>Serum Vit C</t>
        </is>
      </c>
      <c r="I104" s="19" t="n">
        <v>1</v>
      </c>
      <c r="J104" s="20" t="n">
        <v>145000</v>
      </c>
      <c r="K104" s="20" t="n">
        <v>145000</v>
      </c>
      <c r="L104" s="10">
        <f>IF($B104="","",TEXT($B104,"YYYY-MM"))</f>
        <v/>
      </c>
    </row>
    <row r="105">
      <c r="A105" s="10" t="inlineStr">
        <is>
          <t>INV-70995</t>
        </is>
      </c>
      <c r="B105" s="18" t="n">
        <v>45695</v>
      </c>
      <c r="C105" s="10" t="inlineStr">
        <is>
          <t>C1287</t>
        </is>
      </c>
      <c r="D105" s="10" t="inlineStr">
        <is>
          <t>champion</t>
        </is>
      </c>
      <c r="E105" s="10" t="inlineStr">
        <is>
          <t>Tokopedia</t>
        </is>
      </c>
      <c r="F105" s="10" t="inlineStr">
        <is>
          <t>Sumatera</t>
        </is>
      </c>
      <c r="G105" s="10" t="inlineStr">
        <is>
          <t>Rumah Tangga</t>
        </is>
      </c>
      <c r="H105" s="10" t="inlineStr">
        <is>
          <t>Lampu Meja LED</t>
        </is>
      </c>
      <c r="I105" s="19" t="n">
        <v>2</v>
      </c>
      <c r="J105" s="20" t="n">
        <v>165000</v>
      </c>
      <c r="K105" s="20" t="n">
        <v>330000</v>
      </c>
      <c r="L105" s="10">
        <f>IF($B105="","",TEXT($B105,"YYYY-MM"))</f>
        <v/>
      </c>
    </row>
    <row r="106">
      <c r="A106" s="10" t="inlineStr">
        <is>
          <t>INV-70116</t>
        </is>
      </c>
      <c r="B106" s="18" t="n">
        <v>45696</v>
      </c>
      <c r="C106" s="10" t="inlineStr">
        <is>
          <t>C1036</t>
        </is>
      </c>
      <c r="D106" s="10" t="inlineStr">
        <is>
          <t>onetime</t>
        </is>
      </c>
      <c r="E106" s="10" t="inlineStr">
        <is>
          <t>Shopee</t>
        </is>
      </c>
      <c r="F106" s="10" t="inlineStr">
        <is>
          <t>Jawa Barat</t>
        </is>
      </c>
      <c r="G106" s="10" t="inlineStr">
        <is>
          <t>Kecantikan</t>
        </is>
      </c>
      <c r="H106" s="10" t="inlineStr">
        <is>
          <t>Serum Vit C</t>
        </is>
      </c>
      <c r="I106" s="19" t="n">
        <v>4</v>
      </c>
      <c r="J106" s="20" t="n">
        <v>145000</v>
      </c>
      <c r="K106" s="20" t="n">
        <v>580000</v>
      </c>
      <c r="L106" s="10">
        <f>IF($B106="","",TEXT($B106,"YYYY-MM"))</f>
        <v/>
      </c>
    </row>
    <row r="107">
      <c r="A107" s="10" t="inlineStr">
        <is>
          <t>INV-70637</t>
        </is>
      </c>
      <c r="B107" s="18" t="n">
        <v>45696</v>
      </c>
      <c r="C107" s="10" t="inlineStr">
        <is>
          <t>C1174</t>
        </is>
      </c>
      <c r="D107" s="10" t="inlineStr">
        <is>
          <t>loyal</t>
        </is>
      </c>
      <c r="E107" s="10" t="inlineStr">
        <is>
          <t>Shopee</t>
        </is>
      </c>
      <c r="F107" s="10" t="inlineStr">
        <is>
          <t>Jawa Barat</t>
        </is>
      </c>
      <c r="G107" s="10" t="inlineStr">
        <is>
          <t>Rumah Tangga</t>
        </is>
      </c>
      <c r="H107" s="10" t="inlineStr">
        <is>
          <t>Set Wadah Kedap</t>
        </is>
      </c>
      <c r="I107" s="19" t="n">
        <v>1</v>
      </c>
      <c r="J107" s="20" t="n">
        <v>135000</v>
      </c>
      <c r="K107" s="20" t="n">
        <v>135000</v>
      </c>
      <c r="L107" s="10">
        <f>IF($B107="","",TEXT($B107,"YYYY-MM"))</f>
        <v/>
      </c>
    </row>
    <row r="108">
      <c r="A108" s="10" t="inlineStr">
        <is>
          <t>INV-71040</t>
        </is>
      </c>
      <c r="B108" s="18" t="n">
        <v>45696</v>
      </c>
      <c r="C108" s="10" t="inlineStr">
        <is>
          <t>C1295</t>
        </is>
      </c>
      <c r="D108" s="10" t="inlineStr">
        <is>
          <t>regular</t>
        </is>
      </c>
      <c r="E108" s="10" t="inlineStr">
        <is>
          <t>TikTok Shop</t>
        </is>
      </c>
      <c r="F108" s="10" t="inlineStr">
        <is>
          <t>Jawa Timur</t>
        </is>
      </c>
      <c r="G108" s="10" t="inlineStr">
        <is>
          <t>Rumah Tangga</t>
        </is>
      </c>
      <c r="H108" s="10" t="inlineStr">
        <is>
          <t>Set Wadah Kedap</t>
        </is>
      </c>
      <c r="I108" s="19" t="n">
        <v>1</v>
      </c>
      <c r="J108" s="20" t="n">
        <v>135000</v>
      </c>
      <c r="K108" s="20" t="n">
        <v>135000</v>
      </c>
      <c r="L108" s="10">
        <f>IF($B108="","",TEXT($B108,"YYYY-MM"))</f>
        <v/>
      </c>
    </row>
    <row r="109">
      <c r="A109" s="10" t="inlineStr">
        <is>
          <t>INV-71087</t>
        </is>
      </c>
      <c r="B109" s="18" t="n">
        <v>45696</v>
      </c>
      <c r="C109" s="10" t="inlineStr">
        <is>
          <t>C1305</t>
        </is>
      </c>
      <c r="D109" s="10" t="inlineStr">
        <is>
          <t>champion</t>
        </is>
      </c>
      <c r="E109" s="10" t="inlineStr">
        <is>
          <t>Shopee</t>
        </is>
      </c>
      <c r="F109" s="10" t="inlineStr">
        <is>
          <t>Sumatera</t>
        </is>
      </c>
      <c r="G109" s="10" t="inlineStr">
        <is>
          <t>Elektronik</t>
        </is>
      </c>
      <c r="H109" s="10" t="inlineStr">
        <is>
          <t>Power Bank 20K</t>
        </is>
      </c>
      <c r="I109" s="19" t="n">
        <v>1</v>
      </c>
      <c r="J109" s="20" t="n">
        <v>185000</v>
      </c>
      <c r="K109" s="20" t="n">
        <v>185000</v>
      </c>
      <c r="L109" s="10">
        <f>IF($B109="","",TEXT($B109,"YYYY-MM"))</f>
        <v/>
      </c>
    </row>
    <row r="110">
      <c r="A110" s="10" t="inlineStr">
        <is>
          <t>INV-70385</t>
        </is>
      </c>
      <c r="B110" s="18" t="n">
        <v>45697</v>
      </c>
      <c r="C110" s="10" t="inlineStr">
        <is>
          <t>C1111</t>
        </is>
      </c>
      <c r="D110" s="10" t="inlineStr">
        <is>
          <t>champion</t>
        </is>
      </c>
      <c r="E110" s="10" t="inlineStr">
        <is>
          <t>Shopee</t>
        </is>
      </c>
      <c r="F110" s="10" t="inlineStr">
        <is>
          <t>Jabodetabek</t>
        </is>
      </c>
      <c r="G110" s="10" t="inlineStr">
        <is>
          <t>Rumah Tangga</t>
        </is>
      </c>
      <c r="H110" s="10" t="inlineStr">
        <is>
          <t>Organizer Laci</t>
        </is>
      </c>
      <c r="I110" s="19" t="n">
        <v>1</v>
      </c>
      <c r="J110" s="20" t="n">
        <v>78000</v>
      </c>
      <c r="K110" s="20" t="n">
        <v>78000</v>
      </c>
      <c r="L110" s="10">
        <f>IF($B110="","",TEXT($B110,"YYYY-MM"))</f>
        <v/>
      </c>
    </row>
    <row r="111">
      <c r="A111" s="10" t="inlineStr">
        <is>
          <t>INV-70508</t>
        </is>
      </c>
      <c r="B111" s="18" t="n">
        <v>45697</v>
      </c>
      <c r="C111" s="10" t="inlineStr">
        <is>
          <t>C1142</t>
        </is>
      </c>
      <c r="D111" s="10" t="inlineStr">
        <is>
          <t>champion</t>
        </is>
      </c>
      <c r="E111" s="10" t="inlineStr">
        <is>
          <t>Tokopedia</t>
        </is>
      </c>
      <c r="F111" s="10" t="inlineStr">
        <is>
          <t>Jabodetabek</t>
        </is>
      </c>
      <c r="G111" s="10" t="inlineStr">
        <is>
          <t>Kecantikan</t>
        </is>
      </c>
      <c r="H111" s="10" t="inlineStr">
        <is>
          <t>Masker Wajah (5s)</t>
        </is>
      </c>
      <c r="I111" s="19" t="n">
        <v>2</v>
      </c>
      <c r="J111" s="20" t="n">
        <v>55000</v>
      </c>
      <c r="K111" s="20" t="n">
        <v>110000</v>
      </c>
      <c r="L111" s="10">
        <f>IF($B111="","",TEXT($B111,"YYYY-MM"))</f>
        <v/>
      </c>
    </row>
    <row r="112">
      <c r="A112" s="10" t="inlineStr">
        <is>
          <t>INV-71302</t>
        </is>
      </c>
      <c r="B112" s="18" t="n">
        <v>45697</v>
      </c>
      <c r="C112" s="10" t="inlineStr">
        <is>
          <t>C1361</t>
        </is>
      </c>
      <c r="D112" s="10" t="inlineStr">
        <is>
          <t>champion</t>
        </is>
      </c>
      <c r="E112" s="10" t="inlineStr">
        <is>
          <t>Shopee</t>
        </is>
      </c>
      <c r="F112" s="10" t="inlineStr">
        <is>
          <t>Lainnya</t>
        </is>
      </c>
      <c r="G112" s="10" t="inlineStr">
        <is>
          <t>Rumah Tangga</t>
        </is>
      </c>
      <c r="H112" s="10" t="inlineStr">
        <is>
          <t>Set Wadah Kedap</t>
        </is>
      </c>
      <c r="I112" s="19" t="n">
        <v>4</v>
      </c>
      <c r="J112" s="20" t="n">
        <v>135000</v>
      </c>
      <c r="K112" s="20" t="n">
        <v>540000</v>
      </c>
      <c r="L112" s="10">
        <f>IF($B112="","",TEXT($B112,"YYYY-MM"))</f>
        <v/>
      </c>
    </row>
    <row r="113">
      <c r="A113" s="10" t="inlineStr">
        <is>
          <t>INV-70480</t>
        </is>
      </c>
      <c r="B113" s="18" t="n">
        <v>45698</v>
      </c>
      <c r="C113" s="10" t="inlineStr">
        <is>
          <t>C1137</t>
        </is>
      </c>
      <c r="D113" s="10" t="inlineStr">
        <is>
          <t>loyal</t>
        </is>
      </c>
      <c r="E113" s="10" t="inlineStr">
        <is>
          <t>TikTok Shop</t>
        </is>
      </c>
      <c r="F113" s="10" t="inlineStr">
        <is>
          <t>Jawa Tengah</t>
        </is>
      </c>
      <c r="G113" s="10" t="inlineStr">
        <is>
          <t>Rumah Tangga</t>
        </is>
      </c>
      <c r="H113" s="10" t="inlineStr">
        <is>
          <t>Set Wadah Kedap</t>
        </is>
      </c>
      <c r="I113" s="19" t="n">
        <v>4</v>
      </c>
      <c r="J113" s="20" t="n">
        <v>135000</v>
      </c>
      <c r="K113" s="20" t="n">
        <v>540000</v>
      </c>
      <c r="L113" s="10">
        <f>IF($B113="","",TEXT($B113,"YYYY-MM"))</f>
        <v/>
      </c>
    </row>
    <row r="114">
      <c r="A114" s="10" t="inlineStr">
        <is>
          <t>INV-70985</t>
        </is>
      </c>
      <c r="B114" s="18" t="n">
        <v>45699</v>
      </c>
      <c r="C114" s="10" t="inlineStr">
        <is>
          <t>C1283</t>
        </is>
      </c>
      <c r="D114" s="10" t="inlineStr">
        <is>
          <t>loyal</t>
        </is>
      </c>
      <c r="E114" s="10" t="inlineStr">
        <is>
          <t>Shopee</t>
        </is>
      </c>
      <c r="F114" s="10" t="inlineStr">
        <is>
          <t>Jawa Tengah</t>
        </is>
      </c>
      <c r="G114" s="10" t="inlineStr">
        <is>
          <t>Rumah Tangga</t>
        </is>
      </c>
      <c r="H114" s="10" t="inlineStr">
        <is>
          <t>Organizer Laci</t>
        </is>
      </c>
      <c r="I114" s="19" t="n">
        <v>1</v>
      </c>
      <c r="J114" s="20" t="n">
        <v>78000</v>
      </c>
      <c r="K114" s="20" t="n">
        <v>78000</v>
      </c>
      <c r="L114" s="10">
        <f>IF($B114="","",TEXT($B114,"YYYY-MM"))</f>
        <v/>
      </c>
    </row>
    <row r="115">
      <c r="A115" s="10" t="inlineStr">
        <is>
          <t>INV-70715</t>
        </is>
      </c>
      <c r="B115" s="18" t="n">
        <v>45699</v>
      </c>
      <c r="C115" s="10" t="inlineStr">
        <is>
          <t>C1199</t>
        </is>
      </c>
      <c r="D115" s="10" t="inlineStr">
        <is>
          <t>loyal</t>
        </is>
      </c>
      <c r="E115" s="10" t="inlineStr">
        <is>
          <t>TikTok Shop</t>
        </is>
      </c>
      <c r="F115" s="10" t="inlineStr">
        <is>
          <t>Jawa Tengah</t>
        </is>
      </c>
      <c r="G115" s="10" t="inlineStr">
        <is>
          <t>Rumah Tangga</t>
        </is>
      </c>
      <c r="H115" s="10" t="inlineStr">
        <is>
          <t>Set Wadah Kedap</t>
        </is>
      </c>
      <c r="I115" s="19" t="n">
        <v>3</v>
      </c>
      <c r="J115" s="20" t="n">
        <v>135000</v>
      </c>
      <c r="K115" s="20" t="n">
        <v>405000</v>
      </c>
      <c r="L115" s="10">
        <f>IF($B115="","",TEXT($B115,"YYYY-MM"))</f>
        <v/>
      </c>
    </row>
    <row r="116">
      <c r="A116" s="10" t="inlineStr">
        <is>
          <t>INV-71398</t>
        </is>
      </c>
      <c r="B116" s="18" t="n">
        <v>45699</v>
      </c>
      <c r="C116" s="10" t="inlineStr">
        <is>
          <t>C1386</t>
        </is>
      </c>
      <c r="D116" s="10" t="inlineStr">
        <is>
          <t>loyal</t>
        </is>
      </c>
      <c r="E116" s="10" t="inlineStr">
        <is>
          <t>Shopee</t>
        </is>
      </c>
      <c r="F116" s="10" t="inlineStr">
        <is>
          <t>Sumatera</t>
        </is>
      </c>
      <c r="G116" s="10" t="inlineStr">
        <is>
          <t>Kecantikan</t>
        </is>
      </c>
      <c r="H116" s="10" t="inlineStr">
        <is>
          <t>Masker Wajah (5s)</t>
        </is>
      </c>
      <c r="I116" s="19" t="n">
        <v>1</v>
      </c>
      <c r="J116" s="20" t="n">
        <v>55000</v>
      </c>
      <c r="K116" s="20" t="n">
        <v>55000</v>
      </c>
      <c r="L116" s="10">
        <f>IF($B116="","",TEXT($B116,"YYYY-MM"))</f>
        <v/>
      </c>
    </row>
    <row r="117">
      <c r="A117" s="10" t="inlineStr">
        <is>
          <t>INV-70489</t>
        </is>
      </c>
      <c r="B117" s="18" t="n">
        <v>45700</v>
      </c>
      <c r="C117" s="10" t="inlineStr">
        <is>
          <t>C1139</t>
        </is>
      </c>
      <c r="D117" s="10" t="inlineStr">
        <is>
          <t>champion</t>
        </is>
      </c>
      <c r="E117" s="10" t="inlineStr">
        <is>
          <t>Shopee</t>
        </is>
      </c>
      <c r="F117" s="10" t="inlineStr">
        <is>
          <t>Jawa Barat</t>
        </is>
      </c>
      <c r="G117" s="10" t="inlineStr">
        <is>
          <t>Elektronik</t>
        </is>
      </c>
      <c r="H117" s="10" t="inlineStr">
        <is>
          <t>Webcam HD</t>
        </is>
      </c>
      <c r="I117" s="19" t="n">
        <v>4</v>
      </c>
      <c r="J117" s="20" t="n">
        <v>210000</v>
      </c>
      <c r="K117" s="20" t="n">
        <v>840000</v>
      </c>
      <c r="L117" s="10">
        <f>IF($B117="","",TEXT($B117,"YYYY-MM"))</f>
        <v/>
      </c>
    </row>
    <row r="118">
      <c r="A118" s="10" t="inlineStr">
        <is>
          <t>INV-70515</t>
        </is>
      </c>
      <c r="B118" s="18" t="n">
        <v>45702</v>
      </c>
      <c r="C118" s="10" t="inlineStr">
        <is>
          <t>C1142</t>
        </is>
      </c>
      <c r="D118" s="10" t="inlineStr">
        <is>
          <t>champion</t>
        </is>
      </c>
      <c r="E118" s="10" t="inlineStr">
        <is>
          <t>Tokopedia</t>
        </is>
      </c>
      <c r="F118" s="10" t="inlineStr">
        <is>
          <t>Lainnya</t>
        </is>
      </c>
      <c r="G118" s="10" t="inlineStr">
        <is>
          <t>Elektronik</t>
        </is>
      </c>
      <c r="H118" s="10" t="inlineStr">
        <is>
          <t>Webcam HD</t>
        </is>
      </c>
      <c r="I118" s="19" t="n">
        <v>2</v>
      </c>
      <c r="J118" s="20" t="n">
        <v>210000</v>
      </c>
      <c r="K118" s="20" t="n">
        <v>420000</v>
      </c>
      <c r="L118" s="10">
        <f>IF($B118="","",TEXT($B118,"YYYY-MM"))</f>
        <v/>
      </c>
    </row>
    <row r="119">
      <c r="A119" s="10" t="inlineStr">
        <is>
          <t>INV-70644</t>
        </is>
      </c>
      <c r="B119" s="18" t="n">
        <v>45702</v>
      </c>
      <c r="C119" s="10" t="inlineStr">
        <is>
          <t>C1175</t>
        </is>
      </c>
      <c r="D119" s="10" t="inlineStr">
        <is>
          <t>occasional</t>
        </is>
      </c>
      <c r="E119" s="10" t="inlineStr">
        <is>
          <t>Shopee</t>
        </is>
      </c>
      <c r="F119" s="10" t="inlineStr">
        <is>
          <t>Jabodetabek</t>
        </is>
      </c>
      <c r="G119" s="10" t="inlineStr">
        <is>
          <t>Fashion</t>
        </is>
      </c>
      <c r="H119" s="10" t="inlineStr">
        <is>
          <t>Dress Casual</t>
        </is>
      </c>
      <c r="I119" s="19" t="n">
        <v>1</v>
      </c>
      <c r="J119" s="20" t="n">
        <v>225000</v>
      </c>
      <c r="K119" s="20" t="n">
        <v>225000</v>
      </c>
      <c r="L119" s="10">
        <f>IF($B119="","",TEXT($B119,"YYYY-MM"))</f>
        <v/>
      </c>
    </row>
    <row r="120">
      <c r="A120" s="10" t="inlineStr">
        <is>
          <t>INV-70929</t>
        </is>
      </c>
      <c r="B120" s="18" t="n">
        <v>45702</v>
      </c>
      <c r="C120" s="10" t="inlineStr">
        <is>
          <t>C1261</t>
        </is>
      </c>
      <c r="D120" s="10" t="inlineStr">
        <is>
          <t>champion</t>
        </is>
      </c>
      <c r="E120" s="10" t="inlineStr">
        <is>
          <t>Shopee</t>
        </is>
      </c>
      <c r="F120" s="10" t="inlineStr">
        <is>
          <t>Sumatera</t>
        </is>
      </c>
      <c r="G120" s="10" t="inlineStr">
        <is>
          <t>Rumah Tangga</t>
        </is>
      </c>
      <c r="H120" s="10" t="inlineStr">
        <is>
          <t>Set Wadah Kedap</t>
        </is>
      </c>
      <c r="I120" s="19" t="n">
        <v>1</v>
      </c>
      <c r="J120" s="20" t="n">
        <v>135000</v>
      </c>
      <c r="K120" s="20" t="n">
        <v>135000</v>
      </c>
      <c r="L120" s="10">
        <f>IF($B120="","",TEXT($B120,"YYYY-MM"))</f>
        <v/>
      </c>
    </row>
    <row r="121">
      <c r="A121" s="10" t="inlineStr">
        <is>
          <t>INV-71206</t>
        </is>
      </c>
      <c r="B121" s="18" t="n">
        <v>45703</v>
      </c>
      <c r="C121" s="10" t="inlineStr">
        <is>
          <t>C1342</t>
        </is>
      </c>
      <c r="D121" s="10" t="inlineStr">
        <is>
          <t>occasional</t>
        </is>
      </c>
      <c r="E121" s="10" t="inlineStr">
        <is>
          <t>Shopee</t>
        </is>
      </c>
      <c r="F121" s="10" t="inlineStr">
        <is>
          <t>Jabodetabek</t>
        </is>
      </c>
      <c r="G121" s="10" t="inlineStr">
        <is>
          <t>Kecantikan</t>
        </is>
      </c>
      <c r="H121" s="10" t="inlineStr">
        <is>
          <t>Masker Wajah (5s)</t>
        </is>
      </c>
      <c r="I121" s="19" t="n">
        <v>1</v>
      </c>
      <c r="J121" s="20" t="n">
        <v>55000</v>
      </c>
      <c r="K121" s="20" t="n">
        <v>55000</v>
      </c>
      <c r="L121" s="10">
        <f>IF($B121="","",TEXT($B121,"YYYY-MM"))</f>
        <v/>
      </c>
    </row>
    <row r="122">
      <c r="A122" s="10" t="inlineStr">
        <is>
          <t>INV-70214</t>
        </is>
      </c>
      <c r="B122" s="18" t="n">
        <v>45703</v>
      </c>
      <c r="C122" s="10" t="inlineStr">
        <is>
          <t>C1060</t>
        </is>
      </c>
      <c r="D122" s="10" t="inlineStr">
        <is>
          <t>loyal</t>
        </is>
      </c>
      <c r="E122" s="10" t="inlineStr">
        <is>
          <t>TikTok Shop</t>
        </is>
      </c>
      <c r="F122" s="10" t="inlineStr">
        <is>
          <t>Lainnya</t>
        </is>
      </c>
      <c r="G122" s="10" t="inlineStr">
        <is>
          <t>Rumah Tangga</t>
        </is>
      </c>
      <c r="H122" s="10" t="inlineStr">
        <is>
          <t>Set Wadah Kedap</t>
        </is>
      </c>
      <c r="I122" s="19" t="n">
        <v>1</v>
      </c>
      <c r="J122" s="20" t="n">
        <v>135000</v>
      </c>
      <c r="K122" s="20" t="n">
        <v>135000</v>
      </c>
      <c r="L122" s="10">
        <f>IF($B122="","",TEXT($B122,"YYYY-MM"))</f>
        <v/>
      </c>
    </row>
    <row r="123">
      <c r="A123" s="10" t="inlineStr">
        <is>
          <t>INV-71272</t>
        </is>
      </c>
      <c r="B123" s="18" t="n">
        <v>45704</v>
      </c>
      <c r="C123" s="10" t="inlineStr">
        <is>
          <t>C1358</t>
        </is>
      </c>
      <c r="D123" s="10" t="inlineStr">
        <is>
          <t>champion</t>
        </is>
      </c>
      <c r="E123" s="10" t="inlineStr">
        <is>
          <t>Tokopedia</t>
        </is>
      </c>
      <c r="F123" s="10" t="inlineStr">
        <is>
          <t>Sumatera</t>
        </is>
      </c>
      <c r="G123" s="10" t="inlineStr">
        <is>
          <t>Rumah Tangga</t>
        </is>
      </c>
      <c r="H123" s="10" t="inlineStr">
        <is>
          <t>Set Wadah Kedap</t>
        </is>
      </c>
      <c r="I123" s="19" t="n">
        <v>1</v>
      </c>
      <c r="J123" s="20" t="n">
        <v>135000</v>
      </c>
      <c r="K123" s="20" t="n">
        <v>135000</v>
      </c>
      <c r="L123" s="10">
        <f>IF($B123="","",TEXT($B123,"YYYY-MM"))</f>
        <v/>
      </c>
    </row>
    <row r="124">
      <c r="A124" s="10" t="inlineStr">
        <is>
          <t>INV-70291</t>
        </is>
      </c>
      <c r="B124" s="18" t="n">
        <v>45704</v>
      </c>
      <c r="C124" s="10" t="inlineStr">
        <is>
          <t>C1083</t>
        </is>
      </c>
      <c r="D124" s="10" t="inlineStr">
        <is>
          <t>loyal</t>
        </is>
      </c>
      <c r="E124" s="10" t="inlineStr">
        <is>
          <t>Shopee</t>
        </is>
      </c>
      <c r="F124" s="10" t="inlineStr">
        <is>
          <t>Jabodetabek</t>
        </is>
      </c>
      <c r="G124" s="10" t="inlineStr">
        <is>
          <t>Fashion</t>
        </is>
      </c>
      <c r="H124" s="10" t="inlineStr">
        <is>
          <t>Dress Casual</t>
        </is>
      </c>
      <c r="I124" s="19" t="n">
        <v>3</v>
      </c>
      <c r="J124" s="20" t="n">
        <v>225000</v>
      </c>
      <c r="K124" s="20" t="n">
        <v>675000</v>
      </c>
      <c r="L124" s="10">
        <f>IF($B124="","",TEXT($B124,"YYYY-MM"))</f>
        <v/>
      </c>
    </row>
    <row r="125">
      <c r="A125" s="10" t="inlineStr">
        <is>
          <t>INV-70760</t>
        </is>
      </c>
      <c r="B125" s="18" t="n">
        <v>45704</v>
      </c>
      <c r="C125" s="10" t="inlineStr">
        <is>
          <t>C1212</t>
        </is>
      </c>
      <c r="D125" s="10" t="inlineStr">
        <is>
          <t>occasional</t>
        </is>
      </c>
      <c r="E125" s="10" t="inlineStr">
        <is>
          <t>Tokopedia</t>
        </is>
      </c>
      <c r="F125" s="10" t="inlineStr">
        <is>
          <t>Lainnya</t>
        </is>
      </c>
      <c r="G125" s="10" t="inlineStr">
        <is>
          <t>Fashion</t>
        </is>
      </c>
      <c r="H125" s="10" t="inlineStr">
        <is>
          <t>Kaos Premium</t>
        </is>
      </c>
      <c r="I125" s="19" t="n">
        <v>3</v>
      </c>
      <c r="J125" s="20" t="n">
        <v>95000</v>
      </c>
      <c r="K125" s="20" t="n">
        <v>285000</v>
      </c>
      <c r="L125" s="10">
        <f>IF($B125="","",TEXT($B125,"YYYY-MM"))</f>
        <v/>
      </c>
    </row>
    <row r="126">
      <c r="A126" s="10" t="inlineStr">
        <is>
          <t>INV-70523</t>
        </is>
      </c>
      <c r="B126" s="18" t="n">
        <v>45705</v>
      </c>
      <c r="C126" s="10" t="inlineStr">
        <is>
          <t>C1144</t>
        </is>
      </c>
      <c r="D126" s="10" t="inlineStr">
        <is>
          <t>regular</t>
        </is>
      </c>
      <c r="E126" s="10" t="inlineStr">
        <is>
          <t>Tokopedia</t>
        </is>
      </c>
      <c r="F126" s="10" t="inlineStr">
        <is>
          <t>Jawa Timur</t>
        </is>
      </c>
      <c r="G126" s="10" t="inlineStr">
        <is>
          <t>Rumah Tangga</t>
        </is>
      </c>
      <c r="H126" s="10" t="inlineStr">
        <is>
          <t>Set Wadah Kedap</t>
        </is>
      </c>
      <c r="I126" s="19" t="n">
        <v>2</v>
      </c>
      <c r="J126" s="20" t="n">
        <v>135000</v>
      </c>
      <c r="K126" s="20" t="n">
        <v>270000</v>
      </c>
      <c r="L126" s="10">
        <f>IF($B126="","",TEXT($B126,"YYYY-MM"))</f>
        <v/>
      </c>
    </row>
    <row r="127">
      <c r="A127" s="10" t="inlineStr">
        <is>
          <t>INV-71076</t>
        </is>
      </c>
      <c r="B127" s="18" t="n">
        <v>45705</v>
      </c>
      <c r="C127" s="10" t="inlineStr">
        <is>
          <t>C1302</t>
        </is>
      </c>
      <c r="D127" s="10" t="inlineStr">
        <is>
          <t>champion</t>
        </is>
      </c>
      <c r="E127" s="10" t="inlineStr">
        <is>
          <t>Shopee</t>
        </is>
      </c>
      <c r="F127" s="10" t="inlineStr">
        <is>
          <t>Jawa Barat</t>
        </is>
      </c>
      <c r="G127" s="10" t="inlineStr">
        <is>
          <t>Elektronik</t>
        </is>
      </c>
      <c r="H127" s="10" t="inlineStr">
        <is>
          <t>Smartwatch</t>
        </is>
      </c>
      <c r="I127" s="19" t="n">
        <v>1</v>
      </c>
      <c r="J127" s="20" t="n">
        <v>450000</v>
      </c>
      <c r="K127" s="20" t="n">
        <v>450000</v>
      </c>
      <c r="L127" s="10">
        <f>IF($B127="","",TEXT($B127,"YYYY-MM"))</f>
        <v/>
      </c>
    </row>
    <row r="128">
      <c r="A128" s="10" t="inlineStr">
        <is>
          <t>INV-70924</t>
        </is>
      </c>
      <c r="B128" s="18" t="n">
        <v>45705</v>
      </c>
      <c r="C128" s="10" t="inlineStr">
        <is>
          <t>C1261</t>
        </is>
      </c>
      <c r="D128" s="10" t="inlineStr">
        <is>
          <t>champion</t>
        </is>
      </c>
      <c r="E128" s="10" t="inlineStr">
        <is>
          <t>Shopee</t>
        </is>
      </c>
      <c r="F128" s="10" t="inlineStr">
        <is>
          <t>Jabodetabek</t>
        </is>
      </c>
      <c r="G128" s="10" t="inlineStr">
        <is>
          <t>Elektronik</t>
        </is>
      </c>
      <c r="H128" s="10" t="inlineStr">
        <is>
          <t>Webcam HD</t>
        </is>
      </c>
      <c r="I128" s="19" t="n">
        <v>1</v>
      </c>
      <c r="J128" s="20" t="n">
        <v>210000</v>
      </c>
      <c r="K128" s="20" t="n">
        <v>210000</v>
      </c>
      <c r="L128" s="10">
        <f>IF($B128="","",TEXT($B128,"YYYY-MM"))</f>
        <v/>
      </c>
    </row>
    <row r="129">
      <c r="A129" s="10" t="inlineStr">
        <is>
          <t>INV-70406</t>
        </is>
      </c>
      <c r="B129" s="18" t="n">
        <v>45706</v>
      </c>
      <c r="C129" s="10" t="inlineStr">
        <is>
          <t>C1113</t>
        </is>
      </c>
      <c r="D129" s="10" t="inlineStr">
        <is>
          <t>loyal</t>
        </is>
      </c>
      <c r="E129" s="10" t="inlineStr">
        <is>
          <t>Offline Store</t>
        </is>
      </c>
      <c r="F129" s="10" t="inlineStr">
        <is>
          <t>Jawa Tengah</t>
        </is>
      </c>
      <c r="G129" s="10" t="inlineStr">
        <is>
          <t>Fashion</t>
        </is>
      </c>
      <c r="H129" s="10" t="inlineStr">
        <is>
          <t>Kaos Premium</t>
        </is>
      </c>
      <c r="I129" s="19" t="n">
        <v>3</v>
      </c>
      <c r="J129" s="20" t="n">
        <v>95000</v>
      </c>
      <c r="K129" s="20" t="n">
        <v>285000</v>
      </c>
      <c r="L129" s="10">
        <f>IF($B129="","",TEXT($B129,"YYYY-MM"))</f>
        <v/>
      </c>
    </row>
    <row r="130">
      <c r="A130" s="10" t="inlineStr">
        <is>
          <t>INV-71332</t>
        </is>
      </c>
      <c r="B130" s="18" t="n">
        <v>45706</v>
      </c>
      <c r="C130" s="10" t="inlineStr">
        <is>
          <t>C1367</t>
        </is>
      </c>
      <c r="D130" s="10" t="inlineStr">
        <is>
          <t>regular</t>
        </is>
      </c>
      <c r="E130" s="10" t="inlineStr">
        <is>
          <t>TikTok Shop</t>
        </is>
      </c>
      <c r="F130" s="10" t="inlineStr">
        <is>
          <t>Jawa Barat</t>
        </is>
      </c>
      <c r="G130" s="10" t="inlineStr">
        <is>
          <t>Elektronik</t>
        </is>
      </c>
      <c r="H130" s="10" t="inlineStr">
        <is>
          <t>Power Bank 20K</t>
        </is>
      </c>
      <c r="I130" s="19" t="n">
        <v>2</v>
      </c>
      <c r="J130" s="20" t="n">
        <v>185000</v>
      </c>
      <c r="K130" s="20" t="n">
        <v>370000</v>
      </c>
      <c r="L130" s="10">
        <f>IF($B130="","",TEXT($B130,"YYYY-MM"))</f>
        <v/>
      </c>
    </row>
    <row r="131">
      <c r="A131" s="10" t="inlineStr">
        <is>
          <t>INV-70079</t>
        </is>
      </c>
      <c r="B131" s="18" t="n">
        <v>45706</v>
      </c>
      <c r="C131" s="10" t="inlineStr">
        <is>
          <t>C1025</t>
        </is>
      </c>
      <c r="D131" s="10" t="inlineStr">
        <is>
          <t>loyal</t>
        </is>
      </c>
      <c r="E131" s="10" t="inlineStr">
        <is>
          <t>Tokopedia</t>
        </is>
      </c>
      <c r="F131" s="10" t="inlineStr">
        <is>
          <t>Jawa Timur</t>
        </is>
      </c>
      <c r="G131" s="10" t="inlineStr">
        <is>
          <t>Elektronik</t>
        </is>
      </c>
      <c r="H131" s="10" t="inlineStr">
        <is>
          <t>Earbuds TWS</t>
        </is>
      </c>
      <c r="I131" s="19" t="n">
        <v>2</v>
      </c>
      <c r="J131" s="20" t="n">
        <v>265000</v>
      </c>
      <c r="K131" s="20" t="n">
        <v>530000</v>
      </c>
      <c r="L131" s="10">
        <f>IF($B131="","",TEXT($B131,"YYYY-MM"))</f>
        <v/>
      </c>
    </row>
    <row r="132">
      <c r="A132" s="10" t="inlineStr">
        <is>
          <t>INV-70532</t>
        </is>
      </c>
      <c r="B132" s="18" t="n">
        <v>45706</v>
      </c>
      <c r="C132" s="10" t="inlineStr">
        <is>
          <t>C1147</t>
        </is>
      </c>
      <c r="D132" s="10" t="inlineStr">
        <is>
          <t>regular</t>
        </is>
      </c>
      <c r="E132" s="10" t="inlineStr">
        <is>
          <t>Tokopedia</t>
        </is>
      </c>
      <c r="F132" s="10" t="inlineStr">
        <is>
          <t>Jawa Timur</t>
        </is>
      </c>
      <c r="G132" s="10" t="inlineStr">
        <is>
          <t>Kecantikan</t>
        </is>
      </c>
      <c r="H132" s="10" t="inlineStr">
        <is>
          <t>Masker Wajah (5s)</t>
        </is>
      </c>
      <c r="I132" s="19" t="n">
        <v>3</v>
      </c>
      <c r="J132" s="20" t="n">
        <v>55000</v>
      </c>
      <c r="K132" s="20" t="n">
        <v>165000</v>
      </c>
      <c r="L132" s="10">
        <f>IF($B132="","",TEXT($B132,"YYYY-MM"))</f>
        <v/>
      </c>
    </row>
    <row r="133">
      <c r="A133" s="10" t="inlineStr">
        <is>
          <t>INV-70814</t>
        </is>
      </c>
      <c r="B133" s="18" t="n">
        <v>45706</v>
      </c>
      <c r="C133" s="10" t="inlineStr">
        <is>
          <t>C1230</t>
        </is>
      </c>
      <c r="D133" s="10" t="inlineStr">
        <is>
          <t>occasional</t>
        </is>
      </c>
      <c r="E133" s="10" t="inlineStr">
        <is>
          <t>Shopee</t>
        </is>
      </c>
      <c r="F133" s="10" t="inlineStr">
        <is>
          <t>Jabodetabek</t>
        </is>
      </c>
      <c r="G133" s="10" t="inlineStr">
        <is>
          <t>Rumah Tangga</t>
        </is>
      </c>
      <c r="H133" s="10" t="inlineStr">
        <is>
          <t>Set Wadah Kedap</t>
        </is>
      </c>
      <c r="I133" s="19" t="n">
        <v>1</v>
      </c>
      <c r="J133" s="20" t="n">
        <v>135000</v>
      </c>
      <c r="K133" s="20" t="n">
        <v>135000</v>
      </c>
      <c r="L133" s="10">
        <f>IF($B133="","",TEXT($B133,"YYYY-MM"))</f>
        <v/>
      </c>
    </row>
    <row r="134">
      <c r="A134" s="10" t="inlineStr">
        <is>
          <t>INV-71462</t>
        </is>
      </c>
      <c r="B134" s="18" t="n">
        <v>45707</v>
      </c>
      <c r="C134" s="10" t="inlineStr">
        <is>
          <t>C1404</t>
        </is>
      </c>
      <c r="D134" s="10" t="inlineStr">
        <is>
          <t>loyal</t>
        </is>
      </c>
      <c r="E134" s="10" t="inlineStr">
        <is>
          <t>Offline Store</t>
        </is>
      </c>
      <c r="F134" s="10" t="inlineStr">
        <is>
          <t>Sumatera</t>
        </is>
      </c>
      <c r="G134" s="10" t="inlineStr">
        <is>
          <t>Elektronik</t>
        </is>
      </c>
      <c r="H134" s="10" t="inlineStr">
        <is>
          <t>Power Bank 20K</t>
        </is>
      </c>
      <c r="I134" s="19" t="n">
        <v>2</v>
      </c>
      <c r="J134" s="20" t="n">
        <v>185000</v>
      </c>
      <c r="K134" s="20" t="n">
        <v>370000</v>
      </c>
      <c r="L134" s="10">
        <f>IF($B134="","",TEXT($B134,"YYYY-MM"))</f>
        <v/>
      </c>
    </row>
    <row r="135">
      <c r="A135" s="10" t="inlineStr">
        <is>
          <t>INV-71288</t>
        </is>
      </c>
      <c r="B135" s="18" t="n">
        <v>45707</v>
      </c>
      <c r="C135" s="10" t="inlineStr">
        <is>
          <t>C1359</t>
        </is>
      </c>
      <c r="D135" s="10" t="inlineStr">
        <is>
          <t>champion</t>
        </is>
      </c>
      <c r="E135" s="10" t="inlineStr">
        <is>
          <t>Tokopedia</t>
        </is>
      </c>
      <c r="F135" s="10" t="inlineStr">
        <is>
          <t>Jawa Barat</t>
        </is>
      </c>
      <c r="G135" s="10" t="inlineStr">
        <is>
          <t>Elektronik</t>
        </is>
      </c>
      <c r="H135" s="10" t="inlineStr">
        <is>
          <t>Power Bank 20K</t>
        </is>
      </c>
      <c r="I135" s="19" t="n">
        <v>1</v>
      </c>
      <c r="J135" s="20" t="n">
        <v>185000</v>
      </c>
      <c r="K135" s="20" t="n">
        <v>185000</v>
      </c>
      <c r="L135" s="10">
        <f>IF($B135="","",TEXT($B135,"YYYY-MM"))</f>
        <v/>
      </c>
    </row>
    <row r="136">
      <c r="A136" s="10" t="inlineStr">
        <is>
          <t>INV-70257</t>
        </is>
      </c>
      <c r="B136" s="18" t="n">
        <v>45707</v>
      </c>
      <c r="C136" s="10" t="inlineStr">
        <is>
          <t>C1072</t>
        </is>
      </c>
      <c r="D136" s="10" t="inlineStr">
        <is>
          <t>champion</t>
        </is>
      </c>
      <c r="E136" s="10" t="inlineStr">
        <is>
          <t>Tokopedia</t>
        </is>
      </c>
      <c r="F136" s="10" t="inlineStr">
        <is>
          <t>Jabodetabek</t>
        </is>
      </c>
      <c r="G136" s="10" t="inlineStr">
        <is>
          <t>Rumah Tangga</t>
        </is>
      </c>
      <c r="H136" s="10" t="inlineStr">
        <is>
          <t>Set Wadah Kedap</t>
        </is>
      </c>
      <c r="I136" s="19" t="n">
        <v>3</v>
      </c>
      <c r="J136" s="20" t="n">
        <v>135000</v>
      </c>
      <c r="K136" s="20" t="n">
        <v>405000</v>
      </c>
      <c r="L136" s="10">
        <f>IF($B136="","",TEXT($B136,"YYYY-MM"))</f>
        <v/>
      </c>
    </row>
    <row r="137">
      <c r="A137" s="10" t="inlineStr">
        <is>
          <t>INV-70193</t>
        </is>
      </c>
      <c r="B137" s="18" t="n">
        <v>45708</v>
      </c>
      <c r="C137" s="10" t="inlineStr">
        <is>
          <t>C1055</t>
        </is>
      </c>
      <c r="D137" s="10" t="inlineStr">
        <is>
          <t>onetime</t>
        </is>
      </c>
      <c r="E137" s="10" t="inlineStr">
        <is>
          <t>Shopee</t>
        </is>
      </c>
      <c r="F137" s="10" t="inlineStr">
        <is>
          <t>Jawa Barat</t>
        </is>
      </c>
      <c r="G137" s="10" t="inlineStr">
        <is>
          <t>Elektronik</t>
        </is>
      </c>
      <c r="H137" s="10" t="inlineStr">
        <is>
          <t>Power Bank 20K</t>
        </is>
      </c>
      <c r="I137" s="19" t="n">
        <v>2</v>
      </c>
      <c r="J137" s="20" t="n">
        <v>185000</v>
      </c>
      <c r="K137" s="20" t="n">
        <v>370000</v>
      </c>
      <c r="L137" s="10">
        <f>IF($B137="","",TEXT($B137,"YYYY-MM"))</f>
        <v/>
      </c>
    </row>
    <row r="138">
      <c r="A138" s="10" t="inlineStr">
        <is>
          <t>INV-70833</t>
        </is>
      </c>
      <c r="B138" s="18" t="n">
        <v>45708</v>
      </c>
      <c r="C138" s="10" t="inlineStr">
        <is>
          <t>C1234</t>
        </is>
      </c>
      <c r="D138" s="10" t="inlineStr">
        <is>
          <t>loyal</t>
        </is>
      </c>
      <c r="E138" s="10" t="inlineStr">
        <is>
          <t>TikTok Shop</t>
        </is>
      </c>
      <c r="F138" s="10" t="inlineStr">
        <is>
          <t>Jabodetabek</t>
        </is>
      </c>
      <c r="G138" s="10" t="inlineStr">
        <is>
          <t>Fashion</t>
        </is>
      </c>
      <c r="H138" s="10" t="inlineStr">
        <is>
          <t>Celana Chino</t>
        </is>
      </c>
      <c r="I138" s="19" t="n">
        <v>2</v>
      </c>
      <c r="J138" s="20" t="n">
        <v>195000</v>
      </c>
      <c r="K138" s="20" t="n">
        <v>390000</v>
      </c>
      <c r="L138" s="10">
        <f>IF($B138="","",TEXT($B138,"YYYY-MM"))</f>
        <v/>
      </c>
    </row>
    <row r="139">
      <c r="A139" s="10" t="inlineStr">
        <is>
          <t>INV-70986</t>
        </is>
      </c>
      <c r="B139" s="18" t="n">
        <v>45708</v>
      </c>
      <c r="C139" s="10" t="inlineStr">
        <is>
          <t>C1283</t>
        </is>
      </c>
      <c r="D139" s="10" t="inlineStr">
        <is>
          <t>loyal</t>
        </is>
      </c>
      <c r="E139" s="10" t="inlineStr">
        <is>
          <t>Shopee</t>
        </is>
      </c>
      <c r="F139" s="10" t="inlineStr">
        <is>
          <t>Jawa Timur</t>
        </is>
      </c>
      <c r="G139" s="10" t="inlineStr">
        <is>
          <t>Kecantikan</t>
        </is>
      </c>
      <c r="H139" s="10" t="inlineStr">
        <is>
          <t>Masker Wajah (5s)</t>
        </is>
      </c>
      <c r="I139" s="19" t="n">
        <v>1</v>
      </c>
      <c r="J139" s="20" t="n">
        <v>55000</v>
      </c>
      <c r="K139" s="20" t="n">
        <v>55000</v>
      </c>
      <c r="L139" s="10">
        <f>IF($B139="","",TEXT($B139,"YYYY-MM"))</f>
        <v/>
      </c>
    </row>
    <row r="140">
      <c r="A140" s="10" t="inlineStr">
        <is>
          <t>INV-70618</t>
        </is>
      </c>
      <c r="B140" s="18" t="n">
        <v>45709</v>
      </c>
      <c r="C140" s="10" t="inlineStr">
        <is>
          <t>C1168</t>
        </is>
      </c>
      <c r="D140" s="10" t="inlineStr">
        <is>
          <t>onetime</t>
        </is>
      </c>
      <c r="E140" s="10" t="inlineStr">
        <is>
          <t>Tokopedia</t>
        </is>
      </c>
      <c r="F140" s="10" t="inlineStr">
        <is>
          <t>Sumatera</t>
        </is>
      </c>
      <c r="G140" s="10" t="inlineStr">
        <is>
          <t>Rumah Tangga</t>
        </is>
      </c>
      <c r="H140" s="10" t="inlineStr">
        <is>
          <t>Set Wadah Kedap</t>
        </is>
      </c>
      <c r="I140" s="19" t="n">
        <v>2</v>
      </c>
      <c r="J140" s="20" t="n">
        <v>135000</v>
      </c>
      <c r="K140" s="20" t="n">
        <v>270000</v>
      </c>
      <c r="L140" s="10">
        <f>IF($B140="","",TEXT($B140,"YYYY-MM"))</f>
        <v/>
      </c>
    </row>
    <row r="141">
      <c r="A141" s="10" t="inlineStr">
        <is>
          <t>INV-71107</t>
        </is>
      </c>
      <c r="B141" s="18" t="n">
        <v>45709</v>
      </c>
      <c r="C141" s="10" t="inlineStr">
        <is>
          <t>C1310</t>
        </is>
      </c>
      <c r="D141" s="10" t="inlineStr">
        <is>
          <t>loyal</t>
        </is>
      </c>
      <c r="E141" s="10" t="inlineStr">
        <is>
          <t>Shopee</t>
        </is>
      </c>
      <c r="F141" s="10" t="inlineStr">
        <is>
          <t>Sumatera</t>
        </is>
      </c>
      <c r="G141" s="10" t="inlineStr">
        <is>
          <t>Elektronik</t>
        </is>
      </c>
      <c r="H141" s="10" t="inlineStr">
        <is>
          <t>Webcam HD</t>
        </is>
      </c>
      <c r="I141" s="19" t="n">
        <v>2</v>
      </c>
      <c r="J141" s="20" t="n">
        <v>210000</v>
      </c>
      <c r="K141" s="20" t="n">
        <v>420000</v>
      </c>
      <c r="L141" s="10">
        <f>IF($B141="","",TEXT($B141,"YYYY-MM"))</f>
        <v/>
      </c>
    </row>
    <row r="142">
      <c r="A142" s="10" t="inlineStr">
        <is>
          <t>INV-71106</t>
        </is>
      </c>
      <c r="B142" s="18" t="n">
        <v>45709</v>
      </c>
      <c r="C142" s="10" t="inlineStr">
        <is>
          <t>C1310</t>
        </is>
      </c>
      <c r="D142" s="10" t="inlineStr">
        <is>
          <t>loyal</t>
        </is>
      </c>
      <c r="E142" s="10" t="inlineStr">
        <is>
          <t>Shopee</t>
        </is>
      </c>
      <c r="F142" s="10" t="inlineStr">
        <is>
          <t>Jawa Tengah</t>
        </is>
      </c>
      <c r="G142" s="10" t="inlineStr">
        <is>
          <t>Rumah Tangga</t>
        </is>
      </c>
      <c r="H142" s="10" t="inlineStr">
        <is>
          <t>Set Wadah Kedap</t>
        </is>
      </c>
      <c r="I142" s="19" t="n">
        <v>1</v>
      </c>
      <c r="J142" s="20" t="n">
        <v>135000</v>
      </c>
      <c r="K142" s="20" t="n">
        <v>135000</v>
      </c>
      <c r="L142" s="10">
        <f>IF($B142="","",TEXT($B142,"YYYY-MM"))</f>
        <v/>
      </c>
    </row>
    <row r="143">
      <c r="A143" s="10" t="inlineStr">
        <is>
          <t>INV-71201</t>
        </is>
      </c>
      <c r="B143" s="18" t="n">
        <v>45709</v>
      </c>
      <c r="C143" s="10" t="inlineStr">
        <is>
          <t>C1340</t>
        </is>
      </c>
      <c r="D143" s="10" t="inlineStr">
        <is>
          <t>loyal</t>
        </is>
      </c>
      <c r="E143" s="10" t="inlineStr">
        <is>
          <t>TikTok Shop</t>
        </is>
      </c>
      <c r="F143" s="10" t="inlineStr">
        <is>
          <t>Jawa Barat</t>
        </is>
      </c>
      <c r="G143" s="10" t="inlineStr">
        <is>
          <t>Elektronik</t>
        </is>
      </c>
      <c r="H143" s="10" t="inlineStr">
        <is>
          <t>Power Bank 20K</t>
        </is>
      </c>
      <c r="I143" s="19" t="n">
        <v>1</v>
      </c>
      <c r="J143" s="20" t="n">
        <v>185000</v>
      </c>
      <c r="K143" s="20" t="n">
        <v>185000</v>
      </c>
      <c r="L143" s="10">
        <f>IF($B143="","",TEXT($B143,"YYYY-MM"))</f>
        <v/>
      </c>
    </row>
    <row r="144">
      <c r="A144" s="10" t="inlineStr">
        <is>
          <t>INV-70095</t>
        </is>
      </c>
      <c r="B144" s="18" t="n">
        <v>45711</v>
      </c>
      <c r="C144" s="10" t="inlineStr">
        <is>
          <t>C1028</t>
        </is>
      </c>
      <c r="D144" s="10" t="inlineStr">
        <is>
          <t>occasional</t>
        </is>
      </c>
      <c r="E144" s="10" t="inlineStr">
        <is>
          <t>Offline Store</t>
        </is>
      </c>
      <c r="F144" s="10" t="inlineStr">
        <is>
          <t>Jawa Tengah</t>
        </is>
      </c>
      <c r="G144" s="10" t="inlineStr">
        <is>
          <t>Rumah Tangga</t>
        </is>
      </c>
      <c r="H144" s="10" t="inlineStr">
        <is>
          <t>Diffuser Aroma</t>
        </is>
      </c>
      <c r="I144" s="19" t="n">
        <v>2</v>
      </c>
      <c r="J144" s="20" t="n">
        <v>195000</v>
      </c>
      <c r="K144" s="20" t="n">
        <v>390000</v>
      </c>
      <c r="L144" s="10">
        <f>IF($B144="","",TEXT($B144,"YYYY-MM"))</f>
        <v/>
      </c>
    </row>
    <row r="145">
      <c r="A145" s="10" t="inlineStr">
        <is>
          <t>INV-71239</t>
        </is>
      </c>
      <c r="B145" s="18" t="n">
        <v>45711</v>
      </c>
      <c r="C145" s="10" t="inlineStr">
        <is>
          <t>C1349</t>
        </is>
      </c>
      <c r="D145" s="10" t="inlineStr">
        <is>
          <t>champion</t>
        </is>
      </c>
      <c r="E145" s="10" t="inlineStr">
        <is>
          <t>Offline Store</t>
        </is>
      </c>
      <c r="F145" s="10" t="inlineStr">
        <is>
          <t>Jawa Barat</t>
        </is>
      </c>
      <c r="G145" s="10" t="inlineStr">
        <is>
          <t>Rumah Tangga</t>
        </is>
      </c>
      <c r="H145" s="10" t="inlineStr">
        <is>
          <t>Set Wadah Kedap</t>
        </is>
      </c>
      <c r="I145" s="19" t="n">
        <v>1</v>
      </c>
      <c r="J145" s="20" t="n">
        <v>135000</v>
      </c>
      <c r="K145" s="20" t="n">
        <v>135000</v>
      </c>
      <c r="L145" s="10">
        <f>IF($B145="","",TEXT($B145,"YYYY-MM"))</f>
        <v/>
      </c>
    </row>
    <row r="146">
      <c r="A146" s="10" t="inlineStr">
        <is>
          <t>INV-70084</t>
        </is>
      </c>
      <c r="B146" s="18" t="n">
        <v>45712</v>
      </c>
      <c r="C146" s="10" t="inlineStr">
        <is>
          <t>C1025</t>
        </is>
      </c>
      <c r="D146" s="10" t="inlineStr">
        <is>
          <t>loyal</t>
        </is>
      </c>
      <c r="E146" s="10" t="inlineStr">
        <is>
          <t>Offline Store</t>
        </is>
      </c>
      <c r="F146" s="10" t="inlineStr">
        <is>
          <t>Jawa Barat</t>
        </is>
      </c>
      <c r="G146" s="10" t="inlineStr">
        <is>
          <t>Elektronik</t>
        </is>
      </c>
      <c r="H146" s="10" t="inlineStr">
        <is>
          <t>Power Bank 20K</t>
        </is>
      </c>
      <c r="I146" s="19" t="n">
        <v>2</v>
      </c>
      <c r="J146" s="20" t="n">
        <v>185000</v>
      </c>
      <c r="K146" s="20" t="n">
        <v>370000</v>
      </c>
      <c r="L146" s="10">
        <f>IF($B146="","",TEXT($B146,"YYYY-MM"))</f>
        <v/>
      </c>
    </row>
    <row r="147">
      <c r="A147" s="10" t="inlineStr">
        <is>
          <t>INV-70975</t>
        </is>
      </c>
      <c r="B147" s="18" t="n">
        <v>45712</v>
      </c>
      <c r="C147" s="10" t="inlineStr">
        <is>
          <t>C1279</t>
        </is>
      </c>
      <c r="D147" s="10" t="inlineStr">
        <is>
          <t>loyal</t>
        </is>
      </c>
      <c r="E147" s="10" t="inlineStr">
        <is>
          <t>Shopee</t>
        </is>
      </c>
      <c r="F147" s="10" t="inlineStr">
        <is>
          <t>Jabodetabek</t>
        </is>
      </c>
      <c r="G147" s="10" t="inlineStr">
        <is>
          <t>Rumah Tangga</t>
        </is>
      </c>
      <c r="H147" s="10" t="inlineStr">
        <is>
          <t>Set Wadah Kedap</t>
        </is>
      </c>
      <c r="I147" s="19" t="n">
        <v>2</v>
      </c>
      <c r="J147" s="20" t="n">
        <v>135000</v>
      </c>
      <c r="K147" s="20" t="n">
        <v>270000</v>
      </c>
      <c r="L147" s="10">
        <f>IF($B147="","",TEXT($B147,"YYYY-MM"))</f>
        <v/>
      </c>
    </row>
    <row r="148">
      <c r="A148" s="10" t="inlineStr">
        <is>
          <t>INV-70670</t>
        </is>
      </c>
      <c r="B148" s="18" t="n">
        <v>45713</v>
      </c>
      <c r="C148" s="10" t="inlineStr">
        <is>
          <t>C1184</t>
        </is>
      </c>
      <c r="D148" s="10" t="inlineStr">
        <is>
          <t>loyal</t>
        </is>
      </c>
      <c r="E148" s="10" t="inlineStr">
        <is>
          <t>Shopee</t>
        </is>
      </c>
      <c r="F148" s="10" t="inlineStr">
        <is>
          <t>Jawa Barat</t>
        </is>
      </c>
      <c r="G148" s="10" t="inlineStr">
        <is>
          <t>Makanan</t>
        </is>
      </c>
      <c r="H148" s="10" t="inlineStr">
        <is>
          <t>Granola 500g</t>
        </is>
      </c>
      <c r="I148" s="19" t="n">
        <v>2</v>
      </c>
      <c r="J148" s="20" t="n">
        <v>92000</v>
      </c>
      <c r="K148" s="20" t="n">
        <v>184000</v>
      </c>
      <c r="L148" s="10">
        <f>IF($B148="","",TEXT($B148,"YYYY-MM"))</f>
        <v/>
      </c>
    </row>
    <row r="149">
      <c r="A149" s="10" t="inlineStr">
        <is>
          <t>INV-71459</t>
        </is>
      </c>
      <c r="B149" s="18" t="n">
        <v>45713</v>
      </c>
      <c r="C149" s="10" t="inlineStr">
        <is>
          <t>C1403</t>
        </is>
      </c>
      <c r="D149" s="10" t="inlineStr">
        <is>
          <t>regular</t>
        </is>
      </c>
      <c r="E149" s="10" t="inlineStr">
        <is>
          <t>TikTok Shop</t>
        </is>
      </c>
      <c r="F149" s="10" t="inlineStr">
        <is>
          <t>Sumatera</t>
        </is>
      </c>
      <c r="G149" s="10" t="inlineStr">
        <is>
          <t>Makanan</t>
        </is>
      </c>
      <c r="H149" s="10" t="inlineStr">
        <is>
          <t>Madu Hutan 250ml</t>
        </is>
      </c>
      <c r="I149" s="19" t="n">
        <v>1</v>
      </c>
      <c r="J149" s="20" t="n">
        <v>110000</v>
      </c>
      <c r="K149" s="20" t="n">
        <v>110000</v>
      </c>
      <c r="L149" s="10">
        <f>IF($B149="","",TEXT($B149,"YYYY-MM"))</f>
        <v/>
      </c>
    </row>
    <row r="150">
      <c r="A150" s="10" t="inlineStr">
        <is>
          <t>INV-70207</t>
        </is>
      </c>
      <c r="B150" s="18" t="n">
        <v>45714</v>
      </c>
      <c r="C150" s="10" t="inlineStr">
        <is>
          <t>C1058</t>
        </is>
      </c>
      <c r="D150" s="10" t="inlineStr">
        <is>
          <t>regular</t>
        </is>
      </c>
      <c r="E150" s="10" t="inlineStr">
        <is>
          <t>Offline Store</t>
        </is>
      </c>
      <c r="F150" s="10" t="inlineStr">
        <is>
          <t>Jabodetabek</t>
        </is>
      </c>
      <c r="G150" s="10" t="inlineStr">
        <is>
          <t>Rumah Tangga</t>
        </is>
      </c>
      <c r="H150" s="10" t="inlineStr">
        <is>
          <t>Set Wadah Kedap</t>
        </is>
      </c>
      <c r="I150" s="19" t="n">
        <v>2</v>
      </c>
      <c r="J150" s="20" t="n">
        <v>135000</v>
      </c>
      <c r="K150" s="20" t="n">
        <v>270000</v>
      </c>
      <c r="L150" s="10">
        <f>IF($B150="","",TEXT($B150,"YYYY-MM"))</f>
        <v/>
      </c>
    </row>
    <row r="151">
      <c r="A151" s="10" t="inlineStr">
        <is>
          <t>INV-70269</t>
        </is>
      </c>
      <c r="B151" s="18" t="n">
        <v>45714</v>
      </c>
      <c r="C151" s="10" t="inlineStr">
        <is>
          <t>C1075</t>
        </is>
      </c>
      <c r="D151" s="10" t="inlineStr">
        <is>
          <t>occasional</t>
        </is>
      </c>
      <c r="E151" s="10" t="inlineStr">
        <is>
          <t>TikTok Shop</t>
        </is>
      </c>
      <c r="F151" s="10" t="inlineStr">
        <is>
          <t>Jawa Barat</t>
        </is>
      </c>
      <c r="G151" s="10" t="inlineStr">
        <is>
          <t>Elektronik</t>
        </is>
      </c>
      <c r="H151" s="10" t="inlineStr">
        <is>
          <t>Keyboard Mekanik</t>
        </is>
      </c>
      <c r="I151" s="19" t="n">
        <v>1</v>
      </c>
      <c r="J151" s="20" t="n">
        <v>380000</v>
      </c>
      <c r="K151" s="20" t="n">
        <v>380000</v>
      </c>
      <c r="L151" s="10">
        <f>IF($B151="","",TEXT($B151,"YYYY-MM"))</f>
        <v/>
      </c>
    </row>
    <row r="152">
      <c r="A152" s="10" t="inlineStr">
        <is>
          <t>INV-70525</t>
        </is>
      </c>
      <c r="B152" s="18" t="n">
        <v>45715</v>
      </c>
      <c r="C152" s="10" t="inlineStr">
        <is>
          <t>C1145</t>
        </is>
      </c>
      <c r="D152" s="10" t="inlineStr">
        <is>
          <t>occasional</t>
        </is>
      </c>
      <c r="E152" s="10" t="inlineStr">
        <is>
          <t>Offline Store</t>
        </is>
      </c>
      <c r="F152" s="10" t="inlineStr">
        <is>
          <t>Jawa Tengah</t>
        </is>
      </c>
      <c r="G152" s="10" t="inlineStr">
        <is>
          <t>Makanan</t>
        </is>
      </c>
      <c r="H152" s="10" t="inlineStr">
        <is>
          <t>Granola 500g</t>
        </is>
      </c>
      <c r="I152" s="19" t="n">
        <v>4</v>
      </c>
      <c r="J152" s="20" t="n">
        <v>92000</v>
      </c>
      <c r="K152" s="20" t="n">
        <v>368000</v>
      </c>
      <c r="L152" s="10">
        <f>IF($B152="","",TEXT($B152,"YYYY-MM"))</f>
        <v/>
      </c>
    </row>
    <row r="153">
      <c r="A153" s="10" t="inlineStr">
        <is>
          <t>INV-70080</t>
        </is>
      </c>
      <c r="B153" s="18" t="n">
        <v>45715</v>
      </c>
      <c r="C153" s="10" t="inlineStr">
        <is>
          <t>C1025</t>
        </is>
      </c>
      <c r="D153" s="10" t="inlineStr">
        <is>
          <t>loyal</t>
        </is>
      </c>
      <c r="E153" s="10" t="inlineStr">
        <is>
          <t>Offline Store</t>
        </is>
      </c>
      <c r="F153" s="10" t="inlineStr">
        <is>
          <t>Jabodetabek</t>
        </is>
      </c>
      <c r="G153" s="10" t="inlineStr">
        <is>
          <t>Rumah Tangga</t>
        </is>
      </c>
      <c r="H153" s="10" t="inlineStr">
        <is>
          <t>Set Wadah Kedap</t>
        </is>
      </c>
      <c r="I153" s="19" t="n">
        <v>3</v>
      </c>
      <c r="J153" s="20" t="n">
        <v>135000</v>
      </c>
      <c r="K153" s="20" t="n">
        <v>405000</v>
      </c>
      <c r="L153" s="10">
        <f>IF($B153="","",TEXT($B153,"YYYY-MM"))</f>
        <v/>
      </c>
    </row>
    <row r="154">
      <c r="A154" s="10" t="inlineStr">
        <is>
          <t>INV-70805</t>
        </is>
      </c>
      <c r="B154" s="18" t="n">
        <v>45717</v>
      </c>
      <c r="C154" s="10" t="inlineStr">
        <is>
          <t>C1225</t>
        </is>
      </c>
      <c r="D154" s="10" t="inlineStr">
        <is>
          <t>regular</t>
        </is>
      </c>
      <c r="E154" s="10" t="inlineStr">
        <is>
          <t>Tokopedia</t>
        </is>
      </c>
      <c r="F154" s="10" t="inlineStr">
        <is>
          <t>Jawa Tengah</t>
        </is>
      </c>
      <c r="G154" s="10" t="inlineStr">
        <is>
          <t>Rumah Tangga</t>
        </is>
      </c>
      <c r="H154" s="10" t="inlineStr">
        <is>
          <t>Set Wadah Kedap</t>
        </is>
      </c>
      <c r="I154" s="19" t="n">
        <v>2</v>
      </c>
      <c r="J154" s="20" t="n">
        <v>135000</v>
      </c>
      <c r="K154" s="20" t="n">
        <v>270000</v>
      </c>
      <c r="L154" s="10">
        <f>IF($B154="","",TEXT($B154,"YYYY-MM"))</f>
        <v/>
      </c>
    </row>
    <row r="155">
      <c r="A155" s="10" t="inlineStr">
        <is>
          <t>INV-70572</t>
        </is>
      </c>
      <c r="B155" s="18" t="n">
        <v>45717</v>
      </c>
      <c r="C155" s="10" t="inlineStr">
        <is>
          <t>C1156</t>
        </is>
      </c>
      <c r="D155" s="10" t="inlineStr">
        <is>
          <t>champion</t>
        </is>
      </c>
      <c r="E155" s="10" t="inlineStr">
        <is>
          <t>Offline Store</t>
        </is>
      </c>
      <c r="F155" s="10" t="inlineStr">
        <is>
          <t>Jawa Timur</t>
        </is>
      </c>
      <c r="G155" s="10" t="inlineStr">
        <is>
          <t>Rumah Tangga</t>
        </is>
      </c>
      <c r="H155" s="10" t="inlineStr">
        <is>
          <t>Set Wadah Kedap</t>
        </is>
      </c>
      <c r="I155" s="19" t="n">
        <v>1</v>
      </c>
      <c r="J155" s="20" t="n">
        <v>135000</v>
      </c>
      <c r="K155" s="20" t="n">
        <v>135000</v>
      </c>
      <c r="L155" s="10">
        <f>IF($B155="","",TEXT($B155,"YYYY-MM"))</f>
        <v/>
      </c>
    </row>
    <row r="156">
      <c r="A156" s="10" t="inlineStr">
        <is>
          <t>INV-70689</t>
        </is>
      </c>
      <c r="B156" s="18" t="n">
        <v>45717</v>
      </c>
      <c r="C156" s="10" t="inlineStr">
        <is>
          <t>C1189</t>
        </is>
      </c>
      <c r="D156" s="10" t="inlineStr">
        <is>
          <t>regular</t>
        </is>
      </c>
      <c r="E156" s="10" t="inlineStr">
        <is>
          <t>Tokopedia</t>
        </is>
      </c>
      <c r="F156" s="10" t="inlineStr">
        <is>
          <t>Jawa Barat</t>
        </is>
      </c>
      <c r="G156" s="10" t="inlineStr">
        <is>
          <t>Rumah Tangga</t>
        </is>
      </c>
      <c r="H156" s="10" t="inlineStr">
        <is>
          <t>Set Wadah Kedap</t>
        </is>
      </c>
      <c r="I156" s="19" t="n">
        <v>1</v>
      </c>
      <c r="J156" s="20" t="n">
        <v>135000</v>
      </c>
      <c r="K156" s="20" t="n">
        <v>135000</v>
      </c>
      <c r="L156" s="10">
        <f>IF($B156="","",TEXT($B156,"YYYY-MM"))</f>
        <v/>
      </c>
    </row>
    <row r="157">
      <c r="A157" s="10" t="inlineStr">
        <is>
          <t>INV-71004</t>
        </is>
      </c>
      <c r="B157" s="18" t="n">
        <v>45717</v>
      </c>
      <c r="C157" s="10" t="inlineStr">
        <is>
          <t>C1287</t>
        </is>
      </c>
      <c r="D157" s="10" t="inlineStr">
        <is>
          <t>champion</t>
        </is>
      </c>
      <c r="E157" s="10" t="inlineStr">
        <is>
          <t>Shopee</t>
        </is>
      </c>
      <c r="F157" s="10" t="inlineStr">
        <is>
          <t>Jawa Tengah</t>
        </is>
      </c>
      <c r="G157" s="10" t="inlineStr">
        <is>
          <t>Rumah Tangga</t>
        </is>
      </c>
      <c r="H157" s="10" t="inlineStr">
        <is>
          <t>Karpet Bulu</t>
        </is>
      </c>
      <c r="I157" s="19" t="n">
        <v>4</v>
      </c>
      <c r="J157" s="20" t="n">
        <v>240000</v>
      </c>
      <c r="K157" s="20" t="n">
        <v>960000</v>
      </c>
      <c r="L157" s="10">
        <f>IF($B157="","",TEXT($B157,"YYYY-MM"))</f>
        <v/>
      </c>
    </row>
    <row r="158">
      <c r="A158" s="10" t="inlineStr">
        <is>
          <t>INV-71468</t>
        </is>
      </c>
      <c r="B158" s="18" t="n">
        <v>45717</v>
      </c>
      <c r="C158" s="10" t="inlineStr">
        <is>
          <t>C1405</t>
        </is>
      </c>
      <c r="D158" s="10" t="inlineStr">
        <is>
          <t>regular</t>
        </is>
      </c>
      <c r="E158" s="10" t="inlineStr">
        <is>
          <t>Tokopedia</t>
        </is>
      </c>
      <c r="F158" s="10" t="inlineStr">
        <is>
          <t>Lainnya</t>
        </is>
      </c>
      <c r="G158" s="10" t="inlineStr">
        <is>
          <t>Rumah Tangga</t>
        </is>
      </c>
      <c r="H158" s="10" t="inlineStr">
        <is>
          <t>Set Wadah Kedap</t>
        </is>
      </c>
      <c r="I158" s="19" t="n">
        <v>1</v>
      </c>
      <c r="J158" s="20" t="n">
        <v>135000</v>
      </c>
      <c r="K158" s="20" t="n">
        <v>135000</v>
      </c>
      <c r="L158" s="10">
        <f>IF($B158="","",TEXT($B158,"YYYY-MM"))</f>
        <v/>
      </c>
    </row>
    <row r="159">
      <c r="A159" s="10" t="inlineStr">
        <is>
          <t>INV-71293</t>
        </is>
      </c>
      <c r="B159" s="18" t="n">
        <v>45718</v>
      </c>
      <c r="C159" s="10" t="inlineStr">
        <is>
          <t>C1359</t>
        </is>
      </c>
      <c r="D159" s="10" t="inlineStr">
        <is>
          <t>champion</t>
        </is>
      </c>
      <c r="E159" s="10" t="inlineStr">
        <is>
          <t>TikTok Shop</t>
        </is>
      </c>
      <c r="F159" s="10" t="inlineStr">
        <is>
          <t>Jabodetabek</t>
        </is>
      </c>
      <c r="G159" s="10" t="inlineStr">
        <is>
          <t>Rumah Tangga</t>
        </is>
      </c>
      <c r="H159" s="10" t="inlineStr">
        <is>
          <t>Set Wadah Kedap</t>
        </is>
      </c>
      <c r="I159" s="19" t="n">
        <v>2</v>
      </c>
      <c r="J159" s="20" t="n">
        <v>135000</v>
      </c>
      <c r="K159" s="20" t="n">
        <v>270000</v>
      </c>
      <c r="L159" s="10">
        <f>IF($B159="","",TEXT($B159,"YYYY-MM"))</f>
        <v/>
      </c>
    </row>
    <row r="160">
      <c r="A160" s="10" t="inlineStr">
        <is>
          <t>INV-71159</t>
        </is>
      </c>
      <c r="B160" s="18" t="n">
        <v>45718</v>
      </c>
      <c r="C160" s="10" t="inlineStr">
        <is>
          <t>C1328</t>
        </is>
      </c>
      <c r="D160" s="10" t="inlineStr">
        <is>
          <t>onetime</t>
        </is>
      </c>
      <c r="E160" s="10" t="inlineStr">
        <is>
          <t>Tokopedia</t>
        </is>
      </c>
      <c r="F160" s="10" t="inlineStr">
        <is>
          <t>Jabodetabek</t>
        </is>
      </c>
      <c r="G160" s="10" t="inlineStr">
        <is>
          <t>Fashion</t>
        </is>
      </c>
      <c r="H160" s="10" t="inlineStr">
        <is>
          <t>Celana Chino</t>
        </is>
      </c>
      <c r="I160" s="19" t="n">
        <v>3</v>
      </c>
      <c r="J160" s="20" t="n">
        <v>195000</v>
      </c>
      <c r="K160" s="20" t="n">
        <v>585000</v>
      </c>
      <c r="L160" s="10">
        <f>IF($B160="","",TEXT($B160,"YYYY-MM"))</f>
        <v/>
      </c>
    </row>
    <row r="161">
      <c r="A161" s="10" t="inlineStr">
        <is>
          <t>INV-71412</t>
        </is>
      </c>
      <c r="B161" s="18" t="n">
        <v>45718</v>
      </c>
      <c r="C161" s="10" t="inlineStr">
        <is>
          <t>C1390</t>
        </is>
      </c>
      <c r="D161" s="10" t="inlineStr">
        <is>
          <t>regular</t>
        </is>
      </c>
      <c r="E161" s="10" t="inlineStr">
        <is>
          <t>Offline Store</t>
        </is>
      </c>
      <c r="F161" s="10" t="inlineStr">
        <is>
          <t>Jabodetabek</t>
        </is>
      </c>
      <c r="G161" s="10" t="inlineStr">
        <is>
          <t>Rumah Tangga</t>
        </is>
      </c>
      <c r="H161" s="10" t="inlineStr">
        <is>
          <t>Set Wadah Kedap</t>
        </is>
      </c>
      <c r="I161" s="19" t="n">
        <v>4</v>
      </c>
      <c r="J161" s="20" t="n">
        <v>135000</v>
      </c>
      <c r="K161" s="20" t="n">
        <v>540000</v>
      </c>
      <c r="L161" s="10">
        <f>IF($B161="","",TEXT($B161,"YYYY-MM"))</f>
        <v/>
      </c>
    </row>
    <row r="162">
      <c r="A162" s="10" t="inlineStr">
        <is>
          <t>INV-71049</t>
        </is>
      </c>
      <c r="B162" s="18" t="n">
        <v>45718</v>
      </c>
      <c r="C162" s="10" t="inlineStr">
        <is>
          <t>C1296</t>
        </is>
      </c>
      <c r="D162" s="10" t="inlineStr">
        <is>
          <t>loyal</t>
        </is>
      </c>
      <c r="E162" s="10" t="inlineStr">
        <is>
          <t>Offline Store</t>
        </is>
      </c>
      <c r="F162" s="10" t="inlineStr">
        <is>
          <t>Sumatera</t>
        </is>
      </c>
      <c r="G162" s="10" t="inlineStr">
        <is>
          <t>Fashion</t>
        </is>
      </c>
      <c r="H162" s="10" t="inlineStr">
        <is>
          <t>Jaket Denim</t>
        </is>
      </c>
      <c r="I162" s="19" t="n">
        <v>1</v>
      </c>
      <c r="J162" s="20" t="n">
        <v>320000</v>
      </c>
      <c r="K162" s="20" t="n">
        <v>320000</v>
      </c>
      <c r="L162" s="10">
        <f>IF($B162="","",TEXT($B162,"YYYY-MM"))</f>
        <v/>
      </c>
    </row>
    <row r="163">
      <c r="A163" s="10" t="inlineStr">
        <is>
          <t>INV-70850</t>
        </is>
      </c>
      <c r="B163" s="18" t="n">
        <v>45718</v>
      </c>
      <c r="C163" s="10" t="inlineStr">
        <is>
          <t>C1239</t>
        </is>
      </c>
      <c r="D163" s="10" t="inlineStr">
        <is>
          <t>onetime</t>
        </is>
      </c>
      <c r="E163" s="10" t="inlineStr">
        <is>
          <t>Tokopedia</t>
        </is>
      </c>
      <c r="F163" s="10" t="inlineStr">
        <is>
          <t>Jabodetabek</t>
        </is>
      </c>
      <c r="G163" s="10" t="inlineStr">
        <is>
          <t>Rumah Tangga</t>
        </is>
      </c>
      <c r="H163" s="10" t="inlineStr">
        <is>
          <t>Diffuser Aroma</t>
        </is>
      </c>
      <c r="I163" s="19" t="n">
        <v>1</v>
      </c>
      <c r="J163" s="20" t="n">
        <v>195000</v>
      </c>
      <c r="K163" s="20" t="n">
        <v>195000</v>
      </c>
      <c r="L163" s="10">
        <f>IF($B163="","",TEXT($B163,"YYYY-MM"))</f>
        <v/>
      </c>
    </row>
    <row r="164">
      <c r="A164" s="10" t="inlineStr">
        <is>
          <t>INV-70434</t>
        </is>
      </c>
      <c r="B164" s="18" t="n">
        <v>45720</v>
      </c>
      <c r="C164" s="10" t="inlineStr">
        <is>
          <t>C1122</t>
        </is>
      </c>
      <c r="D164" s="10" t="inlineStr">
        <is>
          <t>loyal</t>
        </is>
      </c>
      <c r="E164" s="10" t="inlineStr">
        <is>
          <t>TikTok Shop</t>
        </is>
      </c>
      <c r="F164" s="10" t="inlineStr">
        <is>
          <t>Jabodetabek</t>
        </is>
      </c>
      <c r="G164" s="10" t="inlineStr">
        <is>
          <t>Rumah Tangga</t>
        </is>
      </c>
      <c r="H164" s="10" t="inlineStr">
        <is>
          <t>Diffuser Aroma</t>
        </is>
      </c>
      <c r="I164" s="19" t="n">
        <v>1</v>
      </c>
      <c r="J164" s="20" t="n">
        <v>195000</v>
      </c>
      <c r="K164" s="20" t="n">
        <v>195000</v>
      </c>
      <c r="L164" s="10">
        <f>IF($B164="","",TEXT($B164,"YYYY-MM"))</f>
        <v/>
      </c>
    </row>
    <row r="165">
      <c r="A165" s="10" t="inlineStr">
        <is>
          <t>INV-70409</t>
        </is>
      </c>
      <c r="B165" s="18" t="n">
        <v>45720</v>
      </c>
      <c r="C165" s="10" t="inlineStr">
        <is>
          <t>C1113</t>
        </is>
      </c>
      <c r="D165" s="10" t="inlineStr">
        <is>
          <t>loyal</t>
        </is>
      </c>
      <c r="E165" s="10" t="inlineStr">
        <is>
          <t>Tokopedia</t>
        </is>
      </c>
      <c r="F165" s="10" t="inlineStr">
        <is>
          <t>Lainnya</t>
        </is>
      </c>
      <c r="G165" s="10" t="inlineStr">
        <is>
          <t>Rumah Tangga</t>
        </is>
      </c>
      <c r="H165" s="10" t="inlineStr">
        <is>
          <t>Organizer Laci</t>
        </is>
      </c>
      <c r="I165" s="19" t="n">
        <v>1</v>
      </c>
      <c r="J165" s="20" t="n">
        <v>78000</v>
      </c>
      <c r="K165" s="20" t="n">
        <v>78000</v>
      </c>
      <c r="L165" s="10">
        <f>IF($B165="","",TEXT($B165,"YYYY-MM"))</f>
        <v/>
      </c>
    </row>
    <row r="166">
      <c r="A166" s="10" t="inlineStr">
        <is>
          <t>INV-71010</t>
        </is>
      </c>
      <c r="B166" s="18" t="n">
        <v>45720</v>
      </c>
      <c r="C166" s="10" t="inlineStr">
        <is>
          <t>C1287</t>
        </is>
      </c>
      <c r="D166" s="10" t="inlineStr">
        <is>
          <t>champion</t>
        </is>
      </c>
      <c r="E166" s="10" t="inlineStr">
        <is>
          <t>Offline Store</t>
        </is>
      </c>
      <c r="F166" s="10" t="inlineStr">
        <is>
          <t>Jabodetabek</t>
        </is>
      </c>
      <c r="G166" s="10" t="inlineStr">
        <is>
          <t>Kecantikan</t>
        </is>
      </c>
      <c r="H166" s="10" t="inlineStr">
        <is>
          <t>Serum Vit C</t>
        </is>
      </c>
      <c r="I166" s="19" t="n">
        <v>1</v>
      </c>
      <c r="J166" s="20" t="n">
        <v>145000</v>
      </c>
      <c r="K166" s="20" t="n">
        <v>145000</v>
      </c>
      <c r="L166" s="10">
        <f>IF($B166="","",TEXT($B166,"YYYY-MM"))</f>
        <v/>
      </c>
    </row>
    <row r="167">
      <c r="A167" s="10" t="inlineStr">
        <is>
          <t>INV-70661</t>
        </is>
      </c>
      <c r="B167" s="18" t="n">
        <v>45720</v>
      </c>
      <c r="C167" s="10" t="inlineStr">
        <is>
          <t>C1180</t>
        </is>
      </c>
      <c r="D167" s="10" t="inlineStr">
        <is>
          <t>occasional</t>
        </is>
      </c>
      <c r="E167" s="10" t="inlineStr">
        <is>
          <t>TikTok Shop</t>
        </is>
      </c>
      <c r="F167" s="10" t="inlineStr">
        <is>
          <t>Jawa Timur</t>
        </is>
      </c>
      <c r="G167" s="10" t="inlineStr">
        <is>
          <t>Fashion</t>
        </is>
      </c>
      <c r="H167" s="10" t="inlineStr">
        <is>
          <t>Celana Chino</t>
        </is>
      </c>
      <c r="I167" s="19" t="n">
        <v>2</v>
      </c>
      <c r="J167" s="20" t="n">
        <v>195000</v>
      </c>
      <c r="K167" s="20" t="n">
        <v>390000</v>
      </c>
      <c r="L167" s="10">
        <f>IF($B167="","",TEXT($B167,"YYYY-MM"))</f>
        <v/>
      </c>
    </row>
    <row r="168">
      <c r="A168" s="10" t="inlineStr">
        <is>
          <t>INV-70037</t>
        </is>
      </c>
      <c r="B168" s="18" t="n">
        <v>45720</v>
      </c>
      <c r="C168" s="10" t="inlineStr">
        <is>
          <t>C1008</t>
        </is>
      </c>
      <c r="D168" s="10" t="inlineStr">
        <is>
          <t>regular</t>
        </is>
      </c>
      <c r="E168" s="10" t="inlineStr">
        <is>
          <t>Shopee</t>
        </is>
      </c>
      <c r="F168" s="10" t="inlineStr">
        <is>
          <t>Jawa Tengah</t>
        </is>
      </c>
      <c r="G168" s="10" t="inlineStr">
        <is>
          <t>Rumah Tangga</t>
        </is>
      </c>
      <c r="H168" s="10" t="inlineStr">
        <is>
          <t>Organizer Laci</t>
        </is>
      </c>
      <c r="I168" s="19" t="n">
        <v>1</v>
      </c>
      <c r="J168" s="20" t="n">
        <v>78000</v>
      </c>
      <c r="K168" s="20" t="n">
        <v>78000</v>
      </c>
      <c r="L168" s="10">
        <f>IF($B168="","",TEXT($B168,"YYYY-MM"))</f>
        <v/>
      </c>
    </row>
    <row r="169">
      <c r="A169" s="10" t="inlineStr">
        <is>
          <t>INV-71516</t>
        </is>
      </c>
      <c r="B169" s="18" t="n">
        <v>45720</v>
      </c>
      <c r="C169" s="10" t="inlineStr">
        <is>
          <t>C1416</t>
        </is>
      </c>
      <c r="D169" s="10" t="inlineStr">
        <is>
          <t>regular</t>
        </is>
      </c>
      <c r="E169" s="10" t="inlineStr">
        <is>
          <t>Tokopedia</t>
        </is>
      </c>
      <c r="F169" s="10" t="inlineStr">
        <is>
          <t>Jabodetabek</t>
        </is>
      </c>
      <c r="G169" s="10" t="inlineStr">
        <is>
          <t>Elektronik</t>
        </is>
      </c>
      <c r="H169" s="10" t="inlineStr">
        <is>
          <t>Power Bank 20K</t>
        </is>
      </c>
      <c r="I169" s="19" t="n">
        <v>4</v>
      </c>
      <c r="J169" s="20" t="n">
        <v>185000</v>
      </c>
      <c r="K169" s="20" t="n">
        <v>740000</v>
      </c>
      <c r="L169" s="10">
        <f>IF($B169="","",TEXT($B169,"YYYY-MM"))</f>
        <v/>
      </c>
    </row>
    <row r="170">
      <c r="A170" s="10" t="inlineStr">
        <is>
          <t>INV-70074</t>
        </is>
      </c>
      <c r="B170" s="18" t="n">
        <v>45720</v>
      </c>
      <c r="C170" s="10" t="inlineStr">
        <is>
          <t>C1023</t>
        </is>
      </c>
      <c r="D170" s="10" t="inlineStr">
        <is>
          <t>occasional</t>
        </is>
      </c>
      <c r="E170" s="10" t="inlineStr">
        <is>
          <t>Shopee</t>
        </is>
      </c>
      <c r="F170" s="10" t="inlineStr">
        <is>
          <t>Jabodetabek</t>
        </is>
      </c>
      <c r="G170" s="10" t="inlineStr">
        <is>
          <t>Kecantikan</t>
        </is>
      </c>
      <c r="H170" s="10" t="inlineStr">
        <is>
          <t>Masker Wajah (5s)</t>
        </is>
      </c>
      <c r="I170" s="19" t="n">
        <v>1</v>
      </c>
      <c r="J170" s="20" t="n">
        <v>55000</v>
      </c>
      <c r="K170" s="20" t="n">
        <v>55000</v>
      </c>
      <c r="L170" s="10">
        <f>IF($B170="","",TEXT($B170,"YYYY-MM"))</f>
        <v/>
      </c>
    </row>
    <row r="171">
      <c r="A171" s="10" t="inlineStr">
        <is>
          <t>INV-71419</t>
        </is>
      </c>
      <c r="B171" s="18" t="n">
        <v>45721</v>
      </c>
      <c r="C171" s="10" t="inlineStr">
        <is>
          <t>C1392</t>
        </is>
      </c>
      <c r="D171" s="10" t="inlineStr">
        <is>
          <t>loyal</t>
        </is>
      </c>
      <c r="E171" s="10" t="inlineStr">
        <is>
          <t>Tokopedia</t>
        </is>
      </c>
      <c r="F171" s="10" t="inlineStr">
        <is>
          <t>Jabodetabek</t>
        </is>
      </c>
      <c r="G171" s="10" t="inlineStr">
        <is>
          <t>Rumah Tangga</t>
        </is>
      </c>
      <c r="H171" s="10" t="inlineStr">
        <is>
          <t>Set Wadah Kedap</t>
        </is>
      </c>
      <c r="I171" s="19" t="n">
        <v>1</v>
      </c>
      <c r="J171" s="20" t="n">
        <v>135000</v>
      </c>
      <c r="K171" s="20" t="n">
        <v>135000</v>
      </c>
      <c r="L171" s="10">
        <f>IF($B171="","",TEXT($B171,"YYYY-MM"))</f>
        <v/>
      </c>
    </row>
    <row r="172">
      <c r="A172" s="10" t="inlineStr">
        <is>
          <t>INV-71505</t>
        </is>
      </c>
      <c r="B172" s="18" t="n">
        <v>45721</v>
      </c>
      <c r="C172" s="10" t="inlineStr">
        <is>
          <t>C1412</t>
        </is>
      </c>
      <c r="D172" s="10" t="inlineStr">
        <is>
          <t>champion</t>
        </is>
      </c>
      <c r="E172" s="10" t="inlineStr">
        <is>
          <t>Shopee</t>
        </is>
      </c>
      <c r="F172" s="10" t="inlineStr">
        <is>
          <t>Jabodetabek</t>
        </is>
      </c>
      <c r="G172" s="10" t="inlineStr">
        <is>
          <t>Makanan</t>
        </is>
      </c>
      <c r="H172" s="10" t="inlineStr">
        <is>
          <t>Madu Hutan 250ml</t>
        </is>
      </c>
      <c r="I172" s="19" t="n">
        <v>3</v>
      </c>
      <c r="J172" s="20" t="n">
        <v>110000</v>
      </c>
      <c r="K172" s="20" t="n">
        <v>330000</v>
      </c>
      <c r="L172" s="10">
        <f>IF($B172="","",TEXT($B172,"YYYY-MM"))</f>
        <v/>
      </c>
    </row>
    <row r="173">
      <c r="A173" s="10" t="inlineStr">
        <is>
          <t>INV-71446</t>
        </is>
      </c>
      <c r="B173" s="18" t="n">
        <v>45721</v>
      </c>
      <c r="C173" s="10" t="inlineStr">
        <is>
          <t>C1400</t>
        </is>
      </c>
      <c r="D173" s="10" t="inlineStr">
        <is>
          <t>regular</t>
        </is>
      </c>
      <c r="E173" s="10" t="inlineStr">
        <is>
          <t>TikTok Shop</t>
        </is>
      </c>
      <c r="F173" s="10" t="inlineStr">
        <is>
          <t>Lainnya</t>
        </is>
      </c>
      <c r="G173" s="10" t="inlineStr">
        <is>
          <t>Fashion</t>
        </is>
      </c>
      <c r="H173" s="10" t="inlineStr">
        <is>
          <t>Dress Casual</t>
        </is>
      </c>
      <c r="I173" s="19" t="n">
        <v>2</v>
      </c>
      <c r="J173" s="20" t="n">
        <v>225000</v>
      </c>
      <c r="K173" s="20" t="n">
        <v>450000</v>
      </c>
      <c r="L173" s="10">
        <f>IF($B173="","",TEXT($B173,"YYYY-MM"))</f>
        <v/>
      </c>
    </row>
    <row r="174">
      <c r="A174" s="10" t="inlineStr">
        <is>
          <t>INV-71108</t>
        </is>
      </c>
      <c r="B174" s="18" t="n">
        <v>45721</v>
      </c>
      <c r="C174" s="10" t="inlineStr">
        <is>
          <t>C1310</t>
        </is>
      </c>
      <c r="D174" s="10" t="inlineStr">
        <is>
          <t>loyal</t>
        </is>
      </c>
      <c r="E174" s="10" t="inlineStr">
        <is>
          <t>Tokopedia</t>
        </is>
      </c>
      <c r="F174" s="10" t="inlineStr">
        <is>
          <t>Jawa Timur</t>
        </is>
      </c>
      <c r="G174" s="10" t="inlineStr">
        <is>
          <t>Elektronik</t>
        </is>
      </c>
      <c r="H174" s="10" t="inlineStr">
        <is>
          <t>Keyboard Mekanik</t>
        </is>
      </c>
      <c r="I174" s="19" t="n">
        <v>1</v>
      </c>
      <c r="J174" s="20" t="n">
        <v>380000</v>
      </c>
      <c r="K174" s="20" t="n">
        <v>380000</v>
      </c>
      <c r="L174" s="10">
        <f>IF($B174="","",TEXT($B174,"YYYY-MM"))</f>
        <v/>
      </c>
    </row>
    <row r="175">
      <c r="A175" s="10" t="inlineStr">
        <is>
          <t>INV-71285</t>
        </is>
      </c>
      <c r="B175" s="18" t="n">
        <v>45721</v>
      </c>
      <c r="C175" s="10" t="inlineStr">
        <is>
          <t>C1359</t>
        </is>
      </c>
      <c r="D175" s="10" t="inlineStr">
        <is>
          <t>champion</t>
        </is>
      </c>
      <c r="E175" s="10" t="inlineStr">
        <is>
          <t>Tokopedia</t>
        </is>
      </c>
      <c r="F175" s="10" t="inlineStr">
        <is>
          <t>Jawa Barat</t>
        </is>
      </c>
      <c r="G175" s="10" t="inlineStr">
        <is>
          <t>Rumah Tangga</t>
        </is>
      </c>
      <c r="H175" s="10" t="inlineStr">
        <is>
          <t>Set Wadah Kedap</t>
        </is>
      </c>
      <c r="I175" s="19" t="n">
        <v>1</v>
      </c>
      <c r="J175" s="20" t="n">
        <v>135000</v>
      </c>
      <c r="K175" s="20" t="n">
        <v>135000</v>
      </c>
      <c r="L175" s="10">
        <f>IF($B175="","",TEXT($B175,"YYYY-MM"))</f>
        <v/>
      </c>
    </row>
    <row r="176">
      <c r="A176" s="10" t="inlineStr">
        <is>
          <t>INV-71160</t>
        </is>
      </c>
      <c r="B176" s="18" t="n">
        <v>45721</v>
      </c>
      <c r="C176" s="10" t="inlineStr">
        <is>
          <t>C1329</t>
        </is>
      </c>
      <c r="D176" s="10" t="inlineStr">
        <is>
          <t>regular</t>
        </is>
      </c>
      <c r="E176" s="10" t="inlineStr">
        <is>
          <t>TikTok Shop</t>
        </is>
      </c>
      <c r="F176" s="10" t="inlineStr">
        <is>
          <t>Sumatera</t>
        </is>
      </c>
      <c r="G176" s="10" t="inlineStr">
        <is>
          <t>Elektronik</t>
        </is>
      </c>
      <c r="H176" s="10" t="inlineStr">
        <is>
          <t>Power Bank 20K</t>
        </is>
      </c>
      <c r="I176" s="19" t="n">
        <v>1</v>
      </c>
      <c r="J176" s="20" t="n">
        <v>185000</v>
      </c>
      <c r="K176" s="20" t="n">
        <v>185000</v>
      </c>
      <c r="L176" s="10">
        <f>IF($B176="","",TEXT($B176,"YYYY-MM"))</f>
        <v/>
      </c>
    </row>
    <row r="177">
      <c r="A177" s="10" t="inlineStr">
        <is>
          <t>INV-70912</t>
        </is>
      </c>
      <c r="B177" s="18" t="n">
        <v>45722</v>
      </c>
      <c r="C177" s="10" t="inlineStr">
        <is>
          <t>C1258</t>
        </is>
      </c>
      <c r="D177" s="10" t="inlineStr">
        <is>
          <t>regular</t>
        </is>
      </c>
      <c r="E177" s="10" t="inlineStr">
        <is>
          <t>TikTok Shop</t>
        </is>
      </c>
      <c r="F177" s="10" t="inlineStr">
        <is>
          <t>Jawa Timur</t>
        </is>
      </c>
      <c r="G177" s="10" t="inlineStr">
        <is>
          <t>Rumah Tangga</t>
        </is>
      </c>
      <c r="H177" s="10" t="inlineStr">
        <is>
          <t>Set Wadah Kedap</t>
        </is>
      </c>
      <c r="I177" s="19" t="n">
        <v>1</v>
      </c>
      <c r="J177" s="20" t="n">
        <v>135000</v>
      </c>
      <c r="K177" s="20" t="n">
        <v>135000</v>
      </c>
      <c r="L177" s="10">
        <f>IF($B177="","",TEXT($B177,"YYYY-MM"))</f>
        <v/>
      </c>
    </row>
    <row r="178">
      <c r="A178" s="10" t="inlineStr">
        <is>
          <t>INV-70967</t>
        </is>
      </c>
      <c r="B178" s="18" t="n">
        <v>45723</v>
      </c>
      <c r="C178" s="10" t="inlineStr">
        <is>
          <t>C1275</t>
        </is>
      </c>
      <c r="D178" s="10" t="inlineStr">
        <is>
          <t>regular</t>
        </is>
      </c>
      <c r="E178" s="10" t="inlineStr">
        <is>
          <t>TikTok Shop</t>
        </is>
      </c>
      <c r="F178" s="10" t="inlineStr">
        <is>
          <t>Jabodetabek</t>
        </is>
      </c>
      <c r="G178" s="10" t="inlineStr">
        <is>
          <t>Kecantikan</t>
        </is>
      </c>
      <c r="H178" s="10" t="inlineStr">
        <is>
          <t>Masker Wajah (5s)</t>
        </is>
      </c>
      <c r="I178" s="19" t="n">
        <v>3</v>
      </c>
      <c r="J178" s="20" t="n">
        <v>55000</v>
      </c>
      <c r="K178" s="20" t="n">
        <v>165000</v>
      </c>
      <c r="L178" s="10">
        <f>IF($B178="","",TEXT($B178,"YYYY-MM"))</f>
        <v/>
      </c>
    </row>
    <row r="179">
      <c r="A179" s="10" t="inlineStr">
        <is>
          <t>INV-71358</t>
        </is>
      </c>
      <c r="B179" s="18" t="n">
        <v>45723</v>
      </c>
      <c r="C179" s="10" t="inlineStr">
        <is>
          <t>C1375</t>
        </is>
      </c>
      <c r="D179" s="10" t="inlineStr">
        <is>
          <t>occasional</t>
        </is>
      </c>
      <c r="E179" s="10" t="inlineStr">
        <is>
          <t>TikTok Shop</t>
        </is>
      </c>
      <c r="F179" s="10" t="inlineStr">
        <is>
          <t>Jawa Barat</t>
        </is>
      </c>
      <c r="G179" s="10" t="inlineStr">
        <is>
          <t>Makanan</t>
        </is>
      </c>
      <c r="H179" s="10" t="inlineStr">
        <is>
          <t>Madu Hutan 250ml</t>
        </is>
      </c>
      <c r="I179" s="19" t="n">
        <v>2</v>
      </c>
      <c r="J179" s="20" t="n">
        <v>110000</v>
      </c>
      <c r="K179" s="20" t="n">
        <v>220000</v>
      </c>
      <c r="L179" s="10">
        <f>IF($B179="","",TEXT($B179,"YYYY-MM"))</f>
        <v/>
      </c>
    </row>
    <row r="180">
      <c r="A180" s="10" t="inlineStr">
        <is>
          <t>INV-70022</t>
        </is>
      </c>
      <c r="B180" s="18" t="n">
        <v>45724</v>
      </c>
      <c r="C180" s="10" t="inlineStr">
        <is>
          <t>C1004</t>
        </is>
      </c>
      <c r="D180" s="10" t="inlineStr">
        <is>
          <t>loyal</t>
        </is>
      </c>
      <c r="E180" s="10" t="inlineStr">
        <is>
          <t>Shopee</t>
        </is>
      </c>
      <c r="F180" s="10" t="inlineStr">
        <is>
          <t>Jabodetabek</t>
        </is>
      </c>
      <c r="G180" s="10" t="inlineStr">
        <is>
          <t>Rumah Tangga</t>
        </is>
      </c>
      <c r="H180" s="10" t="inlineStr">
        <is>
          <t>Karpet Bulu</t>
        </is>
      </c>
      <c r="I180" s="19" t="n">
        <v>4</v>
      </c>
      <c r="J180" s="20" t="n">
        <v>240000</v>
      </c>
      <c r="K180" s="20" t="n">
        <v>960000</v>
      </c>
      <c r="L180" s="10">
        <f>IF($B180="","",TEXT($B180,"YYYY-MM"))</f>
        <v/>
      </c>
    </row>
    <row r="181">
      <c r="A181" s="10" t="inlineStr">
        <is>
          <t>INV-70937</t>
        </is>
      </c>
      <c r="B181" s="18" t="n">
        <v>45724</v>
      </c>
      <c r="C181" s="10" t="inlineStr">
        <is>
          <t>C1263</t>
        </is>
      </c>
      <c r="D181" s="10" t="inlineStr">
        <is>
          <t>onetime</t>
        </is>
      </c>
      <c r="E181" s="10" t="inlineStr">
        <is>
          <t>Tokopedia</t>
        </is>
      </c>
      <c r="F181" s="10" t="inlineStr">
        <is>
          <t>Sumatera</t>
        </is>
      </c>
      <c r="G181" s="10" t="inlineStr">
        <is>
          <t>Rumah Tangga</t>
        </is>
      </c>
      <c r="H181" s="10" t="inlineStr">
        <is>
          <t>Set Wadah Kedap</t>
        </is>
      </c>
      <c r="I181" s="19" t="n">
        <v>2</v>
      </c>
      <c r="J181" s="20" t="n">
        <v>135000</v>
      </c>
      <c r="K181" s="20" t="n">
        <v>270000</v>
      </c>
      <c r="L181" s="10">
        <f>IF($B181="","",TEXT($B181,"YYYY-MM"))</f>
        <v/>
      </c>
    </row>
    <row r="182">
      <c r="A182" s="10" t="inlineStr">
        <is>
          <t>INV-70783</t>
        </is>
      </c>
      <c r="B182" s="18" t="n">
        <v>45724</v>
      </c>
      <c r="C182" s="10" t="inlineStr">
        <is>
          <t>C1220</t>
        </is>
      </c>
      <c r="D182" s="10" t="inlineStr">
        <is>
          <t>loyal</t>
        </is>
      </c>
      <c r="E182" s="10" t="inlineStr">
        <is>
          <t>Tokopedia</t>
        </is>
      </c>
      <c r="F182" s="10" t="inlineStr">
        <is>
          <t>Jabodetabek</t>
        </is>
      </c>
      <c r="G182" s="10" t="inlineStr">
        <is>
          <t>Elektronik</t>
        </is>
      </c>
      <c r="H182" s="10" t="inlineStr">
        <is>
          <t>Earbuds TWS</t>
        </is>
      </c>
      <c r="I182" s="19" t="n">
        <v>3</v>
      </c>
      <c r="J182" s="20" t="n">
        <v>265000</v>
      </c>
      <c r="K182" s="20" t="n">
        <v>795000</v>
      </c>
      <c r="L182" s="10">
        <f>IF($B182="","",TEXT($B182,"YYYY-MM"))</f>
        <v/>
      </c>
    </row>
    <row r="183">
      <c r="A183" s="10" t="inlineStr">
        <is>
          <t>INV-70887</t>
        </is>
      </c>
      <c r="B183" s="18" t="n">
        <v>45724</v>
      </c>
      <c r="C183" s="10" t="inlineStr">
        <is>
          <t>C1249</t>
        </is>
      </c>
      <c r="D183" s="10" t="inlineStr">
        <is>
          <t>regular</t>
        </is>
      </c>
      <c r="E183" s="10" t="inlineStr">
        <is>
          <t>Tokopedia</t>
        </is>
      </c>
      <c r="F183" s="10" t="inlineStr">
        <is>
          <t>Jabodetabek</t>
        </is>
      </c>
      <c r="G183" s="10" t="inlineStr">
        <is>
          <t>Rumah Tangga</t>
        </is>
      </c>
      <c r="H183" s="10" t="inlineStr">
        <is>
          <t>Set Wadah Kedap</t>
        </is>
      </c>
      <c r="I183" s="19" t="n">
        <v>2</v>
      </c>
      <c r="J183" s="20" t="n">
        <v>135000</v>
      </c>
      <c r="K183" s="20" t="n">
        <v>270000</v>
      </c>
      <c r="L183" s="10">
        <f>IF($B183="","",TEXT($B183,"YYYY-MM"))</f>
        <v/>
      </c>
    </row>
    <row r="184">
      <c r="A184" s="10" t="inlineStr">
        <is>
          <t>INV-70287</t>
        </is>
      </c>
      <c r="B184" s="18" t="n">
        <v>45724</v>
      </c>
      <c r="C184" s="10" t="inlineStr">
        <is>
          <t>C1082</t>
        </is>
      </c>
      <c r="D184" s="10" t="inlineStr">
        <is>
          <t>occasional</t>
        </is>
      </c>
      <c r="E184" s="10" t="inlineStr">
        <is>
          <t>TikTok Shop</t>
        </is>
      </c>
      <c r="F184" s="10" t="inlineStr">
        <is>
          <t>Jawa Barat</t>
        </is>
      </c>
      <c r="G184" s="10" t="inlineStr">
        <is>
          <t>Fashion</t>
        </is>
      </c>
      <c r="H184" s="10" t="inlineStr">
        <is>
          <t>Celana Chino</t>
        </is>
      </c>
      <c r="I184" s="19" t="n">
        <v>2</v>
      </c>
      <c r="J184" s="20" t="n">
        <v>195000</v>
      </c>
      <c r="K184" s="20" t="n">
        <v>390000</v>
      </c>
      <c r="L184" s="10">
        <f>IF($B184="","",TEXT($B184,"YYYY-MM"))</f>
        <v/>
      </c>
    </row>
    <row r="185">
      <c r="A185" s="10" t="inlineStr">
        <is>
          <t>INV-71181</t>
        </is>
      </c>
      <c r="B185" s="18" t="n">
        <v>45724</v>
      </c>
      <c r="C185" s="10" t="inlineStr">
        <is>
          <t>C1334</t>
        </is>
      </c>
      <c r="D185" s="10" t="inlineStr">
        <is>
          <t>champion</t>
        </is>
      </c>
      <c r="E185" s="10" t="inlineStr">
        <is>
          <t>Shopee</t>
        </is>
      </c>
      <c r="F185" s="10" t="inlineStr">
        <is>
          <t>Jabodetabek</t>
        </is>
      </c>
      <c r="G185" s="10" t="inlineStr">
        <is>
          <t>Rumah Tangga</t>
        </is>
      </c>
      <c r="H185" s="10" t="inlineStr">
        <is>
          <t>Set Wadah Kedap</t>
        </is>
      </c>
      <c r="I185" s="19" t="n">
        <v>1</v>
      </c>
      <c r="J185" s="20" t="n">
        <v>135000</v>
      </c>
      <c r="K185" s="20" t="n">
        <v>135000</v>
      </c>
      <c r="L185" s="10">
        <f>IF($B185="","",TEXT($B185,"YYYY-MM"))</f>
        <v/>
      </c>
    </row>
    <row r="186">
      <c r="A186" s="10" t="inlineStr">
        <is>
          <t>INV-70488</t>
        </is>
      </c>
      <c r="B186" s="18" t="n">
        <v>45725</v>
      </c>
      <c r="C186" s="10" t="inlineStr">
        <is>
          <t>C1139</t>
        </is>
      </c>
      <c r="D186" s="10" t="inlineStr">
        <is>
          <t>champion</t>
        </is>
      </c>
      <c r="E186" s="10" t="inlineStr">
        <is>
          <t>TikTok Shop</t>
        </is>
      </c>
      <c r="F186" s="10" t="inlineStr">
        <is>
          <t>Jabodetabek</t>
        </is>
      </c>
      <c r="G186" s="10" t="inlineStr">
        <is>
          <t>Rumah Tangga</t>
        </is>
      </c>
      <c r="H186" s="10" t="inlineStr">
        <is>
          <t>Set Wadah Kedap</t>
        </is>
      </c>
      <c r="I186" s="19" t="n">
        <v>4</v>
      </c>
      <c r="J186" s="20" t="n">
        <v>135000</v>
      </c>
      <c r="K186" s="20" t="n">
        <v>540000</v>
      </c>
      <c r="L186" s="10">
        <f>IF($B186="","",TEXT($B186,"YYYY-MM"))</f>
        <v/>
      </c>
    </row>
    <row r="187">
      <c r="A187" s="10" t="inlineStr">
        <is>
          <t>INV-70647</t>
        </is>
      </c>
      <c r="B187" s="18" t="n">
        <v>45725</v>
      </c>
      <c r="C187" s="10" t="inlineStr">
        <is>
          <t>C1177</t>
        </is>
      </c>
      <c r="D187" s="10" t="inlineStr">
        <is>
          <t>occasional</t>
        </is>
      </c>
      <c r="E187" s="10" t="inlineStr">
        <is>
          <t>Tokopedia</t>
        </is>
      </c>
      <c r="F187" s="10" t="inlineStr">
        <is>
          <t>Lainnya</t>
        </is>
      </c>
      <c r="G187" s="10" t="inlineStr">
        <is>
          <t>Rumah Tangga</t>
        </is>
      </c>
      <c r="H187" s="10" t="inlineStr">
        <is>
          <t>Karpet Bulu</t>
        </is>
      </c>
      <c r="I187" s="19" t="n">
        <v>1</v>
      </c>
      <c r="J187" s="20" t="n">
        <v>240000</v>
      </c>
      <c r="K187" s="20" t="n">
        <v>240000</v>
      </c>
      <c r="L187" s="10">
        <f>IF($B187="","",TEXT($B187,"YYYY-MM"))</f>
        <v/>
      </c>
    </row>
    <row r="188">
      <c r="A188" s="10" t="inlineStr">
        <is>
          <t>INV-70363</t>
        </is>
      </c>
      <c r="B188" s="18" t="n">
        <v>45725</v>
      </c>
      <c r="C188" s="10" t="inlineStr">
        <is>
          <t>C1100</t>
        </is>
      </c>
      <c r="D188" s="10" t="inlineStr">
        <is>
          <t>occasional</t>
        </is>
      </c>
      <c r="E188" s="10" t="inlineStr">
        <is>
          <t>Shopee</t>
        </is>
      </c>
      <c r="F188" s="10" t="inlineStr">
        <is>
          <t>Jabodetabek</t>
        </is>
      </c>
      <c r="G188" s="10" t="inlineStr">
        <is>
          <t>Kecantikan</t>
        </is>
      </c>
      <c r="H188" s="10" t="inlineStr">
        <is>
          <t>Masker Wajah (5s)</t>
        </is>
      </c>
      <c r="I188" s="19" t="n">
        <v>3</v>
      </c>
      <c r="J188" s="20" t="n">
        <v>55000</v>
      </c>
      <c r="K188" s="20" t="n">
        <v>165000</v>
      </c>
      <c r="L188" s="10">
        <f>IF($B188="","",TEXT($B188,"YYYY-MM"))</f>
        <v/>
      </c>
    </row>
    <row r="189">
      <c r="A189" s="10" t="inlineStr">
        <is>
          <t>INV-71513</t>
        </is>
      </c>
      <c r="B189" s="18" t="n">
        <v>45725</v>
      </c>
      <c r="C189" s="10" t="inlineStr">
        <is>
          <t>C1415</t>
        </is>
      </c>
      <c r="D189" s="10" t="inlineStr">
        <is>
          <t>regular</t>
        </is>
      </c>
      <c r="E189" s="10" t="inlineStr">
        <is>
          <t>Tokopedia</t>
        </is>
      </c>
      <c r="F189" s="10" t="inlineStr">
        <is>
          <t>Jabodetabek</t>
        </is>
      </c>
      <c r="G189" s="10" t="inlineStr">
        <is>
          <t>Kecantikan</t>
        </is>
      </c>
      <c r="H189" s="10" t="inlineStr">
        <is>
          <t>Masker Wajah (5s)</t>
        </is>
      </c>
      <c r="I189" s="19" t="n">
        <v>2</v>
      </c>
      <c r="J189" s="20" t="n">
        <v>55000</v>
      </c>
      <c r="K189" s="20" t="n">
        <v>110000</v>
      </c>
      <c r="L189" s="10">
        <f>IF($B189="","",TEXT($B189,"YYYY-MM"))</f>
        <v/>
      </c>
    </row>
    <row r="190">
      <c r="A190" s="10" t="inlineStr">
        <is>
          <t>INV-71517</t>
        </is>
      </c>
      <c r="B190" s="18" t="n">
        <v>45726</v>
      </c>
      <c r="C190" s="10" t="inlineStr">
        <is>
          <t>C1417</t>
        </is>
      </c>
      <c r="D190" s="10" t="inlineStr">
        <is>
          <t>occasional</t>
        </is>
      </c>
      <c r="E190" s="10" t="inlineStr">
        <is>
          <t>Offline Store</t>
        </is>
      </c>
      <c r="F190" s="10" t="inlineStr">
        <is>
          <t>Jawa Barat</t>
        </is>
      </c>
      <c r="G190" s="10" t="inlineStr">
        <is>
          <t>Rumah Tangga</t>
        </is>
      </c>
      <c r="H190" s="10" t="inlineStr">
        <is>
          <t>Set Wadah Kedap</t>
        </is>
      </c>
      <c r="I190" s="19" t="n">
        <v>1</v>
      </c>
      <c r="J190" s="20" t="n">
        <v>135000</v>
      </c>
      <c r="K190" s="20" t="n">
        <v>135000</v>
      </c>
      <c r="L190" s="10">
        <f>IF($B190="","",TEXT($B190,"YYYY-MM"))</f>
        <v/>
      </c>
    </row>
    <row r="191">
      <c r="A191" s="10" t="inlineStr">
        <is>
          <t>INV-71173</t>
        </is>
      </c>
      <c r="B191" s="18" t="n">
        <v>45726</v>
      </c>
      <c r="C191" s="10" t="inlineStr">
        <is>
          <t>C1333</t>
        </is>
      </c>
      <c r="D191" s="10" t="inlineStr">
        <is>
          <t>regular</t>
        </is>
      </c>
      <c r="E191" s="10" t="inlineStr">
        <is>
          <t>Shopee</t>
        </is>
      </c>
      <c r="F191" s="10" t="inlineStr">
        <is>
          <t>Jabodetabek</t>
        </is>
      </c>
      <c r="G191" s="10" t="inlineStr">
        <is>
          <t>Makanan</t>
        </is>
      </c>
      <c r="H191" s="10" t="inlineStr">
        <is>
          <t>Granola 500g</t>
        </is>
      </c>
      <c r="I191" s="19" t="n">
        <v>1</v>
      </c>
      <c r="J191" s="20" t="n">
        <v>92000</v>
      </c>
      <c r="K191" s="20" t="n">
        <v>92000</v>
      </c>
      <c r="L191" s="10">
        <f>IF($B191="","",TEXT($B191,"YYYY-MM"))</f>
        <v/>
      </c>
    </row>
    <row r="192">
      <c r="A192" s="10" t="inlineStr">
        <is>
          <t>INV-70186</t>
        </is>
      </c>
      <c r="B192" s="18" t="n">
        <v>45726</v>
      </c>
      <c r="C192" s="10" t="inlineStr">
        <is>
          <t>C1053</t>
        </is>
      </c>
      <c r="D192" s="10" t="inlineStr">
        <is>
          <t>regular</t>
        </is>
      </c>
      <c r="E192" s="10" t="inlineStr">
        <is>
          <t>Shopee</t>
        </is>
      </c>
      <c r="F192" s="10" t="inlineStr">
        <is>
          <t>Jawa Timur</t>
        </is>
      </c>
      <c r="G192" s="10" t="inlineStr">
        <is>
          <t>Kecantikan</t>
        </is>
      </c>
      <c r="H192" s="10" t="inlineStr">
        <is>
          <t>Masker Wajah (5s)</t>
        </is>
      </c>
      <c r="I192" s="19" t="n">
        <v>4</v>
      </c>
      <c r="J192" s="20" t="n">
        <v>55000</v>
      </c>
      <c r="K192" s="20" t="n">
        <v>220000</v>
      </c>
      <c r="L192" s="10">
        <f>IF($B192="","",TEXT($B192,"YYYY-MM"))</f>
        <v/>
      </c>
    </row>
    <row r="193">
      <c r="A193" s="10" t="inlineStr">
        <is>
          <t>INV-71081</t>
        </is>
      </c>
      <c r="B193" s="18" t="n">
        <v>45727</v>
      </c>
      <c r="C193" s="10" t="inlineStr">
        <is>
          <t>C1305</t>
        </is>
      </c>
      <c r="D193" s="10" t="inlineStr">
        <is>
          <t>champion</t>
        </is>
      </c>
      <c r="E193" s="10" t="inlineStr">
        <is>
          <t>TikTok Shop</t>
        </is>
      </c>
      <c r="F193" s="10" t="inlineStr">
        <is>
          <t>Jabodetabek</t>
        </is>
      </c>
      <c r="G193" s="10" t="inlineStr">
        <is>
          <t>Rumah Tangga</t>
        </is>
      </c>
      <c r="H193" s="10" t="inlineStr">
        <is>
          <t>Set Wadah Kedap</t>
        </is>
      </c>
      <c r="I193" s="19" t="n">
        <v>2</v>
      </c>
      <c r="J193" s="20" t="n">
        <v>135000</v>
      </c>
      <c r="K193" s="20" t="n">
        <v>270000</v>
      </c>
      <c r="L193" s="10">
        <f>IF($B193="","",TEXT($B193,"YYYY-MM"))</f>
        <v/>
      </c>
    </row>
    <row r="194">
      <c r="A194" s="10" t="inlineStr">
        <is>
          <t>INV-70746</t>
        </is>
      </c>
      <c r="B194" s="18" t="n">
        <v>45727</v>
      </c>
      <c r="C194" s="10" t="inlineStr">
        <is>
          <t>C1210</t>
        </is>
      </c>
      <c r="D194" s="10" t="inlineStr">
        <is>
          <t>loyal</t>
        </is>
      </c>
      <c r="E194" s="10" t="inlineStr">
        <is>
          <t>Shopee</t>
        </is>
      </c>
      <c r="F194" s="10" t="inlineStr">
        <is>
          <t>Jabodetabek</t>
        </is>
      </c>
      <c r="G194" s="10" t="inlineStr">
        <is>
          <t>Rumah Tangga</t>
        </is>
      </c>
      <c r="H194" s="10" t="inlineStr">
        <is>
          <t>Set Wadah Kedap</t>
        </is>
      </c>
      <c r="I194" s="19" t="n">
        <v>4</v>
      </c>
      <c r="J194" s="20" t="n">
        <v>135000</v>
      </c>
      <c r="K194" s="20" t="n">
        <v>540000</v>
      </c>
      <c r="L194" s="10">
        <f>IF($B194="","",TEXT($B194,"YYYY-MM"))</f>
        <v/>
      </c>
    </row>
    <row r="195">
      <c r="A195" s="10" t="inlineStr">
        <is>
          <t>INV-71264</t>
        </is>
      </c>
      <c r="B195" s="18" t="n">
        <v>45727</v>
      </c>
      <c r="C195" s="10" t="inlineStr">
        <is>
          <t>C1358</t>
        </is>
      </c>
      <c r="D195" s="10" t="inlineStr">
        <is>
          <t>champion</t>
        </is>
      </c>
      <c r="E195" s="10" t="inlineStr">
        <is>
          <t>TikTok Shop</t>
        </is>
      </c>
      <c r="F195" s="10" t="inlineStr">
        <is>
          <t>Jabodetabek</t>
        </is>
      </c>
      <c r="G195" s="10" t="inlineStr">
        <is>
          <t>Fashion</t>
        </is>
      </c>
      <c r="H195" s="10" t="inlineStr">
        <is>
          <t>Dress Casual</t>
        </is>
      </c>
      <c r="I195" s="19" t="n">
        <v>1</v>
      </c>
      <c r="J195" s="20" t="n">
        <v>225000</v>
      </c>
      <c r="K195" s="20" t="n">
        <v>225000</v>
      </c>
      <c r="L195" s="10">
        <f>IF($B195="","",TEXT($B195,"YYYY-MM"))</f>
        <v/>
      </c>
    </row>
    <row r="196">
      <c r="A196" s="10" t="inlineStr">
        <is>
          <t>INV-71299</t>
        </is>
      </c>
      <c r="B196" s="18" t="n">
        <v>45727</v>
      </c>
      <c r="C196" s="10" t="inlineStr">
        <is>
          <t>C1360</t>
        </is>
      </c>
      <c r="D196" s="10" t="inlineStr">
        <is>
          <t>occasional</t>
        </is>
      </c>
      <c r="E196" s="10" t="inlineStr">
        <is>
          <t>Shopee</t>
        </is>
      </c>
      <c r="F196" s="10" t="inlineStr">
        <is>
          <t>Lainnya</t>
        </is>
      </c>
      <c r="G196" s="10" t="inlineStr">
        <is>
          <t>Rumah Tangga</t>
        </is>
      </c>
      <c r="H196" s="10" t="inlineStr">
        <is>
          <t>Organizer Laci</t>
        </is>
      </c>
      <c r="I196" s="19" t="n">
        <v>1</v>
      </c>
      <c r="J196" s="20" t="n">
        <v>78000</v>
      </c>
      <c r="K196" s="20" t="n">
        <v>78000</v>
      </c>
      <c r="L196" s="10">
        <f>IF($B196="","",TEXT($B196,"YYYY-MM"))</f>
        <v/>
      </c>
    </row>
    <row r="197">
      <c r="A197" s="10" t="inlineStr">
        <is>
          <t>INV-71128</t>
        </is>
      </c>
      <c r="B197" s="18" t="n">
        <v>45727</v>
      </c>
      <c r="C197" s="10" t="inlineStr">
        <is>
          <t>C1319</t>
        </is>
      </c>
      <c r="D197" s="10" t="inlineStr">
        <is>
          <t>onetime</t>
        </is>
      </c>
      <c r="E197" s="10" t="inlineStr">
        <is>
          <t>Shopee</t>
        </is>
      </c>
      <c r="F197" s="10" t="inlineStr">
        <is>
          <t>Jabodetabek</t>
        </is>
      </c>
      <c r="G197" s="10" t="inlineStr">
        <is>
          <t>Elektronik</t>
        </is>
      </c>
      <c r="H197" s="10" t="inlineStr">
        <is>
          <t>Smartwatch</t>
        </is>
      </c>
      <c r="I197" s="19" t="n">
        <v>4</v>
      </c>
      <c r="J197" s="20" t="n">
        <v>450000</v>
      </c>
      <c r="K197" s="20" t="n">
        <v>1800000</v>
      </c>
      <c r="L197" s="10">
        <f>IF($B197="","",TEXT($B197,"YYYY-MM"))</f>
        <v/>
      </c>
    </row>
    <row r="198">
      <c r="A198" s="10" t="inlineStr">
        <is>
          <t>INV-71469</t>
        </is>
      </c>
      <c r="B198" s="18" t="n">
        <v>45728</v>
      </c>
      <c r="C198" s="10" t="inlineStr">
        <is>
          <t>C1405</t>
        </is>
      </c>
      <c r="D198" s="10" t="inlineStr">
        <is>
          <t>regular</t>
        </is>
      </c>
      <c r="E198" s="10" t="inlineStr">
        <is>
          <t>Tokopedia</t>
        </is>
      </c>
      <c r="F198" s="10" t="inlineStr">
        <is>
          <t>Jabodetabek</t>
        </is>
      </c>
      <c r="G198" s="10" t="inlineStr">
        <is>
          <t>Rumah Tangga</t>
        </is>
      </c>
      <c r="H198" s="10" t="inlineStr">
        <is>
          <t>Set Wadah Kedap</t>
        </is>
      </c>
      <c r="I198" s="19" t="n">
        <v>1</v>
      </c>
      <c r="J198" s="20" t="n">
        <v>135000</v>
      </c>
      <c r="K198" s="20" t="n">
        <v>135000</v>
      </c>
      <c r="L198" s="10">
        <f>IF($B198="","",TEXT($B198,"YYYY-MM"))</f>
        <v/>
      </c>
    </row>
    <row r="199">
      <c r="A199" s="10" t="inlineStr">
        <is>
          <t>INV-70317</t>
        </is>
      </c>
      <c r="B199" s="18" t="n">
        <v>45728</v>
      </c>
      <c r="C199" s="10" t="inlineStr">
        <is>
          <t>C1088</t>
        </is>
      </c>
      <c r="D199" s="10" t="inlineStr">
        <is>
          <t>champion</t>
        </is>
      </c>
      <c r="E199" s="10" t="inlineStr">
        <is>
          <t>Tokopedia</t>
        </is>
      </c>
      <c r="F199" s="10" t="inlineStr">
        <is>
          <t>Jabodetabek</t>
        </is>
      </c>
      <c r="G199" s="10" t="inlineStr">
        <is>
          <t>Elektronik</t>
        </is>
      </c>
      <c r="H199" s="10" t="inlineStr">
        <is>
          <t>Webcam HD</t>
        </is>
      </c>
      <c r="I199" s="19" t="n">
        <v>1</v>
      </c>
      <c r="J199" s="20" t="n">
        <v>210000</v>
      </c>
      <c r="K199" s="20" t="n">
        <v>210000</v>
      </c>
      <c r="L199" s="10">
        <f>IF($B199="","",TEXT($B199,"YYYY-MM"))</f>
        <v/>
      </c>
    </row>
    <row r="200">
      <c r="A200" s="10" t="inlineStr">
        <is>
          <t>INV-70157</t>
        </is>
      </c>
      <c r="B200" s="18" t="n">
        <v>45728</v>
      </c>
      <c r="C200" s="10" t="inlineStr">
        <is>
          <t>C1048</t>
        </is>
      </c>
      <c r="D200" s="10" t="inlineStr">
        <is>
          <t>occasional</t>
        </is>
      </c>
      <c r="E200" s="10" t="inlineStr">
        <is>
          <t>TikTok Shop</t>
        </is>
      </c>
      <c r="F200" s="10" t="inlineStr">
        <is>
          <t>Jabodetabek</t>
        </is>
      </c>
      <c r="G200" s="10" t="inlineStr">
        <is>
          <t>Rumah Tangga</t>
        </is>
      </c>
      <c r="H200" s="10" t="inlineStr">
        <is>
          <t>Set Wadah Kedap</t>
        </is>
      </c>
      <c r="I200" s="19" t="n">
        <v>1</v>
      </c>
      <c r="J200" s="20" t="n">
        <v>135000</v>
      </c>
      <c r="K200" s="20" t="n">
        <v>135000</v>
      </c>
      <c r="L200" s="10">
        <f>IF($B200="","",TEXT($B200,"YYYY-MM"))</f>
        <v/>
      </c>
    </row>
    <row r="201">
      <c r="A201" s="10" t="inlineStr">
        <is>
          <t>INV-71440</t>
        </is>
      </c>
      <c r="B201" s="18" t="n">
        <v>45728</v>
      </c>
      <c r="C201" s="10" t="inlineStr">
        <is>
          <t>C1396</t>
        </is>
      </c>
      <c r="D201" s="10" t="inlineStr">
        <is>
          <t>loyal</t>
        </is>
      </c>
      <c r="E201" s="10" t="inlineStr">
        <is>
          <t>TikTok Shop</t>
        </is>
      </c>
      <c r="F201" s="10" t="inlineStr">
        <is>
          <t>Jabodetabek</t>
        </is>
      </c>
      <c r="G201" s="10" t="inlineStr">
        <is>
          <t>Elektronik</t>
        </is>
      </c>
      <c r="H201" s="10" t="inlineStr">
        <is>
          <t>Webcam HD</t>
        </is>
      </c>
      <c r="I201" s="19" t="n">
        <v>3</v>
      </c>
      <c r="J201" s="20" t="n">
        <v>210000</v>
      </c>
      <c r="K201" s="20" t="n">
        <v>630000</v>
      </c>
      <c r="L201" s="10">
        <f>IF($B201="","",TEXT($B201,"YYYY-MM"))</f>
        <v/>
      </c>
    </row>
    <row r="202">
      <c r="A202" s="10" t="inlineStr">
        <is>
          <t>INV-71216</t>
        </is>
      </c>
      <c r="B202" s="18" t="n">
        <v>45729</v>
      </c>
      <c r="C202" s="10" t="inlineStr">
        <is>
          <t>C1346</t>
        </is>
      </c>
      <c r="D202" s="10" t="inlineStr">
        <is>
          <t>regular</t>
        </is>
      </c>
      <c r="E202" s="10" t="inlineStr">
        <is>
          <t>Offline Store</t>
        </is>
      </c>
      <c r="F202" s="10" t="inlineStr">
        <is>
          <t>Lainnya</t>
        </is>
      </c>
      <c r="G202" s="10" t="inlineStr">
        <is>
          <t>Makanan</t>
        </is>
      </c>
      <c r="H202" s="10" t="inlineStr">
        <is>
          <t>Granola 500g</t>
        </is>
      </c>
      <c r="I202" s="19" t="n">
        <v>1</v>
      </c>
      <c r="J202" s="20" t="n">
        <v>92000</v>
      </c>
      <c r="K202" s="20" t="n">
        <v>92000</v>
      </c>
      <c r="L202" s="10">
        <f>IF($B202="","",TEXT($B202,"YYYY-MM"))</f>
        <v/>
      </c>
    </row>
    <row r="203">
      <c r="A203" s="10" t="inlineStr">
        <is>
          <t>INV-70087</t>
        </is>
      </c>
      <c r="B203" s="18" t="n">
        <v>45729</v>
      </c>
      <c r="C203" s="10" t="inlineStr">
        <is>
          <t>C1025</t>
        </is>
      </c>
      <c r="D203" s="10" t="inlineStr">
        <is>
          <t>loyal</t>
        </is>
      </c>
      <c r="E203" s="10" t="inlineStr">
        <is>
          <t>TikTok Shop</t>
        </is>
      </c>
      <c r="F203" s="10" t="inlineStr">
        <is>
          <t>Jabodetabek</t>
        </is>
      </c>
      <c r="G203" s="10" t="inlineStr">
        <is>
          <t>Elektronik</t>
        </is>
      </c>
      <c r="H203" s="10" t="inlineStr">
        <is>
          <t>Keyboard Mekanik</t>
        </is>
      </c>
      <c r="I203" s="19" t="n">
        <v>1</v>
      </c>
      <c r="J203" s="20" t="n">
        <v>380000</v>
      </c>
      <c r="K203" s="20" t="n">
        <v>380000</v>
      </c>
      <c r="L203" s="10">
        <f>IF($B203="","",TEXT($B203,"YYYY-MM"))</f>
        <v/>
      </c>
    </row>
    <row r="204">
      <c r="A204" s="10" t="inlineStr">
        <is>
          <t>INV-71103</t>
        </is>
      </c>
      <c r="B204" s="18" t="n">
        <v>45729</v>
      </c>
      <c r="C204" s="10" t="inlineStr">
        <is>
          <t>C1310</t>
        </is>
      </c>
      <c r="D204" s="10" t="inlineStr">
        <is>
          <t>loyal</t>
        </is>
      </c>
      <c r="E204" s="10" t="inlineStr">
        <is>
          <t>Offline Store</t>
        </is>
      </c>
      <c r="F204" s="10" t="inlineStr">
        <is>
          <t>Jawa Barat</t>
        </is>
      </c>
      <c r="G204" s="10" t="inlineStr">
        <is>
          <t>Rumah Tangga</t>
        </is>
      </c>
      <c r="H204" s="10" t="inlineStr">
        <is>
          <t>Set Wadah Kedap</t>
        </is>
      </c>
      <c r="I204" s="19" t="n">
        <v>1</v>
      </c>
      <c r="J204" s="20" t="n">
        <v>135000</v>
      </c>
      <c r="K204" s="20" t="n">
        <v>135000</v>
      </c>
      <c r="L204" s="10">
        <f>IF($B204="","",TEXT($B204,"YYYY-MM"))</f>
        <v/>
      </c>
    </row>
    <row r="205">
      <c r="A205" s="10" t="inlineStr">
        <is>
          <t>INV-70075</t>
        </is>
      </c>
      <c r="B205" s="18" t="n">
        <v>45729</v>
      </c>
      <c r="C205" s="10" t="inlineStr">
        <is>
          <t>C1024</t>
        </is>
      </c>
      <c r="D205" s="10" t="inlineStr">
        <is>
          <t>regular</t>
        </is>
      </c>
      <c r="E205" s="10" t="inlineStr">
        <is>
          <t>TikTok Shop</t>
        </is>
      </c>
      <c r="F205" s="10" t="inlineStr">
        <is>
          <t>Jawa Barat</t>
        </is>
      </c>
      <c r="G205" s="10" t="inlineStr">
        <is>
          <t>Rumah Tangga</t>
        </is>
      </c>
      <c r="H205" s="10" t="inlineStr">
        <is>
          <t>Organizer Laci</t>
        </is>
      </c>
      <c r="I205" s="19" t="n">
        <v>2</v>
      </c>
      <c r="J205" s="20" t="n">
        <v>78000</v>
      </c>
      <c r="K205" s="20" t="n">
        <v>156000</v>
      </c>
      <c r="L205" s="10">
        <f>IF($B205="","",TEXT($B205,"YYYY-MM"))</f>
        <v/>
      </c>
    </row>
    <row r="206">
      <c r="A206" s="10" t="inlineStr">
        <is>
          <t>INV-70598</t>
        </is>
      </c>
      <c r="B206" s="18" t="n">
        <v>45730</v>
      </c>
      <c r="C206" s="10" t="inlineStr">
        <is>
          <t>C1161</t>
        </is>
      </c>
      <c r="D206" s="10" t="inlineStr">
        <is>
          <t>champion</t>
        </is>
      </c>
      <c r="E206" s="10" t="inlineStr">
        <is>
          <t>Shopee</t>
        </is>
      </c>
      <c r="F206" s="10" t="inlineStr">
        <is>
          <t>Jawa Barat</t>
        </is>
      </c>
      <c r="G206" s="10" t="inlineStr">
        <is>
          <t>Kecantikan</t>
        </is>
      </c>
      <c r="H206" s="10" t="inlineStr">
        <is>
          <t>Lip Tint</t>
        </is>
      </c>
      <c r="I206" s="19" t="n">
        <v>4</v>
      </c>
      <c r="J206" s="20" t="n">
        <v>65000</v>
      </c>
      <c r="K206" s="20" t="n">
        <v>260000</v>
      </c>
      <c r="L206" s="10">
        <f>IF($B206="","",TEXT($B206,"YYYY-MM"))</f>
        <v/>
      </c>
    </row>
    <row r="207">
      <c r="A207" s="10" t="inlineStr">
        <is>
          <t>INV-70584</t>
        </is>
      </c>
      <c r="B207" s="18" t="n">
        <v>45730</v>
      </c>
      <c r="C207" s="10" t="inlineStr">
        <is>
          <t>C1158</t>
        </is>
      </c>
      <c r="D207" s="10" t="inlineStr">
        <is>
          <t>regular</t>
        </is>
      </c>
      <c r="E207" s="10" t="inlineStr">
        <is>
          <t>Tokopedia</t>
        </is>
      </c>
      <c r="F207" s="10" t="inlineStr">
        <is>
          <t>Sumatera</t>
        </is>
      </c>
      <c r="G207" s="10" t="inlineStr">
        <is>
          <t>Rumah Tangga</t>
        </is>
      </c>
      <c r="H207" s="10" t="inlineStr">
        <is>
          <t>Organizer Laci</t>
        </is>
      </c>
      <c r="I207" s="19" t="n">
        <v>1</v>
      </c>
      <c r="J207" s="20" t="n">
        <v>78000</v>
      </c>
      <c r="K207" s="20" t="n">
        <v>78000</v>
      </c>
      <c r="L207" s="10">
        <f>IF($B207="","",TEXT($B207,"YYYY-MM"))</f>
        <v/>
      </c>
    </row>
    <row r="208">
      <c r="A208" s="10" t="inlineStr">
        <is>
          <t>INV-71368</t>
        </is>
      </c>
      <c r="B208" s="18" t="n">
        <v>45730</v>
      </c>
      <c r="C208" s="10" t="inlineStr">
        <is>
          <t>C1377</t>
        </is>
      </c>
      <c r="D208" s="10" t="inlineStr">
        <is>
          <t>champion</t>
        </is>
      </c>
      <c r="E208" s="10" t="inlineStr">
        <is>
          <t>Shopee</t>
        </is>
      </c>
      <c r="F208" s="10" t="inlineStr">
        <is>
          <t>Jawa Timur</t>
        </is>
      </c>
      <c r="G208" s="10" t="inlineStr">
        <is>
          <t>Elektronik</t>
        </is>
      </c>
      <c r="H208" s="10" t="inlineStr">
        <is>
          <t>Earbuds TWS</t>
        </is>
      </c>
      <c r="I208" s="19" t="n">
        <v>1</v>
      </c>
      <c r="J208" s="20" t="n">
        <v>265000</v>
      </c>
      <c r="K208" s="20" t="n">
        <v>265000</v>
      </c>
      <c r="L208" s="10">
        <f>IF($B208="","",TEXT($B208,"YYYY-MM"))</f>
        <v/>
      </c>
    </row>
    <row r="209">
      <c r="A209" s="10" t="inlineStr">
        <is>
          <t>INV-71518</t>
        </is>
      </c>
      <c r="B209" s="18" t="n">
        <v>45731</v>
      </c>
      <c r="C209" s="10" t="inlineStr">
        <is>
          <t>C1417</t>
        </is>
      </c>
      <c r="D209" s="10" t="inlineStr">
        <is>
          <t>occasional</t>
        </is>
      </c>
      <c r="E209" s="10" t="inlineStr">
        <is>
          <t>Offline Store</t>
        </is>
      </c>
      <c r="F209" s="10" t="inlineStr">
        <is>
          <t>Jabodetabek</t>
        </is>
      </c>
      <c r="G209" s="10" t="inlineStr">
        <is>
          <t>Fashion</t>
        </is>
      </c>
      <c r="H209" s="10" t="inlineStr">
        <is>
          <t>Celana Chino</t>
        </is>
      </c>
      <c r="I209" s="19" t="n">
        <v>4</v>
      </c>
      <c r="J209" s="20" t="n">
        <v>195000</v>
      </c>
      <c r="K209" s="20" t="n">
        <v>780000</v>
      </c>
      <c r="L209" s="10">
        <f>IF($B209="","",TEXT($B209,"YYYY-MM"))</f>
        <v/>
      </c>
    </row>
    <row r="210">
      <c r="A210" s="10" t="inlineStr">
        <is>
          <t>INV-70556</t>
        </is>
      </c>
      <c r="B210" s="18" t="n">
        <v>45731</v>
      </c>
      <c r="C210" s="10" t="inlineStr">
        <is>
          <t>C1153</t>
        </is>
      </c>
      <c r="D210" s="10" t="inlineStr">
        <is>
          <t>loyal</t>
        </is>
      </c>
      <c r="E210" s="10" t="inlineStr">
        <is>
          <t>TikTok Shop</t>
        </is>
      </c>
      <c r="F210" s="10" t="inlineStr">
        <is>
          <t>Jabodetabek</t>
        </is>
      </c>
      <c r="G210" s="10" t="inlineStr">
        <is>
          <t>Elektronik</t>
        </is>
      </c>
      <c r="H210" s="10" t="inlineStr">
        <is>
          <t>Smartwatch</t>
        </is>
      </c>
      <c r="I210" s="19" t="n">
        <v>1</v>
      </c>
      <c r="J210" s="20" t="n">
        <v>450000</v>
      </c>
      <c r="K210" s="20" t="n">
        <v>450000</v>
      </c>
      <c r="L210" s="10">
        <f>IF($B210="","",TEXT($B210,"YYYY-MM"))</f>
        <v/>
      </c>
    </row>
    <row r="211">
      <c r="A211" s="10" t="inlineStr">
        <is>
          <t>INV-71442</t>
        </is>
      </c>
      <c r="B211" s="18" t="n">
        <v>45731</v>
      </c>
      <c r="C211" s="10" t="inlineStr">
        <is>
          <t>C1397</t>
        </is>
      </c>
      <c r="D211" s="10" t="inlineStr">
        <is>
          <t>occasional</t>
        </is>
      </c>
      <c r="E211" s="10" t="inlineStr">
        <is>
          <t>Tokopedia</t>
        </is>
      </c>
      <c r="F211" s="10" t="inlineStr">
        <is>
          <t>Jabodetabek</t>
        </is>
      </c>
      <c r="G211" s="10" t="inlineStr">
        <is>
          <t>Rumah Tangga</t>
        </is>
      </c>
      <c r="H211" s="10" t="inlineStr">
        <is>
          <t>Set Wadah Kedap</t>
        </is>
      </c>
      <c r="I211" s="19" t="n">
        <v>2</v>
      </c>
      <c r="J211" s="20" t="n">
        <v>135000</v>
      </c>
      <c r="K211" s="20" t="n">
        <v>270000</v>
      </c>
      <c r="L211" s="10">
        <f>IF($B211="","",TEXT($B211,"YYYY-MM"))</f>
        <v/>
      </c>
    </row>
    <row r="212">
      <c r="A212" s="10" t="inlineStr">
        <is>
          <t>INV-71157</t>
        </is>
      </c>
      <c r="B212" s="18" t="n">
        <v>45732</v>
      </c>
      <c r="C212" s="10" t="inlineStr">
        <is>
          <t>C1327</t>
        </is>
      </c>
      <c r="D212" s="10" t="inlineStr">
        <is>
          <t>regular</t>
        </is>
      </c>
      <c r="E212" s="10" t="inlineStr">
        <is>
          <t>Tokopedia</t>
        </is>
      </c>
      <c r="F212" s="10" t="inlineStr">
        <is>
          <t>Jabodetabek</t>
        </is>
      </c>
      <c r="G212" s="10" t="inlineStr">
        <is>
          <t>Rumah Tangga</t>
        </is>
      </c>
      <c r="H212" s="10" t="inlineStr">
        <is>
          <t>Set Wadah Kedap</t>
        </is>
      </c>
      <c r="I212" s="19" t="n">
        <v>1</v>
      </c>
      <c r="J212" s="20" t="n">
        <v>135000</v>
      </c>
      <c r="K212" s="20" t="n">
        <v>135000</v>
      </c>
      <c r="L212" s="10">
        <f>IF($B212="","",TEXT($B212,"YYYY-MM"))</f>
        <v/>
      </c>
    </row>
    <row r="213">
      <c r="A213" s="10" t="inlineStr">
        <is>
          <t>INV-71522</t>
        </is>
      </c>
      <c r="B213" s="18" t="n">
        <v>45732</v>
      </c>
      <c r="C213" s="10" t="inlineStr">
        <is>
          <t>C1419</t>
        </is>
      </c>
      <c r="D213" s="10" t="inlineStr">
        <is>
          <t>loyal</t>
        </is>
      </c>
      <c r="E213" s="10" t="inlineStr">
        <is>
          <t>Offline Store</t>
        </is>
      </c>
      <c r="F213" s="10" t="inlineStr">
        <is>
          <t>Jawa Barat</t>
        </is>
      </c>
      <c r="G213" s="10" t="inlineStr">
        <is>
          <t>Elektronik</t>
        </is>
      </c>
      <c r="H213" s="10" t="inlineStr">
        <is>
          <t>Power Bank 20K</t>
        </is>
      </c>
      <c r="I213" s="19" t="n">
        <v>2</v>
      </c>
      <c r="J213" s="20" t="n">
        <v>185000</v>
      </c>
      <c r="K213" s="20" t="n">
        <v>370000</v>
      </c>
      <c r="L213" s="10">
        <f>IF($B213="","",TEXT($B213,"YYYY-MM"))</f>
        <v/>
      </c>
    </row>
    <row r="214">
      <c r="A214" s="10" t="inlineStr">
        <is>
          <t>INV-71454</t>
        </is>
      </c>
      <c r="B214" s="18" t="n">
        <v>45732</v>
      </c>
      <c r="C214" s="10" t="inlineStr">
        <is>
          <t>C1402</t>
        </is>
      </c>
      <c r="D214" s="10" t="inlineStr">
        <is>
          <t>occasional</t>
        </is>
      </c>
      <c r="E214" s="10" t="inlineStr">
        <is>
          <t>Tokopedia</t>
        </is>
      </c>
      <c r="F214" s="10" t="inlineStr">
        <is>
          <t>Lainnya</t>
        </is>
      </c>
      <c r="G214" s="10" t="inlineStr">
        <is>
          <t>Rumah Tangga</t>
        </is>
      </c>
      <c r="H214" s="10" t="inlineStr">
        <is>
          <t>Set Wadah Kedap</t>
        </is>
      </c>
      <c r="I214" s="19" t="n">
        <v>4</v>
      </c>
      <c r="J214" s="20" t="n">
        <v>135000</v>
      </c>
      <c r="K214" s="20" t="n">
        <v>540000</v>
      </c>
      <c r="L214" s="10">
        <f>IF($B214="","",TEXT($B214,"YYYY-MM"))</f>
        <v/>
      </c>
    </row>
    <row r="215">
      <c r="A215" s="10" t="inlineStr">
        <is>
          <t>INV-71185</t>
        </is>
      </c>
      <c r="B215" s="18" t="n">
        <v>45732</v>
      </c>
      <c r="C215" s="10" t="inlineStr">
        <is>
          <t>C1334</t>
        </is>
      </c>
      <c r="D215" s="10" t="inlineStr">
        <is>
          <t>champion</t>
        </is>
      </c>
      <c r="E215" s="10" t="inlineStr">
        <is>
          <t>TikTok Shop</t>
        </is>
      </c>
      <c r="F215" s="10" t="inlineStr">
        <is>
          <t>Jawa Tengah</t>
        </is>
      </c>
      <c r="G215" s="10" t="inlineStr">
        <is>
          <t>Rumah Tangga</t>
        </is>
      </c>
      <c r="H215" s="10" t="inlineStr">
        <is>
          <t>Organizer Laci</t>
        </is>
      </c>
      <c r="I215" s="19" t="n">
        <v>1</v>
      </c>
      <c r="J215" s="20" t="n">
        <v>78000</v>
      </c>
      <c r="K215" s="20" t="n">
        <v>78000</v>
      </c>
      <c r="L215" s="10">
        <f>IF($B215="","",TEXT($B215,"YYYY-MM"))</f>
        <v/>
      </c>
    </row>
    <row r="216">
      <c r="A216" s="10" t="inlineStr">
        <is>
          <t>INV-70027</t>
        </is>
      </c>
      <c r="B216" s="18" t="n">
        <v>45732</v>
      </c>
      <c r="C216" s="10" t="inlineStr">
        <is>
          <t>C1006</t>
        </is>
      </c>
      <c r="D216" s="10" t="inlineStr">
        <is>
          <t>regular</t>
        </is>
      </c>
      <c r="E216" s="10" t="inlineStr">
        <is>
          <t>Shopee</t>
        </is>
      </c>
      <c r="F216" s="10" t="inlineStr">
        <is>
          <t>Jawa Tengah</t>
        </is>
      </c>
      <c r="G216" s="10" t="inlineStr">
        <is>
          <t>Rumah Tangga</t>
        </is>
      </c>
      <c r="H216" s="10" t="inlineStr">
        <is>
          <t>Set Wadah Kedap</t>
        </is>
      </c>
      <c r="I216" s="19" t="n">
        <v>1</v>
      </c>
      <c r="J216" s="20" t="n">
        <v>135000</v>
      </c>
      <c r="K216" s="20" t="n">
        <v>135000</v>
      </c>
      <c r="L216" s="10">
        <f>IF($B216="","",TEXT($B216,"YYYY-MM"))</f>
        <v/>
      </c>
    </row>
    <row r="217">
      <c r="A217" s="10" t="inlineStr">
        <is>
          <t>INV-70517</t>
        </is>
      </c>
      <c r="B217" s="18" t="n">
        <v>45732</v>
      </c>
      <c r="C217" s="10" t="inlineStr">
        <is>
          <t>C1142</t>
        </is>
      </c>
      <c r="D217" s="10" t="inlineStr">
        <is>
          <t>champion</t>
        </is>
      </c>
      <c r="E217" s="10" t="inlineStr">
        <is>
          <t>Tokopedia</t>
        </is>
      </c>
      <c r="F217" s="10" t="inlineStr">
        <is>
          <t>Jawa Barat</t>
        </is>
      </c>
      <c r="G217" s="10" t="inlineStr">
        <is>
          <t>Elektronik</t>
        </is>
      </c>
      <c r="H217" s="10" t="inlineStr">
        <is>
          <t>Power Bank 20K</t>
        </is>
      </c>
      <c r="I217" s="19" t="n">
        <v>2</v>
      </c>
      <c r="J217" s="20" t="n">
        <v>185000</v>
      </c>
      <c r="K217" s="20" t="n">
        <v>370000</v>
      </c>
      <c r="L217" s="10">
        <f>IF($B217="","",TEXT($B217,"YYYY-MM"))</f>
        <v/>
      </c>
    </row>
    <row r="218">
      <c r="A218" s="10" t="inlineStr">
        <is>
          <t>INV-70372</t>
        </is>
      </c>
      <c r="B218" s="18" t="n">
        <v>45733</v>
      </c>
      <c r="C218" s="10" t="inlineStr">
        <is>
          <t>C1106</t>
        </is>
      </c>
      <c r="D218" s="10" t="inlineStr">
        <is>
          <t>onetime</t>
        </is>
      </c>
      <c r="E218" s="10" t="inlineStr">
        <is>
          <t>Tokopedia</t>
        </is>
      </c>
      <c r="F218" s="10" t="inlineStr">
        <is>
          <t>Jawa Barat</t>
        </is>
      </c>
      <c r="G218" s="10" t="inlineStr">
        <is>
          <t>Rumah Tangga</t>
        </is>
      </c>
      <c r="H218" s="10" t="inlineStr">
        <is>
          <t>Set Wadah Kedap</t>
        </is>
      </c>
      <c r="I218" s="19" t="n">
        <v>2</v>
      </c>
      <c r="J218" s="20" t="n">
        <v>135000</v>
      </c>
      <c r="K218" s="20" t="n">
        <v>270000</v>
      </c>
      <c r="L218" s="10">
        <f>IF($B218="","",TEXT($B218,"YYYY-MM"))</f>
        <v/>
      </c>
    </row>
    <row r="219">
      <c r="A219" s="10" t="inlineStr">
        <is>
          <t>INV-71150</t>
        </is>
      </c>
      <c r="B219" s="18" t="n">
        <v>45733</v>
      </c>
      <c r="C219" s="10" t="inlineStr">
        <is>
          <t>C1326</t>
        </is>
      </c>
      <c r="D219" s="10" t="inlineStr">
        <is>
          <t>loyal</t>
        </is>
      </c>
      <c r="E219" s="10" t="inlineStr">
        <is>
          <t>Shopee</t>
        </is>
      </c>
      <c r="F219" s="10" t="inlineStr">
        <is>
          <t>Jabodetabek</t>
        </is>
      </c>
      <c r="G219" s="10" t="inlineStr">
        <is>
          <t>Rumah Tangga</t>
        </is>
      </c>
      <c r="H219" s="10" t="inlineStr">
        <is>
          <t>Set Wadah Kedap</t>
        </is>
      </c>
      <c r="I219" s="19" t="n">
        <v>3</v>
      </c>
      <c r="J219" s="20" t="n">
        <v>135000</v>
      </c>
      <c r="K219" s="20" t="n">
        <v>405000</v>
      </c>
      <c r="L219" s="10">
        <f>IF($B219="","",TEXT($B219,"YYYY-MM"))</f>
        <v/>
      </c>
    </row>
    <row r="220">
      <c r="A220" s="10" t="inlineStr">
        <is>
          <t>INV-70143</t>
        </is>
      </c>
      <c r="B220" s="18" t="n">
        <v>45734</v>
      </c>
      <c r="C220" s="10" t="inlineStr">
        <is>
          <t>C1040</t>
        </is>
      </c>
      <c r="D220" s="10" t="inlineStr">
        <is>
          <t>occasional</t>
        </is>
      </c>
      <c r="E220" s="10" t="inlineStr">
        <is>
          <t>Offline Store</t>
        </is>
      </c>
      <c r="F220" s="10" t="inlineStr">
        <is>
          <t>Jabodetabek</t>
        </is>
      </c>
      <c r="G220" s="10" t="inlineStr">
        <is>
          <t>Rumah Tangga</t>
        </is>
      </c>
      <c r="H220" s="10" t="inlineStr">
        <is>
          <t>Set Wadah Kedap</t>
        </is>
      </c>
      <c r="I220" s="19" t="n">
        <v>2</v>
      </c>
      <c r="J220" s="20" t="n">
        <v>135000</v>
      </c>
      <c r="K220" s="20" t="n">
        <v>270000</v>
      </c>
      <c r="L220" s="10">
        <f>IF($B220="","",TEXT($B220,"YYYY-MM"))</f>
        <v/>
      </c>
    </row>
    <row r="221">
      <c r="A221" s="10" t="inlineStr">
        <is>
          <t>INV-70794</t>
        </is>
      </c>
      <c r="B221" s="18" t="n">
        <v>45735</v>
      </c>
      <c r="C221" s="10" t="inlineStr">
        <is>
          <t>C1223</t>
        </is>
      </c>
      <c r="D221" s="10" t="inlineStr">
        <is>
          <t>loyal</t>
        </is>
      </c>
      <c r="E221" s="10" t="inlineStr">
        <is>
          <t>Tokopedia</t>
        </is>
      </c>
      <c r="F221" s="10" t="inlineStr">
        <is>
          <t>Jabodetabek</t>
        </is>
      </c>
      <c r="G221" s="10" t="inlineStr">
        <is>
          <t>Rumah Tangga</t>
        </is>
      </c>
      <c r="H221" s="10" t="inlineStr">
        <is>
          <t>Karpet Bulu</t>
        </is>
      </c>
      <c r="I221" s="19" t="n">
        <v>1</v>
      </c>
      <c r="J221" s="20" t="n">
        <v>240000</v>
      </c>
      <c r="K221" s="20" t="n">
        <v>240000</v>
      </c>
      <c r="L221" s="10">
        <f>IF($B221="","",TEXT($B221,"YYYY-MM"))</f>
        <v/>
      </c>
    </row>
    <row r="222">
      <c r="A222" s="10" t="inlineStr">
        <is>
          <t>INV-71034</t>
        </is>
      </c>
      <c r="B222" s="18" t="n">
        <v>45735</v>
      </c>
      <c r="C222" s="10" t="inlineStr">
        <is>
          <t>C1294</t>
        </is>
      </c>
      <c r="D222" s="10" t="inlineStr">
        <is>
          <t>loyal</t>
        </is>
      </c>
      <c r="E222" s="10" t="inlineStr">
        <is>
          <t>Shopee</t>
        </is>
      </c>
      <c r="F222" s="10" t="inlineStr">
        <is>
          <t>Jawa Timur</t>
        </is>
      </c>
      <c r="G222" s="10" t="inlineStr">
        <is>
          <t>Kecantikan</t>
        </is>
      </c>
      <c r="H222" s="10" t="inlineStr">
        <is>
          <t>Masker Wajah (5s)</t>
        </is>
      </c>
      <c r="I222" s="19" t="n">
        <v>1</v>
      </c>
      <c r="J222" s="20" t="n">
        <v>55000</v>
      </c>
      <c r="K222" s="20" t="n">
        <v>55000</v>
      </c>
      <c r="L222" s="10">
        <f>IF($B222="","",TEXT($B222,"YYYY-MM"))</f>
        <v/>
      </c>
    </row>
    <row r="223">
      <c r="A223" s="10" t="inlineStr">
        <is>
          <t>INV-70877</t>
        </is>
      </c>
      <c r="B223" s="18" t="n">
        <v>45735</v>
      </c>
      <c r="C223" s="10" t="inlineStr">
        <is>
          <t>C1246</t>
        </is>
      </c>
      <c r="D223" s="10" t="inlineStr">
        <is>
          <t>champion</t>
        </is>
      </c>
      <c r="E223" s="10" t="inlineStr">
        <is>
          <t>TikTok Shop</t>
        </is>
      </c>
      <c r="F223" s="10" t="inlineStr">
        <is>
          <t>Jawa Barat</t>
        </is>
      </c>
      <c r="G223" s="10" t="inlineStr">
        <is>
          <t>Elektronik</t>
        </is>
      </c>
      <c r="H223" s="10" t="inlineStr">
        <is>
          <t>Earbuds TWS</t>
        </is>
      </c>
      <c r="I223" s="19" t="n">
        <v>4</v>
      </c>
      <c r="J223" s="20" t="n">
        <v>265000</v>
      </c>
      <c r="K223" s="20" t="n">
        <v>1060000</v>
      </c>
      <c r="L223" s="10">
        <f>IF($B223="","",TEXT($B223,"YYYY-MM"))</f>
        <v/>
      </c>
    </row>
    <row r="224">
      <c r="A224" s="10" t="inlineStr">
        <is>
          <t>INV-71316</t>
        </is>
      </c>
      <c r="B224" s="18" t="n">
        <v>45735</v>
      </c>
      <c r="C224" s="10" t="inlineStr">
        <is>
          <t>C1364</t>
        </is>
      </c>
      <c r="D224" s="10" t="inlineStr">
        <is>
          <t>champion</t>
        </is>
      </c>
      <c r="E224" s="10" t="inlineStr">
        <is>
          <t>Tokopedia</t>
        </is>
      </c>
      <c r="F224" s="10" t="inlineStr">
        <is>
          <t>Sumatera</t>
        </is>
      </c>
      <c r="G224" s="10" t="inlineStr">
        <is>
          <t>Kecantikan</t>
        </is>
      </c>
      <c r="H224" s="10" t="inlineStr">
        <is>
          <t>Masker Wajah (5s)</t>
        </is>
      </c>
      <c r="I224" s="19" t="n">
        <v>2</v>
      </c>
      <c r="J224" s="20" t="n">
        <v>55000</v>
      </c>
      <c r="K224" s="20" t="n">
        <v>110000</v>
      </c>
      <c r="L224" s="10">
        <f>IF($B224="","",TEXT($B224,"YYYY-MM"))</f>
        <v/>
      </c>
    </row>
    <row r="225">
      <c r="A225" s="10" t="inlineStr">
        <is>
          <t>INV-70425</t>
        </is>
      </c>
      <c r="B225" s="18" t="n">
        <v>45736</v>
      </c>
      <c r="C225" s="10" t="inlineStr">
        <is>
          <t>C1119</t>
        </is>
      </c>
      <c r="D225" s="10" t="inlineStr">
        <is>
          <t>regular</t>
        </is>
      </c>
      <c r="E225" s="10" t="inlineStr">
        <is>
          <t>Tokopedia</t>
        </is>
      </c>
      <c r="F225" s="10" t="inlineStr">
        <is>
          <t>Jabodetabek</t>
        </is>
      </c>
      <c r="G225" s="10" t="inlineStr">
        <is>
          <t>Rumah Tangga</t>
        </is>
      </c>
      <c r="H225" s="10" t="inlineStr">
        <is>
          <t>Set Wadah Kedap</t>
        </is>
      </c>
      <c r="I225" s="19" t="n">
        <v>3</v>
      </c>
      <c r="J225" s="20" t="n">
        <v>135000</v>
      </c>
      <c r="K225" s="20" t="n">
        <v>405000</v>
      </c>
      <c r="L225" s="10">
        <f>IF($B225="","",TEXT($B225,"YYYY-MM"))</f>
        <v/>
      </c>
    </row>
    <row r="226">
      <c r="A226" s="10" t="inlineStr">
        <is>
          <t>INV-70038</t>
        </is>
      </c>
      <c r="B226" s="18" t="n">
        <v>45736</v>
      </c>
      <c r="C226" s="10" t="inlineStr">
        <is>
          <t>C1009</t>
        </is>
      </c>
      <c r="D226" s="10" t="inlineStr">
        <is>
          <t>occasional</t>
        </is>
      </c>
      <c r="E226" s="10" t="inlineStr">
        <is>
          <t>TikTok Shop</t>
        </is>
      </c>
      <c r="F226" s="10" t="inlineStr">
        <is>
          <t>Jabodetabek</t>
        </is>
      </c>
      <c r="G226" s="10" t="inlineStr">
        <is>
          <t>Rumah Tangga</t>
        </is>
      </c>
      <c r="H226" s="10" t="inlineStr">
        <is>
          <t>Organizer Laci</t>
        </is>
      </c>
      <c r="I226" s="19" t="n">
        <v>1</v>
      </c>
      <c r="J226" s="20" t="n">
        <v>78000</v>
      </c>
      <c r="K226" s="20" t="n">
        <v>78000</v>
      </c>
      <c r="L226" s="10">
        <f>IF($B226="","",TEXT($B226,"YYYY-MM"))</f>
        <v/>
      </c>
    </row>
    <row r="227">
      <c r="A227" s="10" t="inlineStr">
        <is>
          <t>INV-70454</t>
        </is>
      </c>
      <c r="B227" s="18" t="n">
        <v>45736</v>
      </c>
      <c r="C227" s="10" t="inlineStr">
        <is>
          <t>C1129</t>
        </is>
      </c>
      <c r="D227" s="10" t="inlineStr">
        <is>
          <t>regular</t>
        </is>
      </c>
      <c r="E227" s="10" t="inlineStr">
        <is>
          <t>TikTok Shop</t>
        </is>
      </c>
      <c r="F227" s="10" t="inlineStr">
        <is>
          <t>Jawa Timur</t>
        </is>
      </c>
      <c r="G227" s="10" t="inlineStr">
        <is>
          <t>Makanan</t>
        </is>
      </c>
      <c r="H227" s="10" t="inlineStr">
        <is>
          <t>Madu Hutan 250ml</t>
        </is>
      </c>
      <c r="I227" s="19" t="n">
        <v>2</v>
      </c>
      <c r="J227" s="20" t="n">
        <v>110000</v>
      </c>
      <c r="K227" s="20" t="n">
        <v>220000</v>
      </c>
      <c r="L227" s="10">
        <f>IF($B227="","",TEXT($B227,"YYYY-MM"))</f>
        <v/>
      </c>
    </row>
    <row r="228">
      <c r="A228" s="10" t="inlineStr">
        <is>
          <t>INV-70296</t>
        </is>
      </c>
      <c r="B228" s="18" t="n">
        <v>45736</v>
      </c>
      <c r="C228" s="10" t="inlineStr">
        <is>
          <t>C1084</t>
        </is>
      </c>
      <c r="D228" s="10" t="inlineStr">
        <is>
          <t>loyal</t>
        </is>
      </c>
      <c r="E228" s="10" t="inlineStr">
        <is>
          <t>TikTok Shop</t>
        </is>
      </c>
      <c r="F228" s="10" t="inlineStr">
        <is>
          <t>Jawa Timur</t>
        </is>
      </c>
      <c r="G228" s="10" t="inlineStr">
        <is>
          <t>Rumah Tangga</t>
        </is>
      </c>
      <c r="H228" s="10" t="inlineStr">
        <is>
          <t>Set Wadah Kedap</t>
        </is>
      </c>
      <c r="I228" s="19" t="n">
        <v>1</v>
      </c>
      <c r="J228" s="20" t="n">
        <v>135000</v>
      </c>
      <c r="K228" s="20" t="n">
        <v>135000</v>
      </c>
      <c r="L228" s="10">
        <f>IF($B228="","",TEXT($B228,"YYYY-MM"))</f>
        <v/>
      </c>
    </row>
    <row r="229">
      <c r="A229" s="10" t="inlineStr">
        <is>
          <t>INV-71166</t>
        </is>
      </c>
      <c r="B229" s="18" t="n">
        <v>45736</v>
      </c>
      <c r="C229" s="10" t="inlineStr">
        <is>
          <t>C1330</t>
        </is>
      </c>
      <c r="D229" s="10" t="inlineStr">
        <is>
          <t>regular</t>
        </is>
      </c>
      <c r="E229" s="10" t="inlineStr">
        <is>
          <t>Tokopedia</t>
        </is>
      </c>
      <c r="F229" s="10" t="inlineStr">
        <is>
          <t>Jawa Barat</t>
        </is>
      </c>
      <c r="G229" s="10" t="inlineStr">
        <is>
          <t>Elektronik</t>
        </is>
      </c>
      <c r="H229" s="10" t="inlineStr">
        <is>
          <t>Keyboard Mekanik</t>
        </is>
      </c>
      <c r="I229" s="19" t="n">
        <v>1</v>
      </c>
      <c r="J229" s="20" t="n">
        <v>380000</v>
      </c>
      <c r="K229" s="20" t="n">
        <v>380000</v>
      </c>
      <c r="L229" s="10">
        <f>IF($B229="","",TEXT($B229,"YYYY-MM"))</f>
        <v/>
      </c>
    </row>
    <row r="230">
      <c r="A230" s="10" t="inlineStr">
        <is>
          <t>INV-71094</t>
        </is>
      </c>
      <c r="B230" s="18" t="n">
        <v>45736</v>
      </c>
      <c r="C230" s="10" t="inlineStr">
        <is>
          <t>C1306</t>
        </is>
      </c>
      <c r="D230" s="10" t="inlineStr">
        <is>
          <t>loyal</t>
        </is>
      </c>
      <c r="E230" s="10" t="inlineStr">
        <is>
          <t>Tokopedia</t>
        </is>
      </c>
      <c r="F230" s="10" t="inlineStr">
        <is>
          <t>Jabodetabek</t>
        </is>
      </c>
      <c r="G230" s="10" t="inlineStr">
        <is>
          <t>Rumah Tangga</t>
        </is>
      </c>
      <c r="H230" s="10" t="inlineStr">
        <is>
          <t>Organizer Laci</t>
        </is>
      </c>
      <c r="I230" s="19" t="n">
        <v>4</v>
      </c>
      <c r="J230" s="20" t="n">
        <v>78000</v>
      </c>
      <c r="K230" s="20" t="n">
        <v>312000</v>
      </c>
      <c r="L230" s="10">
        <f>IF($B230="","",TEXT($B230,"YYYY-MM"))</f>
        <v/>
      </c>
    </row>
    <row r="231">
      <c r="A231" s="10" t="inlineStr">
        <is>
          <t>INV-71520</t>
        </is>
      </c>
      <c r="B231" s="18" t="n">
        <v>45737</v>
      </c>
      <c r="C231" s="10" t="inlineStr">
        <is>
          <t>C1418</t>
        </is>
      </c>
      <c r="D231" s="10" t="inlineStr">
        <is>
          <t>regular</t>
        </is>
      </c>
      <c r="E231" s="10" t="inlineStr">
        <is>
          <t>TikTok Shop</t>
        </is>
      </c>
      <c r="F231" s="10" t="inlineStr">
        <is>
          <t>Sumatera</t>
        </is>
      </c>
      <c r="G231" s="10" t="inlineStr">
        <is>
          <t>Makanan</t>
        </is>
      </c>
      <c r="H231" s="10" t="inlineStr">
        <is>
          <t>Granola 500g</t>
        </is>
      </c>
      <c r="I231" s="19" t="n">
        <v>4</v>
      </c>
      <c r="J231" s="20" t="n">
        <v>92000</v>
      </c>
      <c r="K231" s="20" t="n">
        <v>368000</v>
      </c>
      <c r="L231" s="10">
        <f>IF($B231="","",TEXT($B231,"YYYY-MM"))</f>
        <v/>
      </c>
    </row>
    <row r="232">
      <c r="A232" s="10" t="inlineStr">
        <is>
          <t>INV-70704</t>
        </is>
      </c>
      <c r="B232" s="18" t="n">
        <v>45737</v>
      </c>
      <c r="C232" s="10" t="inlineStr">
        <is>
          <t>C1195</t>
        </is>
      </c>
      <c r="D232" s="10" t="inlineStr">
        <is>
          <t>champion</t>
        </is>
      </c>
      <c r="E232" s="10" t="inlineStr">
        <is>
          <t>TikTok Shop</t>
        </is>
      </c>
      <c r="F232" s="10" t="inlineStr">
        <is>
          <t>Jabodetabek</t>
        </is>
      </c>
      <c r="G232" s="10" t="inlineStr">
        <is>
          <t>Makanan</t>
        </is>
      </c>
      <c r="H232" s="10" t="inlineStr">
        <is>
          <t>Granola 500g</t>
        </is>
      </c>
      <c r="I232" s="19" t="n">
        <v>3</v>
      </c>
      <c r="J232" s="20" t="n">
        <v>92000</v>
      </c>
      <c r="K232" s="20" t="n">
        <v>276000</v>
      </c>
      <c r="L232" s="10">
        <f>IF($B232="","",TEXT($B232,"YYYY-MM"))</f>
        <v/>
      </c>
    </row>
    <row r="233">
      <c r="A233" s="10" t="inlineStr">
        <is>
          <t>INV-70293</t>
        </is>
      </c>
      <c r="B233" s="18" t="n">
        <v>45738</v>
      </c>
      <c r="C233" s="10" t="inlineStr">
        <is>
          <t>C1083</t>
        </is>
      </c>
      <c r="D233" s="10" t="inlineStr">
        <is>
          <t>loyal</t>
        </is>
      </c>
      <c r="E233" s="10" t="inlineStr">
        <is>
          <t>Tokopedia</t>
        </is>
      </c>
      <c r="F233" s="10" t="inlineStr">
        <is>
          <t>Jabodetabek</t>
        </is>
      </c>
      <c r="G233" s="10" t="inlineStr">
        <is>
          <t>Elektronik</t>
        </is>
      </c>
      <c r="H233" s="10" t="inlineStr">
        <is>
          <t>Smartwatch</t>
        </is>
      </c>
      <c r="I233" s="19" t="n">
        <v>4</v>
      </c>
      <c r="J233" s="20" t="n">
        <v>450000</v>
      </c>
      <c r="K233" s="20" t="n">
        <v>1800000</v>
      </c>
      <c r="L233" s="10">
        <f>IF($B233="","",TEXT($B233,"YYYY-MM"))</f>
        <v/>
      </c>
    </row>
    <row r="234">
      <c r="A234" s="10" t="inlineStr">
        <is>
          <t>INV-70117</t>
        </is>
      </c>
      <c r="B234" s="18" t="n">
        <v>45738</v>
      </c>
      <c r="C234" s="10" t="inlineStr">
        <is>
          <t>C1037</t>
        </is>
      </c>
      <c r="D234" s="10" t="inlineStr">
        <is>
          <t>occasional</t>
        </is>
      </c>
      <c r="E234" s="10" t="inlineStr">
        <is>
          <t>Offline Store</t>
        </is>
      </c>
      <c r="F234" s="10" t="inlineStr">
        <is>
          <t>Jabodetabek</t>
        </is>
      </c>
      <c r="G234" s="10" t="inlineStr">
        <is>
          <t>Elektronik</t>
        </is>
      </c>
      <c r="H234" s="10" t="inlineStr">
        <is>
          <t>Power Bank 20K</t>
        </is>
      </c>
      <c r="I234" s="19" t="n">
        <v>1</v>
      </c>
      <c r="J234" s="20" t="n">
        <v>185000</v>
      </c>
      <c r="K234" s="20" t="n">
        <v>185000</v>
      </c>
      <c r="L234" s="10">
        <f>IF($B234="","",TEXT($B234,"YYYY-MM"))</f>
        <v/>
      </c>
    </row>
    <row r="235">
      <c r="A235" s="10" t="inlineStr">
        <is>
          <t>INV-70613</t>
        </is>
      </c>
      <c r="B235" s="18" t="n">
        <v>45738</v>
      </c>
      <c r="C235" s="10" t="inlineStr">
        <is>
          <t>C1166</t>
        </is>
      </c>
      <c r="D235" s="10" t="inlineStr">
        <is>
          <t>occasional</t>
        </is>
      </c>
      <c r="E235" s="10" t="inlineStr">
        <is>
          <t>Shopee</t>
        </is>
      </c>
      <c r="F235" s="10" t="inlineStr">
        <is>
          <t>Jabodetabek</t>
        </is>
      </c>
      <c r="G235" s="10" t="inlineStr">
        <is>
          <t>Rumah Tangga</t>
        </is>
      </c>
      <c r="H235" s="10" t="inlineStr">
        <is>
          <t>Set Wadah Kedap</t>
        </is>
      </c>
      <c r="I235" s="19" t="n">
        <v>2</v>
      </c>
      <c r="J235" s="20" t="n">
        <v>135000</v>
      </c>
      <c r="K235" s="20" t="n">
        <v>270000</v>
      </c>
      <c r="L235" s="10">
        <f>IF($B235="","",TEXT($B235,"YYYY-MM"))</f>
        <v/>
      </c>
    </row>
    <row r="236">
      <c r="A236" s="10" t="inlineStr">
        <is>
          <t>INV-71307</t>
        </is>
      </c>
      <c r="B236" s="18" t="n">
        <v>45738</v>
      </c>
      <c r="C236" s="10" t="inlineStr">
        <is>
          <t>C1361</t>
        </is>
      </c>
      <c r="D236" s="10" t="inlineStr">
        <is>
          <t>champion</t>
        </is>
      </c>
      <c r="E236" s="10" t="inlineStr">
        <is>
          <t>Tokopedia</t>
        </is>
      </c>
      <c r="F236" s="10" t="inlineStr">
        <is>
          <t>Jabodetabek</t>
        </is>
      </c>
      <c r="G236" s="10" t="inlineStr">
        <is>
          <t>Rumah Tangga</t>
        </is>
      </c>
      <c r="H236" s="10" t="inlineStr">
        <is>
          <t>Set Wadah Kedap</t>
        </is>
      </c>
      <c r="I236" s="19" t="n">
        <v>1</v>
      </c>
      <c r="J236" s="20" t="n">
        <v>135000</v>
      </c>
      <c r="K236" s="20" t="n">
        <v>135000</v>
      </c>
      <c r="L236" s="10">
        <f>IF($B236="","",TEXT($B236,"YYYY-MM"))</f>
        <v/>
      </c>
    </row>
    <row r="237">
      <c r="A237" s="10" t="inlineStr">
        <is>
          <t>INV-70342</t>
        </is>
      </c>
      <c r="B237" s="18" t="n">
        <v>45738</v>
      </c>
      <c r="C237" s="10" t="inlineStr">
        <is>
          <t>C1093</t>
        </is>
      </c>
      <c r="D237" s="10" t="inlineStr">
        <is>
          <t>champion</t>
        </is>
      </c>
      <c r="E237" s="10" t="inlineStr">
        <is>
          <t>TikTok Shop</t>
        </is>
      </c>
      <c r="F237" s="10" t="inlineStr">
        <is>
          <t>Jawa Tengah</t>
        </is>
      </c>
      <c r="G237" s="10" t="inlineStr">
        <is>
          <t>Rumah Tangga</t>
        </is>
      </c>
      <c r="H237" s="10" t="inlineStr">
        <is>
          <t>Set Wadah Kedap</t>
        </is>
      </c>
      <c r="I237" s="19" t="n">
        <v>1</v>
      </c>
      <c r="J237" s="20" t="n">
        <v>135000</v>
      </c>
      <c r="K237" s="20" t="n">
        <v>135000</v>
      </c>
      <c r="L237" s="10">
        <f>IF($B237="","",TEXT($B237,"YYYY-MM"))</f>
        <v/>
      </c>
    </row>
    <row r="238">
      <c r="A238" s="10" t="inlineStr">
        <is>
          <t>INV-71262</t>
        </is>
      </c>
      <c r="B238" s="18" t="n">
        <v>45738</v>
      </c>
      <c r="C238" s="10" t="inlineStr">
        <is>
          <t>C1358</t>
        </is>
      </c>
      <c r="D238" s="10" t="inlineStr">
        <is>
          <t>champion</t>
        </is>
      </c>
      <c r="E238" s="10" t="inlineStr">
        <is>
          <t>Tokopedia</t>
        </is>
      </c>
      <c r="F238" s="10" t="inlineStr">
        <is>
          <t>Sumatera</t>
        </is>
      </c>
      <c r="G238" s="10" t="inlineStr">
        <is>
          <t>Kecantikan</t>
        </is>
      </c>
      <c r="H238" s="10" t="inlineStr">
        <is>
          <t>Toner Glow</t>
        </is>
      </c>
      <c r="I238" s="19" t="n">
        <v>2</v>
      </c>
      <c r="J238" s="20" t="n">
        <v>88000</v>
      </c>
      <c r="K238" s="20" t="n">
        <v>176000</v>
      </c>
      <c r="L238" s="10">
        <f>IF($B238="","",TEXT($B238,"YYYY-MM"))</f>
        <v/>
      </c>
    </row>
    <row r="239">
      <c r="A239" s="10" t="inlineStr">
        <is>
          <t>INV-70979</t>
        </is>
      </c>
      <c r="B239" s="18" t="n">
        <v>45738</v>
      </c>
      <c r="C239" s="10" t="inlineStr">
        <is>
          <t>C1280</t>
        </is>
      </c>
      <c r="D239" s="10" t="inlineStr">
        <is>
          <t>regular</t>
        </is>
      </c>
      <c r="E239" s="10" t="inlineStr">
        <is>
          <t>Offline Store</t>
        </is>
      </c>
      <c r="F239" s="10" t="inlineStr">
        <is>
          <t>Jabodetabek</t>
        </is>
      </c>
      <c r="G239" s="10" t="inlineStr">
        <is>
          <t>Kecantikan</t>
        </is>
      </c>
      <c r="H239" s="10" t="inlineStr">
        <is>
          <t>Masker Wajah (5s)</t>
        </is>
      </c>
      <c r="I239" s="19" t="n">
        <v>1</v>
      </c>
      <c r="J239" s="20" t="n">
        <v>55000</v>
      </c>
      <c r="K239" s="20" t="n">
        <v>55000</v>
      </c>
      <c r="L239" s="10">
        <f>IF($B239="","",TEXT($B239,"YYYY-MM"))</f>
        <v/>
      </c>
    </row>
    <row r="240">
      <c r="A240" s="10" t="inlineStr">
        <is>
          <t>INV-70168</t>
        </is>
      </c>
      <c r="B240" s="18" t="n">
        <v>45739</v>
      </c>
      <c r="C240" s="10" t="inlineStr">
        <is>
          <t>C1049</t>
        </is>
      </c>
      <c r="D240" s="10" t="inlineStr">
        <is>
          <t>champion</t>
        </is>
      </c>
      <c r="E240" s="10" t="inlineStr">
        <is>
          <t>Tokopedia</t>
        </is>
      </c>
      <c r="F240" s="10" t="inlineStr">
        <is>
          <t>Jawa Barat</t>
        </is>
      </c>
      <c r="G240" s="10" t="inlineStr">
        <is>
          <t>Rumah Tangga</t>
        </is>
      </c>
      <c r="H240" s="10" t="inlineStr">
        <is>
          <t>Set Wadah Kedap</t>
        </is>
      </c>
      <c r="I240" s="19" t="n">
        <v>3</v>
      </c>
      <c r="J240" s="20" t="n">
        <v>135000</v>
      </c>
      <c r="K240" s="20" t="n">
        <v>405000</v>
      </c>
      <c r="L240" s="10">
        <f>IF($B240="","",TEXT($B240,"YYYY-MM"))</f>
        <v/>
      </c>
    </row>
    <row r="241">
      <c r="A241" s="10" t="inlineStr">
        <is>
          <t>INV-71542</t>
        </is>
      </c>
      <c r="B241" s="18" t="n">
        <v>45739</v>
      </c>
      <c r="C241" s="10" t="inlineStr">
        <is>
          <t>C1425</t>
        </is>
      </c>
      <c r="D241" s="10" t="inlineStr">
        <is>
          <t>loyal</t>
        </is>
      </c>
      <c r="E241" s="10" t="inlineStr">
        <is>
          <t>Tokopedia</t>
        </is>
      </c>
      <c r="F241" s="10" t="inlineStr">
        <is>
          <t>Jawa Barat</t>
        </is>
      </c>
      <c r="G241" s="10" t="inlineStr">
        <is>
          <t>Kecantikan</t>
        </is>
      </c>
      <c r="H241" s="10" t="inlineStr">
        <is>
          <t>Masker Wajah (5s)</t>
        </is>
      </c>
      <c r="I241" s="19" t="n">
        <v>1</v>
      </c>
      <c r="J241" s="20" t="n">
        <v>55000</v>
      </c>
      <c r="K241" s="20" t="n">
        <v>55000</v>
      </c>
      <c r="L241" s="10">
        <f>IF($B241="","",TEXT($B241,"YYYY-MM"))</f>
        <v/>
      </c>
    </row>
    <row r="242">
      <c r="A242" s="10" t="inlineStr">
        <is>
          <t>INV-71331</t>
        </is>
      </c>
      <c r="B242" s="18" t="n">
        <v>45739</v>
      </c>
      <c r="C242" s="10" t="inlineStr">
        <is>
          <t>C1367</t>
        </is>
      </c>
      <c r="D242" s="10" t="inlineStr">
        <is>
          <t>regular</t>
        </is>
      </c>
      <c r="E242" s="10" t="inlineStr">
        <is>
          <t>Tokopedia</t>
        </is>
      </c>
      <c r="F242" s="10" t="inlineStr">
        <is>
          <t>Jawa Timur</t>
        </is>
      </c>
      <c r="G242" s="10" t="inlineStr">
        <is>
          <t>Elektronik</t>
        </is>
      </c>
      <c r="H242" s="10" t="inlineStr">
        <is>
          <t>Smartwatch</t>
        </is>
      </c>
      <c r="I242" s="19" t="n">
        <v>3</v>
      </c>
      <c r="J242" s="20" t="n">
        <v>450000</v>
      </c>
      <c r="K242" s="20" t="n">
        <v>1350000</v>
      </c>
      <c r="L242" s="10">
        <f>IF($B242="","",TEXT($B242,"YYYY-MM"))</f>
        <v/>
      </c>
    </row>
    <row r="243">
      <c r="A243" s="10" t="inlineStr">
        <is>
          <t>INV-70900</t>
        </is>
      </c>
      <c r="B243" s="18" t="n">
        <v>45740</v>
      </c>
      <c r="C243" s="10" t="inlineStr">
        <is>
          <t>C1253</t>
        </is>
      </c>
      <c r="D243" s="10" t="inlineStr">
        <is>
          <t>regular</t>
        </is>
      </c>
      <c r="E243" s="10" t="inlineStr">
        <is>
          <t>Shopee</t>
        </is>
      </c>
      <c r="F243" s="10" t="inlineStr">
        <is>
          <t>Sumatera</t>
        </is>
      </c>
      <c r="G243" s="10" t="inlineStr">
        <is>
          <t>Rumah Tangga</t>
        </is>
      </c>
      <c r="H243" s="10" t="inlineStr">
        <is>
          <t>Set Wadah Kedap</t>
        </is>
      </c>
      <c r="I243" s="19" t="n">
        <v>2</v>
      </c>
      <c r="J243" s="20" t="n">
        <v>135000</v>
      </c>
      <c r="K243" s="20" t="n">
        <v>270000</v>
      </c>
      <c r="L243" s="10">
        <f>IF($B243="","",TEXT($B243,"YYYY-MM"))</f>
        <v/>
      </c>
    </row>
    <row r="244">
      <c r="A244" s="10" t="inlineStr">
        <is>
          <t>INV-70744</t>
        </is>
      </c>
      <c r="B244" s="18" t="n">
        <v>45740</v>
      </c>
      <c r="C244" s="10" t="inlineStr">
        <is>
          <t>C1208</t>
        </is>
      </c>
      <c r="D244" s="10" t="inlineStr">
        <is>
          <t>onetime</t>
        </is>
      </c>
      <c r="E244" s="10" t="inlineStr">
        <is>
          <t>Tokopedia</t>
        </is>
      </c>
      <c r="F244" s="10" t="inlineStr">
        <is>
          <t>Jawa Tengah</t>
        </is>
      </c>
      <c r="G244" s="10" t="inlineStr">
        <is>
          <t>Makanan</t>
        </is>
      </c>
      <c r="H244" s="10" t="inlineStr">
        <is>
          <t>Granola 500g</t>
        </is>
      </c>
      <c r="I244" s="19" t="n">
        <v>2</v>
      </c>
      <c r="J244" s="20" t="n">
        <v>92000</v>
      </c>
      <c r="K244" s="20" t="n">
        <v>184000</v>
      </c>
      <c r="L244" s="10">
        <f>IF($B244="","",TEXT($B244,"YYYY-MM"))</f>
        <v/>
      </c>
    </row>
    <row r="245">
      <c r="A245" s="10" t="inlineStr">
        <is>
          <t>INV-70826</t>
        </is>
      </c>
      <c r="B245" s="18" t="n">
        <v>45741</v>
      </c>
      <c r="C245" s="10" t="inlineStr">
        <is>
          <t>C1233</t>
        </is>
      </c>
      <c r="D245" s="10" t="inlineStr">
        <is>
          <t>regular</t>
        </is>
      </c>
      <c r="E245" s="10" t="inlineStr">
        <is>
          <t>Shopee</t>
        </is>
      </c>
      <c r="F245" s="10" t="inlineStr">
        <is>
          <t>Jawa Timur</t>
        </is>
      </c>
      <c r="G245" s="10" t="inlineStr">
        <is>
          <t>Rumah Tangga</t>
        </is>
      </c>
      <c r="H245" s="10" t="inlineStr">
        <is>
          <t>Set Wadah Kedap</t>
        </is>
      </c>
      <c r="I245" s="19" t="n">
        <v>1</v>
      </c>
      <c r="J245" s="20" t="n">
        <v>135000</v>
      </c>
      <c r="K245" s="20" t="n">
        <v>135000</v>
      </c>
      <c r="L245" s="10">
        <f>IF($B245="","",TEXT($B245,"YYYY-MM"))</f>
        <v/>
      </c>
    </row>
    <row r="246">
      <c r="A246" s="10" t="inlineStr">
        <is>
          <t>INV-70917</t>
        </is>
      </c>
      <c r="B246" s="18" t="n">
        <v>45741</v>
      </c>
      <c r="C246" s="10" t="inlineStr">
        <is>
          <t>C1259</t>
        </is>
      </c>
      <c r="D246" s="10" t="inlineStr">
        <is>
          <t>onetime</t>
        </is>
      </c>
      <c r="E246" s="10" t="inlineStr">
        <is>
          <t>Offline Store</t>
        </is>
      </c>
      <c r="F246" s="10" t="inlineStr">
        <is>
          <t>Jabodetabek</t>
        </is>
      </c>
      <c r="G246" s="10" t="inlineStr">
        <is>
          <t>Kecantikan</t>
        </is>
      </c>
      <c r="H246" s="10" t="inlineStr">
        <is>
          <t>Masker Wajah (5s)</t>
        </is>
      </c>
      <c r="I246" s="19" t="n">
        <v>2</v>
      </c>
      <c r="J246" s="20" t="n">
        <v>55000</v>
      </c>
      <c r="K246" s="20" t="n">
        <v>110000</v>
      </c>
      <c r="L246" s="10">
        <f>IF($B246="","",TEXT($B246,"YYYY-MM"))</f>
        <v/>
      </c>
    </row>
    <row r="247">
      <c r="A247" s="10" t="inlineStr">
        <is>
          <t>INV-70750</t>
        </is>
      </c>
      <c r="B247" s="18" t="n">
        <v>45741</v>
      </c>
      <c r="C247" s="10" t="inlineStr">
        <is>
          <t>C1210</t>
        </is>
      </c>
      <c r="D247" s="10" t="inlineStr">
        <is>
          <t>loyal</t>
        </is>
      </c>
      <c r="E247" s="10" t="inlineStr">
        <is>
          <t>TikTok Shop</t>
        </is>
      </c>
      <c r="F247" s="10" t="inlineStr">
        <is>
          <t>Sumatera</t>
        </is>
      </c>
      <c r="G247" s="10" t="inlineStr">
        <is>
          <t>Fashion</t>
        </is>
      </c>
      <c r="H247" s="10" t="inlineStr">
        <is>
          <t>Kaos Premium</t>
        </is>
      </c>
      <c r="I247" s="19" t="n">
        <v>1</v>
      </c>
      <c r="J247" s="20" t="n">
        <v>95000</v>
      </c>
      <c r="K247" s="20" t="n">
        <v>95000</v>
      </c>
      <c r="L247" s="10">
        <f>IF($B247="","",TEXT($B247,"YYYY-MM"))</f>
        <v/>
      </c>
    </row>
    <row r="248">
      <c r="A248" s="10" t="inlineStr">
        <is>
          <t>INV-70151</t>
        </is>
      </c>
      <c r="B248" s="18" t="n">
        <v>45743</v>
      </c>
      <c r="C248" s="10" t="inlineStr">
        <is>
          <t>C1044</t>
        </is>
      </c>
      <c r="D248" s="10" t="inlineStr">
        <is>
          <t>regular</t>
        </is>
      </c>
      <c r="E248" s="10" t="inlineStr">
        <is>
          <t>Shopee</t>
        </is>
      </c>
      <c r="F248" s="10" t="inlineStr">
        <is>
          <t>Jabodetabek</t>
        </is>
      </c>
      <c r="G248" s="10" t="inlineStr">
        <is>
          <t>Fashion</t>
        </is>
      </c>
      <c r="H248" s="10" t="inlineStr">
        <is>
          <t>Celana Chino</t>
        </is>
      </c>
      <c r="I248" s="19" t="n">
        <v>1</v>
      </c>
      <c r="J248" s="20" t="n">
        <v>195000</v>
      </c>
      <c r="K248" s="20" t="n">
        <v>195000</v>
      </c>
      <c r="L248" s="10">
        <f>IF($B248="","",TEXT($B248,"YYYY-MM"))</f>
        <v/>
      </c>
    </row>
    <row r="249">
      <c r="A249" s="10" t="inlineStr">
        <is>
          <t>INV-71530</t>
        </is>
      </c>
      <c r="B249" s="18" t="n">
        <v>45743</v>
      </c>
      <c r="C249" s="10" t="inlineStr">
        <is>
          <t>C1420</t>
        </is>
      </c>
      <c r="D249" s="10" t="inlineStr">
        <is>
          <t>regular</t>
        </is>
      </c>
      <c r="E249" s="10" t="inlineStr">
        <is>
          <t>Tokopedia</t>
        </is>
      </c>
      <c r="F249" s="10" t="inlineStr">
        <is>
          <t>Jawa Barat</t>
        </is>
      </c>
      <c r="G249" s="10" t="inlineStr">
        <is>
          <t>Rumah Tangga</t>
        </is>
      </c>
      <c r="H249" s="10" t="inlineStr">
        <is>
          <t>Organizer Laci</t>
        </is>
      </c>
      <c r="I249" s="19" t="n">
        <v>1</v>
      </c>
      <c r="J249" s="20" t="n">
        <v>78000</v>
      </c>
      <c r="K249" s="20" t="n">
        <v>78000</v>
      </c>
      <c r="L249" s="10">
        <f>IF($B249="","",TEXT($B249,"YYYY-MM"))</f>
        <v/>
      </c>
    </row>
    <row r="250">
      <c r="A250" s="10" t="inlineStr">
        <is>
          <t>INV-70759</t>
        </is>
      </c>
      <c r="B250" s="18" t="n">
        <v>45743</v>
      </c>
      <c r="C250" s="10" t="inlineStr">
        <is>
          <t>C1212</t>
        </is>
      </c>
      <c r="D250" s="10" t="inlineStr">
        <is>
          <t>occasional</t>
        </is>
      </c>
      <c r="E250" s="10" t="inlineStr">
        <is>
          <t>Shopee</t>
        </is>
      </c>
      <c r="F250" s="10" t="inlineStr">
        <is>
          <t>Sumatera</t>
        </is>
      </c>
      <c r="G250" s="10" t="inlineStr">
        <is>
          <t>Kecantikan</t>
        </is>
      </c>
      <c r="H250" s="10" t="inlineStr">
        <is>
          <t>Masker Wajah (5s)</t>
        </is>
      </c>
      <c r="I250" s="19" t="n">
        <v>1</v>
      </c>
      <c r="J250" s="20" t="n">
        <v>55000</v>
      </c>
      <c r="K250" s="20" t="n">
        <v>55000</v>
      </c>
      <c r="L250" s="10">
        <f>IF($B250="","",TEXT($B250,"YYYY-MM"))</f>
        <v/>
      </c>
    </row>
    <row r="251">
      <c r="A251" s="10" t="inlineStr">
        <is>
          <t>INV-70955</t>
        </is>
      </c>
      <c r="B251" s="18" t="n">
        <v>45748</v>
      </c>
      <c r="C251" s="10" t="inlineStr">
        <is>
          <t>C1271</t>
        </is>
      </c>
      <c r="D251" s="10" t="inlineStr">
        <is>
          <t>regular</t>
        </is>
      </c>
      <c r="E251" s="10" t="inlineStr">
        <is>
          <t>Shopee</t>
        </is>
      </c>
      <c r="F251" s="10" t="inlineStr">
        <is>
          <t>Jawa Tengah</t>
        </is>
      </c>
      <c r="G251" s="10" t="inlineStr">
        <is>
          <t>Kecantikan</t>
        </is>
      </c>
      <c r="H251" s="10" t="inlineStr">
        <is>
          <t>Lip Tint</t>
        </is>
      </c>
      <c r="I251" s="19" t="n">
        <v>3</v>
      </c>
      <c r="J251" s="20" t="n">
        <v>65000</v>
      </c>
      <c r="K251" s="20" t="n">
        <v>195000</v>
      </c>
      <c r="L251" s="10">
        <f>IF($B251="","",TEXT($B251,"YYYY-MM"))</f>
        <v/>
      </c>
    </row>
    <row r="252">
      <c r="A252" s="10" t="inlineStr">
        <is>
          <t>INV-71226</t>
        </is>
      </c>
      <c r="B252" s="18" t="n">
        <v>45748</v>
      </c>
      <c r="C252" s="10" t="inlineStr">
        <is>
          <t>C1348</t>
        </is>
      </c>
      <c r="D252" s="10" t="inlineStr">
        <is>
          <t>loyal</t>
        </is>
      </c>
      <c r="E252" s="10" t="inlineStr">
        <is>
          <t>Offline Store</t>
        </is>
      </c>
      <c r="F252" s="10" t="inlineStr">
        <is>
          <t>Jabodetabek</t>
        </is>
      </c>
      <c r="G252" s="10" t="inlineStr">
        <is>
          <t>Fashion</t>
        </is>
      </c>
      <c r="H252" s="10" t="inlineStr">
        <is>
          <t>Dress Casual</t>
        </is>
      </c>
      <c r="I252" s="19" t="n">
        <v>1</v>
      </c>
      <c r="J252" s="20" t="n">
        <v>225000</v>
      </c>
      <c r="K252" s="20" t="n">
        <v>225000</v>
      </c>
      <c r="L252" s="10">
        <f>IF($B252="","",TEXT($B252,"YYYY-MM"))</f>
        <v/>
      </c>
    </row>
    <row r="253">
      <c r="A253" s="10" t="inlineStr">
        <is>
          <t>INV-70762</t>
        </is>
      </c>
      <c r="B253" s="18" t="n">
        <v>45748</v>
      </c>
      <c r="C253" s="10" t="inlineStr">
        <is>
          <t>C1213</t>
        </is>
      </c>
      <c r="D253" s="10" t="inlineStr">
        <is>
          <t>regular</t>
        </is>
      </c>
      <c r="E253" s="10" t="inlineStr">
        <is>
          <t>Offline Store</t>
        </is>
      </c>
      <c r="F253" s="10" t="inlineStr">
        <is>
          <t>Lainnya</t>
        </is>
      </c>
      <c r="G253" s="10" t="inlineStr">
        <is>
          <t>Kecantikan</t>
        </is>
      </c>
      <c r="H253" s="10" t="inlineStr">
        <is>
          <t>Masker Wajah (5s)</t>
        </is>
      </c>
      <c r="I253" s="19" t="n">
        <v>4</v>
      </c>
      <c r="J253" s="20" t="n">
        <v>55000</v>
      </c>
      <c r="K253" s="20" t="n">
        <v>220000</v>
      </c>
      <c r="L253" s="10">
        <f>IF($B253="","",TEXT($B253,"YYYY-MM"))</f>
        <v/>
      </c>
    </row>
    <row r="254">
      <c r="A254" s="10" t="inlineStr">
        <is>
          <t>INV-70501</t>
        </is>
      </c>
      <c r="B254" s="18" t="n">
        <v>45748</v>
      </c>
      <c r="C254" s="10" t="inlineStr">
        <is>
          <t>C1141</t>
        </is>
      </c>
      <c r="D254" s="10" t="inlineStr">
        <is>
          <t>loyal</t>
        </is>
      </c>
      <c r="E254" s="10" t="inlineStr">
        <is>
          <t>TikTok Shop</t>
        </is>
      </c>
      <c r="F254" s="10" t="inlineStr">
        <is>
          <t>Jawa Tengah</t>
        </is>
      </c>
      <c r="G254" s="10" t="inlineStr">
        <is>
          <t>Kecantikan</t>
        </is>
      </c>
      <c r="H254" s="10" t="inlineStr">
        <is>
          <t>Serum Vit C</t>
        </is>
      </c>
      <c r="I254" s="19" t="n">
        <v>3</v>
      </c>
      <c r="J254" s="20" t="n">
        <v>145000</v>
      </c>
      <c r="K254" s="20" t="n">
        <v>435000</v>
      </c>
      <c r="L254" s="10">
        <f>IF($B254="","",TEXT($B254,"YYYY-MM"))</f>
        <v/>
      </c>
    </row>
    <row r="255">
      <c r="A255" s="10" t="inlineStr">
        <is>
          <t>INV-70486</t>
        </is>
      </c>
      <c r="B255" s="18" t="n">
        <v>45748</v>
      </c>
      <c r="C255" s="10" t="inlineStr">
        <is>
          <t>C1139</t>
        </is>
      </c>
      <c r="D255" s="10" t="inlineStr">
        <is>
          <t>champion</t>
        </is>
      </c>
      <c r="E255" s="10" t="inlineStr">
        <is>
          <t>Tokopedia</t>
        </is>
      </c>
      <c r="F255" s="10" t="inlineStr">
        <is>
          <t>Jawa Timur</t>
        </is>
      </c>
      <c r="G255" s="10" t="inlineStr">
        <is>
          <t>Fashion</t>
        </is>
      </c>
      <c r="H255" s="10" t="inlineStr">
        <is>
          <t>Celana Chino</t>
        </is>
      </c>
      <c r="I255" s="19" t="n">
        <v>2</v>
      </c>
      <c r="J255" s="20" t="n">
        <v>195000</v>
      </c>
      <c r="K255" s="20" t="n">
        <v>390000</v>
      </c>
      <c r="L255" s="10">
        <f>IF($B255="","",TEXT($B255,"YYYY-MM"))</f>
        <v/>
      </c>
    </row>
    <row r="256">
      <c r="A256" s="10" t="inlineStr">
        <is>
          <t>INV-71341</t>
        </is>
      </c>
      <c r="B256" s="18" t="n">
        <v>45748</v>
      </c>
      <c r="C256" s="10" t="inlineStr">
        <is>
          <t>C1369</t>
        </is>
      </c>
      <c r="D256" s="10" t="inlineStr">
        <is>
          <t>loyal</t>
        </is>
      </c>
      <c r="E256" s="10" t="inlineStr">
        <is>
          <t>Tokopedia</t>
        </is>
      </c>
      <c r="F256" s="10" t="inlineStr">
        <is>
          <t>Jawa Tengah</t>
        </is>
      </c>
      <c r="G256" s="10" t="inlineStr">
        <is>
          <t>Rumah Tangga</t>
        </is>
      </c>
      <c r="H256" s="10" t="inlineStr">
        <is>
          <t>Organizer Laci</t>
        </is>
      </c>
      <c r="I256" s="19" t="n">
        <v>2</v>
      </c>
      <c r="J256" s="20" t="n">
        <v>78000</v>
      </c>
      <c r="K256" s="20" t="n">
        <v>156000</v>
      </c>
      <c r="L256" s="10">
        <f>IF($B256="","",TEXT($B256,"YYYY-MM"))</f>
        <v/>
      </c>
    </row>
    <row r="257">
      <c r="A257" s="10" t="inlineStr">
        <is>
          <t>INV-70364</t>
        </is>
      </c>
      <c r="B257" s="18" t="n">
        <v>45748</v>
      </c>
      <c r="C257" s="10" t="inlineStr">
        <is>
          <t>C1101</t>
        </is>
      </c>
      <c r="D257" s="10" t="inlineStr">
        <is>
          <t>regular</t>
        </is>
      </c>
      <c r="E257" s="10" t="inlineStr">
        <is>
          <t>Shopee</t>
        </is>
      </c>
      <c r="F257" s="10" t="inlineStr">
        <is>
          <t>Jawa Barat</t>
        </is>
      </c>
      <c r="G257" s="10" t="inlineStr">
        <is>
          <t>Rumah Tangga</t>
        </is>
      </c>
      <c r="H257" s="10" t="inlineStr">
        <is>
          <t>Set Wadah Kedap</t>
        </is>
      </c>
      <c r="I257" s="19" t="n">
        <v>1</v>
      </c>
      <c r="J257" s="20" t="n">
        <v>135000</v>
      </c>
      <c r="K257" s="20" t="n">
        <v>135000</v>
      </c>
      <c r="L257" s="10">
        <f>IF($B257="","",TEXT($B257,"YYYY-MM"))</f>
        <v/>
      </c>
    </row>
    <row r="258">
      <c r="A258" s="10" t="inlineStr">
        <is>
          <t>INV-70281</t>
        </is>
      </c>
      <c r="B258" s="18" t="n">
        <v>45748</v>
      </c>
      <c r="C258" s="10" t="inlineStr">
        <is>
          <t>C1079</t>
        </is>
      </c>
      <c r="D258" s="10" t="inlineStr">
        <is>
          <t>regular</t>
        </is>
      </c>
      <c r="E258" s="10" t="inlineStr">
        <is>
          <t>TikTok Shop</t>
        </is>
      </c>
      <c r="F258" s="10" t="inlineStr">
        <is>
          <t>Jawa Barat</t>
        </is>
      </c>
      <c r="G258" s="10" t="inlineStr">
        <is>
          <t>Kecantikan</t>
        </is>
      </c>
      <c r="H258" s="10" t="inlineStr">
        <is>
          <t>Masker Wajah (5s)</t>
        </is>
      </c>
      <c r="I258" s="19" t="n">
        <v>1</v>
      </c>
      <c r="J258" s="20" t="n">
        <v>55000</v>
      </c>
      <c r="K258" s="20" t="n">
        <v>55000</v>
      </c>
      <c r="L258" s="10">
        <f>IF($B258="","",TEXT($B258,"YYYY-MM"))</f>
        <v/>
      </c>
    </row>
    <row r="259">
      <c r="A259" s="10" t="inlineStr">
        <is>
          <t>INV-70474</t>
        </is>
      </c>
      <c r="B259" s="18" t="n">
        <v>45748</v>
      </c>
      <c r="C259" s="10" t="inlineStr">
        <is>
          <t>C1136</t>
        </is>
      </c>
      <c r="D259" s="10" t="inlineStr">
        <is>
          <t>occasional</t>
        </is>
      </c>
      <c r="E259" s="10" t="inlineStr">
        <is>
          <t>Tokopedia</t>
        </is>
      </c>
      <c r="F259" s="10" t="inlineStr">
        <is>
          <t>Jabodetabek</t>
        </is>
      </c>
      <c r="G259" s="10" t="inlineStr">
        <is>
          <t>Elektronik</t>
        </is>
      </c>
      <c r="H259" s="10" t="inlineStr">
        <is>
          <t>Webcam HD</t>
        </is>
      </c>
      <c r="I259" s="19" t="n">
        <v>2</v>
      </c>
      <c r="J259" s="20" t="n">
        <v>210000</v>
      </c>
      <c r="K259" s="20" t="n">
        <v>420000</v>
      </c>
      <c r="L259" s="10">
        <f>IF($B259="","",TEXT($B259,"YYYY-MM"))</f>
        <v/>
      </c>
    </row>
    <row r="260">
      <c r="A260" s="10" t="inlineStr">
        <is>
          <t>INV-71020</t>
        </is>
      </c>
      <c r="B260" s="18" t="n">
        <v>45748</v>
      </c>
      <c r="C260" s="10" t="inlineStr">
        <is>
          <t>C1290</t>
        </is>
      </c>
      <c r="D260" s="10" t="inlineStr">
        <is>
          <t>loyal</t>
        </is>
      </c>
      <c r="E260" s="10" t="inlineStr">
        <is>
          <t>Shopee</t>
        </is>
      </c>
      <c r="F260" s="10" t="inlineStr">
        <is>
          <t>Sumatera</t>
        </is>
      </c>
      <c r="G260" s="10" t="inlineStr">
        <is>
          <t>Rumah Tangga</t>
        </is>
      </c>
      <c r="H260" s="10" t="inlineStr">
        <is>
          <t>Set Wadah Kedap</t>
        </is>
      </c>
      <c r="I260" s="19" t="n">
        <v>1</v>
      </c>
      <c r="J260" s="20" t="n">
        <v>135000</v>
      </c>
      <c r="K260" s="20" t="n">
        <v>135000</v>
      </c>
      <c r="L260" s="10">
        <f>IF($B260="","",TEXT($B260,"YYYY-MM"))</f>
        <v/>
      </c>
    </row>
    <row r="261">
      <c r="A261" s="10" t="inlineStr">
        <is>
          <t>INV-70421</t>
        </is>
      </c>
      <c r="B261" s="18" t="n">
        <v>45750</v>
      </c>
      <c r="C261" s="10" t="inlineStr">
        <is>
          <t>C1118</t>
        </is>
      </c>
      <c r="D261" s="10" t="inlineStr">
        <is>
          <t>onetime</t>
        </is>
      </c>
      <c r="E261" s="10" t="inlineStr">
        <is>
          <t>Shopee</t>
        </is>
      </c>
      <c r="F261" s="10" t="inlineStr">
        <is>
          <t>Jawa Timur</t>
        </is>
      </c>
      <c r="G261" s="10" t="inlineStr">
        <is>
          <t>Rumah Tangga</t>
        </is>
      </c>
      <c r="H261" s="10" t="inlineStr">
        <is>
          <t>Set Wadah Kedap</t>
        </is>
      </c>
      <c r="I261" s="19" t="n">
        <v>1</v>
      </c>
      <c r="J261" s="20" t="n">
        <v>135000</v>
      </c>
      <c r="K261" s="20" t="n">
        <v>135000</v>
      </c>
      <c r="L261" s="10">
        <f>IF($B261="","",TEXT($B261,"YYYY-MM"))</f>
        <v/>
      </c>
    </row>
    <row r="262">
      <c r="A262" s="10" t="inlineStr">
        <is>
          <t>INV-70239</t>
        </is>
      </c>
      <c r="B262" s="18" t="n">
        <v>45750</v>
      </c>
      <c r="C262" s="10" t="inlineStr">
        <is>
          <t>C1068</t>
        </is>
      </c>
      <c r="D262" s="10" t="inlineStr">
        <is>
          <t>onetime</t>
        </is>
      </c>
      <c r="E262" s="10" t="inlineStr">
        <is>
          <t>Tokopedia</t>
        </is>
      </c>
      <c r="F262" s="10" t="inlineStr">
        <is>
          <t>Jabodetabek</t>
        </is>
      </c>
      <c r="G262" s="10" t="inlineStr">
        <is>
          <t>Elektronik</t>
        </is>
      </c>
      <c r="H262" s="10" t="inlineStr">
        <is>
          <t>Webcam HD</t>
        </is>
      </c>
      <c r="I262" s="19" t="n">
        <v>3</v>
      </c>
      <c r="J262" s="20" t="n">
        <v>210000</v>
      </c>
      <c r="K262" s="20" t="n">
        <v>630000</v>
      </c>
      <c r="L262" s="10">
        <f>IF($B262="","",TEXT($B262,"YYYY-MM"))</f>
        <v/>
      </c>
    </row>
    <row r="263">
      <c r="A263" s="10" t="inlineStr">
        <is>
          <t>INV-71380</t>
        </is>
      </c>
      <c r="B263" s="18" t="n">
        <v>45750</v>
      </c>
      <c r="C263" s="10" t="inlineStr">
        <is>
          <t>C1382</t>
        </is>
      </c>
      <c r="D263" s="10" t="inlineStr">
        <is>
          <t>regular</t>
        </is>
      </c>
      <c r="E263" s="10" t="inlineStr">
        <is>
          <t>Shopee</t>
        </is>
      </c>
      <c r="F263" s="10" t="inlineStr">
        <is>
          <t>Jawa Tengah</t>
        </is>
      </c>
      <c r="G263" s="10" t="inlineStr">
        <is>
          <t>Rumah Tangga</t>
        </is>
      </c>
      <c r="H263" s="10" t="inlineStr">
        <is>
          <t>Diffuser Aroma</t>
        </is>
      </c>
      <c r="I263" s="19" t="n">
        <v>2</v>
      </c>
      <c r="J263" s="20" t="n">
        <v>195000</v>
      </c>
      <c r="K263" s="20" t="n">
        <v>390000</v>
      </c>
      <c r="L263" s="10">
        <f>IF($B263="","",TEXT($B263,"YYYY-MM"))</f>
        <v/>
      </c>
    </row>
    <row r="264">
      <c r="A264" s="10" t="inlineStr">
        <is>
          <t>INV-70338</t>
        </is>
      </c>
      <c r="B264" s="18" t="n">
        <v>45750</v>
      </c>
      <c r="C264" s="10" t="inlineStr">
        <is>
          <t>C1093</t>
        </is>
      </c>
      <c r="D264" s="10" t="inlineStr">
        <is>
          <t>champion</t>
        </is>
      </c>
      <c r="E264" s="10" t="inlineStr">
        <is>
          <t>Tokopedia</t>
        </is>
      </c>
      <c r="F264" s="10" t="inlineStr">
        <is>
          <t>Lainnya</t>
        </is>
      </c>
      <c r="G264" s="10" t="inlineStr">
        <is>
          <t>Rumah Tangga</t>
        </is>
      </c>
      <c r="H264" s="10" t="inlineStr">
        <is>
          <t>Organizer Laci</t>
        </is>
      </c>
      <c r="I264" s="19" t="n">
        <v>1</v>
      </c>
      <c r="J264" s="20" t="n">
        <v>78000</v>
      </c>
      <c r="K264" s="20" t="n">
        <v>78000</v>
      </c>
      <c r="L264" s="10">
        <f>IF($B264="","",TEXT($B264,"YYYY-MM"))</f>
        <v/>
      </c>
    </row>
    <row r="265">
      <c r="A265" s="10" t="inlineStr">
        <is>
          <t>INV-71026</t>
        </is>
      </c>
      <c r="B265" s="18" t="n">
        <v>45751</v>
      </c>
      <c r="C265" s="10" t="inlineStr">
        <is>
          <t>C1292</t>
        </is>
      </c>
      <c r="D265" s="10" t="inlineStr">
        <is>
          <t>regular</t>
        </is>
      </c>
      <c r="E265" s="10" t="inlineStr">
        <is>
          <t>Shopee</t>
        </is>
      </c>
      <c r="F265" s="10" t="inlineStr">
        <is>
          <t>Jawa Barat</t>
        </is>
      </c>
      <c r="G265" s="10" t="inlineStr">
        <is>
          <t>Elektronik</t>
        </is>
      </c>
      <c r="H265" s="10" t="inlineStr">
        <is>
          <t>Webcam HD</t>
        </is>
      </c>
      <c r="I265" s="19" t="n">
        <v>4</v>
      </c>
      <c r="J265" s="20" t="n">
        <v>210000</v>
      </c>
      <c r="K265" s="20" t="n">
        <v>840000</v>
      </c>
      <c r="L265" s="10">
        <f>IF($B265="","",TEXT($B265,"YYYY-MM"))</f>
        <v/>
      </c>
    </row>
    <row r="266">
      <c r="A266" s="10" t="inlineStr">
        <is>
          <t>INV-70957</t>
        </is>
      </c>
      <c r="B266" s="18" t="n">
        <v>45751</v>
      </c>
      <c r="C266" s="10" t="inlineStr">
        <is>
          <t>C1272</t>
        </is>
      </c>
      <c r="D266" s="10" t="inlineStr">
        <is>
          <t>regular</t>
        </is>
      </c>
      <c r="E266" s="10" t="inlineStr">
        <is>
          <t>Tokopedia</t>
        </is>
      </c>
      <c r="F266" s="10" t="inlineStr">
        <is>
          <t>Sumatera</t>
        </is>
      </c>
      <c r="G266" s="10" t="inlineStr">
        <is>
          <t>Rumah Tangga</t>
        </is>
      </c>
      <c r="H266" s="10" t="inlineStr">
        <is>
          <t>Set Wadah Kedap</t>
        </is>
      </c>
      <c r="I266" s="19" t="n">
        <v>4</v>
      </c>
      <c r="J266" s="20" t="n">
        <v>135000</v>
      </c>
      <c r="K266" s="20" t="n">
        <v>540000</v>
      </c>
      <c r="L266" s="10">
        <f>IF($B266="","",TEXT($B266,"YYYY-MM"))</f>
        <v/>
      </c>
    </row>
    <row r="267">
      <c r="A267" s="10" t="inlineStr">
        <is>
          <t>INV-70134</t>
        </is>
      </c>
      <c r="B267" s="18" t="n">
        <v>45751</v>
      </c>
      <c r="C267" s="10" t="inlineStr">
        <is>
          <t>C1038</t>
        </is>
      </c>
      <c r="D267" s="10" t="inlineStr">
        <is>
          <t>champion</t>
        </is>
      </c>
      <c r="E267" s="10" t="inlineStr">
        <is>
          <t>Tokopedia</t>
        </is>
      </c>
      <c r="F267" s="10" t="inlineStr">
        <is>
          <t>Jabodetabek</t>
        </is>
      </c>
      <c r="G267" s="10" t="inlineStr">
        <is>
          <t>Rumah Tangga</t>
        </is>
      </c>
      <c r="H267" s="10" t="inlineStr">
        <is>
          <t>Set Wadah Kedap</t>
        </is>
      </c>
      <c r="I267" s="19" t="n">
        <v>1</v>
      </c>
      <c r="J267" s="20" t="n">
        <v>135000</v>
      </c>
      <c r="K267" s="20" t="n">
        <v>135000</v>
      </c>
      <c r="L267" s="10">
        <f>IF($B267="","",TEXT($B267,"YYYY-MM"))</f>
        <v/>
      </c>
    </row>
    <row r="268">
      <c r="A268" s="10" t="inlineStr">
        <is>
          <t>INV-70735</t>
        </is>
      </c>
      <c r="B268" s="18" t="n">
        <v>45751</v>
      </c>
      <c r="C268" s="10" t="inlineStr">
        <is>
          <t>C1207</t>
        </is>
      </c>
      <c r="D268" s="10" t="inlineStr">
        <is>
          <t>loyal</t>
        </is>
      </c>
      <c r="E268" s="10" t="inlineStr">
        <is>
          <t>Shopee</t>
        </is>
      </c>
      <c r="F268" s="10" t="inlineStr">
        <is>
          <t>Jawa Barat</t>
        </is>
      </c>
      <c r="G268" s="10" t="inlineStr">
        <is>
          <t>Fashion</t>
        </is>
      </c>
      <c r="H268" s="10" t="inlineStr">
        <is>
          <t>Dress Casual</t>
        </is>
      </c>
      <c r="I268" s="19" t="n">
        <v>2</v>
      </c>
      <c r="J268" s="20" t="n">
        <v>225000</v>
      </c>
      <c r="K268" s="20" t="n">
        <v>450000</v>
      </c>
      <c r="L268" s="10">
        <f>IF($B268="","",TEXT($B268,"YYYY-MM"))</f>
        <v/>
      </c>
    </row>
    <row r="269">
      <c r="A269" s="10" t="inlineStr">
        <is>
          <t>INV-70088</t>
        </is>
      </c>
      <c r="B269" s="18" t="n">
        <v>45751</v>
      </c>
      <c r="C269" s="10" t="inlineStr">
        <is>
          <t>C1026</t>
        </is>
      </c>
      <c r="D269" s="10" t="inlineStr">
        <is>
          <t>occasional</t>
        </is>
      </c>
      <c r="E269" s="10" t="inlineStr">
        <is>
          <t>TikTok Shop</t>
        </is>
      </c>
      <c r="F269" s="10" t="inlineStr">
        <is>
          <t>Jabodetabek</t>
        </is>
      </c>
      <c r="G269" s="10" t="inlineStr">
        <is>
          <t>Elektronik</t>
        </is>
      </c>
      <c r="H269" s="10" t="inlineStr">
        <is>
          <t>Webcam HD</t>
        </is>
      </c>
      <c r="I269" s="19" t="n">
        <v>2</v>
      </c>
      <c r="J269" s="20" t="n">
        <v>210000</v>
      </c>
      <c r="K269" s="20" t="n">
        <v>420000</v>
      </c>
      <c r="L269" s="10">
        <f>IF($B269="","",TEXT($B269,"YYYY-MM"))</f>
        <v/>
      </c>
    </row>
    <row r="270">
      <c r="A270" s="10" t="inlineStr">
        <is>
          <t>INV-70428</t>
        </is>
      </c>
      <c r="B270" s="18" t="n">
        <v>45751</v>
      </c>
      <c r="C270" s="10" t="inlineStr">
        <is>
          <t>C1122</t>
        </is>
      </c>
      <c r="D270" s="10" t="inlineStr">
        <is>
          <t>loyal</t>
        </is>
      </c>
      <c r="E270" s="10" t="inlineStr">
        <is>
          <t>Offline Store</t>
        </is>
      </c>
      <c r="F270" s="10" t="inlineStr">
        <is>
          <t>Jawa Timur</t>
        </is>
      </c>
      <c r="G270" s="10" t="inlineStr">
        <is>
          <t>Rumah Tangga</t>
        </is>
      </c>
      <c r="H270" s="10" t="inlineStr">
        <is>
          <t>Organizer Laci</t>
        </is>
      </c>
      <c r="I270" s="19" t="n">
        <v>1</v>
      </c>
      <c r="J270" s="20" t="n">
        <v>78000</v>
      </c>
      <c r="K270" s="20" t="n">
        <v>78000</v>
      </c>
      <c r="L270" s="10">
        <f>IF($B270="","",TEXT($B270,"YYYY-MM"))</f>
        <v/>
      </c>
    </row>
    <row r="271">
      <c r="A271" s="10" t="inlineStr">
        <is>
          <t>INV-70152</t>
        </is>
      </c>
      <c r="B271" s="18" t="n">
        <v>45752</v>
      </c>
      <c r="C271" s="10" t="inlineStr">
        <is>
          <t>C1044</t>
        </is>
      </c>
      <c r="D271" s="10" t="inlineStr">
        <is>
          <t>regular</t>
        </is>
      </c>
      <c r="E271" s="10" t="inlineStr">
        <is>
          <t>TikTok Shop</t>
        </is>
      </c>
      <c r="F271" s="10" t="inlineStr">
        <is>
          <t>Sumatera</t>
        </is>
      </c>
      <c r="G271" s="10" t="inlineStr">
        <is>
          <t>Kecantikan</t>
        </is>
      </c>
      <c r="H271" s="10" t="inlineStr">
        <is>
          <t>Masker Wajah (5s)</t>
        </is>
      </c>
      <c r="I271" s="19" t="n">
        <v>1</v>
      </c>
      <c r="J271" s="20" t="n">
        <v>55000</v>
      </c>
      <c r="K271" s="20" t="n">
        <v>55000</v>
      </c>
      <c r="L271" s="10">
        <f>IF($B271="","",TEXT($B271,"YYYY-MM"))</f>
        <v/>
      </c>
    </row>
    <row r="272">
      <c r="A272" s="10" t="inlineStr">
        <is>
          <t>INV-71036</t>
        </is>
      </c>
      <c r="B272" s="18" t="n">
        <v>45752</v>
      </c>
      <c r="C272" s="10" t="inlineStr">
        <is>
          <t>C1294</t>
        </is>
      </c>
      <c r="D272" s="10" t="inlineStr">
        <is>
          <t>loyal</t>
        </is>
      </c>
      <c r="E272" s="10" t="inlineStr">
        <is>
          <t>Tokopedia</t>
        </is>
      </c>
      <c r="F272" s="10" t="inlineStr">
        <is>
          <t>Sumatera</t>
        </is>
      </c>
      <c r="G272" s="10" t="inlineStr">
        <is>
          <t>Elektronik</t>
        </is>
      </c>
      <c r="H272" s="10" t="inlineStr">
        <is>
          <t>Earbuds TWS</t>
        </is>
      </c>
      <c r="I272" s="19" t="n">
        <v>4</v>
      </c>
      <c r="J272" s="20" t="n">
        <v>265000</v>
      </c>
      <c r="K272" s="20" t="n">
        <v>1060000</v>
      </c>
      <c r="L272" s="10">
        <f>IF($B272="","",TEXT($B272,"YYYY-MM"))</f>
        <v/>
      </c>
    </row>
    <row r="273">
      <c r="A273" s="10" t="inlineStr">
        <is>
          <t>INV-70028</t>
        </is>
      </c>
      <c r="B273" s="18" t="n">
        <v>45752</v>
      </c>
      <c r="C273" s="10" t="inlineStr">
        <is>
          <t>C1006</t>
        </is>
      </c>
      <c r="D273" s="10" t="inlineStr">
        <is>
          <t>regular</t>
        </is>
      </c>
      <c r="E273" s="10" t="inlineStr">
        <is>
          <t>Shopee</t>
        </is>
      </c>
      <c r="F273" s="10" t="inlineStr">
        <is>
          <t>Jabodetabek</t>
        </is>
      </c>
      <c r="G273" s="10" t="inlineStr">
        <is>
          <t>Rumah Tangga</t>
        </is>
      </c>
      <c r="H273" s="10" t="inlineStr">
        <is>
          <t>Set Wadah Kedap</t>
        </is>
      </c>
      <c r="I273" s="19" t="n">
        <v>3</v>
      </c>
      <c r="J273" s="20" t="n">
        <v>135000</v>
      </c>
      <c r="K273" s="20" t="n">
        <v>405000</v>
      </c>
      <c r="L273" s="10">
        <f>IF($B273="","",TEXT($B273,"YYYY-MM"))</f>
        <v/>
      </c>
    </row>
    <row r="274">
      <c r="A274" s="10" t="inlineStr">
        <is>
          <t>INV-70663</t>
        </is>
      </c>
      <c r="B274" s="18" t="n">
        <v>45752</v>
      </c>
      <c r="C274" s="10" t="inlineStr">
        <is>
          <t>C1181</t>
        </is>
      </c>
      <c r="D274" s="10" t="inlineStr">
        <is>
          <t>onetime</t>
        </is>
      </c>
      <c r="E274" s="10" t="inlineStr">
        <is>
          <t>TikTok Shop</t>
        </is>
      </c>
      <c r="F274" s="10" t="inlineStr">
        <is>
          <t>Jabodetabek</t>
        </is>
      </c>
      <c r="G274" s="10" t="inlineStr">
        <is>
          <t>Rumah Tangga</t>
        </is>
      </c>
      <c r="H274" s="10" t="inlineStr">
        <is>
          <t>Set Wadah Kedap</t>
        </is>
      </c>
      <c r="I274" s="19" t="n">
        <v>2</v>
      </c>
      <c r="J274" s="20" t="n">
        <v>135000</v>
      </c>
      <c r="K274" s="20" t="n">
        <v>270000</v>
      </c>
      <c r="L274" s="10">
        <f>IF($B274="","",TEXT($B274,"YYYY-MM"))</f>
        <v/>
      </c>
    </row>
    <row r="275">
      <c r="A275" s="10" t="inlineStr">
        <is>
          <t>INV-70570</t>
        </is>
      </c>
      <c r="B275" s="18" t="n">
        <v>45752</v>
      </c>
      <c r="C275" s="10" t="inlineStr">
        <is>
          <t>C1156</t>
        </is>
      </c>
      <c r="D275" s="10" t="inlineStr">
        <is>
          <t>champion</t>
        </is>
      </c>
      <c r="E275" s="10" t="inlineStr">
        <is>
          <t>TikTok Shop</t>
        </is>
      </c>
      <c r="F275" s="10" t="inlineStr">
        <is>
          <t>Sumatera</t>
        </is>
      </c>
      <c r="G275" s="10" t="inlineStr">
        <is>
          <t>Rumah Tangga</t>
        </is>
      </c>
      <c r="H275" s="10" t="inlineStr">
        <is>
          <t>Set Wadah Kedap</t>
        </is>
      </c>
      <c r="I275" s="19" t="n">
        <v>2</v>
      </c>
      <c r="J275" s="20" t="n">
        <v>135000</v>
      </c>
      <c r="K275" s="20" t="n">
        <v>270000</v>
      </c>
      <c r="L275" s="10">
        <f>IF($B275="","",TEXT($B275,"YYYY-MM"))</f>
        <v/>
      </c>
    </row>
    <row r="276">
      <c r="A276" s="10" t="inlineStr">
        <is>
          <t>INV-71059</t>
        </is>
      </c>
      <c r="B276" s="18" t="n">
        <v>45752</v>
      </c>
      <c r="C276" s="10" t="inlineStr">
        <is>
          <t>C1300</t>
        </is>
      </c>
      <c r="D276" s="10" t="inlineStr">
        <is>
          <t>regular</t>
        </is>
      </c>
      <c r="E276" s="10" t="inlineStr">
        <is>
          <t>Shopee</t>
        </is>
      </c>
      <c r="F276" s="10" t="inlineStr">
        <is>
          <t>Jabodetabek</t>
        </is>
      </c>
      <c r="G276" s="10" t="inlineStr">
        <is>
          <t>Rumah Tangga</t>
        </is>
      </c>
      <c r="H276" s="10" t="inlineStr">
        <is>
          <t>Set Wadah Kedap</t>
        </is>
      </c>
      <c r="I276" s="19" t="n">
        <v>4</v>
      </c>
      <c r="J276" s="20" t="n">
        <v>135000</v>
      </c>
      <c r="K276" s="20" t="n">
        <v>540000</v>
      </c>
      <c r="L276" s="10">
        <f>IF($B276="","",TEXT($B276,"YYYY-MM"))</f>
        <v/>
      </c>
    </row>
    <row r="277">
      <c r="A277" s="10" t="inlineStr">
        <is>
          <t>INV-70412</t>
        </is>
      </c>
      <c r="B277" s="18" t="n">
        <v>45753</v>
      </c>
      <c r="C277" s="10" t="inlineStr">
        <is>
          <t>C1114</t>
        </is>
      </c>
      <c r="D277" s="10" t="inlineStr">
        <is>
          <t>occasional</t>
        </is>
      </c>
      <c r="E277" s="10" t="inlineStr">
        <is>
          <t>Tokopedia</t>
        </is>
      </c>
      <c r="F277" s="10" t="inlineStr">
        <is>
          <t>Jabodetabek</t>
        </is>
      </c>
      <c r="G277" s="10" t="inlineStr">
        <is>
          <t>Elektronik</t>
        </is>
      </c>
      <c r="H277" s="10" t="inlineStr">
        <is>
          <t>Earbuds TWS</t>
        </is>
      </c>
      <c r="I277" s="19" t="n">
        <v>1</v>
      </c>
      <c r="J277" s="20" t="n">
        <v>265000</v>
      </c>
      <c r="K277" s="20" t="n">
        <v>265000</v>
      </c>
      <c r="L277" s="10">
        <f>IF($B277="","",TEXT($B277,"YYYY-MM"))</f>
        <v/>
      </c>
    </row>
    <row r="278">
      <c r="A278" s="10" t="inlineStr">
        <is>
          <t>INV-71067</t>
        </is>
      </c>
      <c r="B278" s="18" t="n">
        <v>45753</v>
      </c>
      <c r="C278" s="10" t="inlineStr">
        <is>
          <t>C1301</t>
        </is>
      </c>
      <c r="D278" s="10" t="inlineStr">
        <is>
          <t>regular</t>
        </is>
      </c>
      <c r="E278" s="10" t="inlineStr">
        <is>
          <t>Offline Store</t>
        </is>
      </c>
      <c r="F278" s="10" t="inlineStr">
        <is>
          <t>Jabodetabek</t>
        </is>
      </c>
      <c r="G278" s="10" t="inlineStr">
        <is>
          <t>Elektronik</t>
        </is>
      </c>
      <c r="H278" s="10" t="inlineStr">
        <is>
          <t>Power Bank 20K</t>
        </is>
      </c>
      <c r="I278" s="19" t="n">
        <v>1</v>
      </c>
      <c r="J278" s="20" t="n">
        <v>185000</v>
      </c>
      <c r="K278" s="20" t="n">
        <v>185000</v>
      </c>
      <c r="L278" s="10">
        <f>IF($B278="","",TEXT($B278,"YYYY-MM"))</f>
        <v/>
      </c>
    </row>
    <row r="279">
      <c r="A279" s="10" t="inlineStr">
        <is>
          <t>INV-70250</t>
        </is>
      </c>
      <c r="B279" s="18" t="n">
        <v>45753</v>
      </c>
      <c r="C279" s="10" t="inlineStr">
        <is>
          <t>C1072</t>
        </is>
      </c>
      <c r="D279" s="10" t="inlineStr">
        <is>
          <t>champion</t>
        </is>
      </c>
      <c r="E279" s="10" t="inlineStr">
        <is>
          <t>Tokopedia</t>
        </is>
      </c>
      <c r="F279" s="10" t="inlineStr">
        <is>
          <t>Sumatera</t>
        </is>
      </c>
      <c r="G279" s="10" t="inlineStr">
        <is>
          <t>Elektronik</t>
        </is>
      </c>
      <c r="H279" s="10" t="inlineStr">
        <is>
          <t>Keyboard Mekanik</t>
        </is>
      </c>
      <c r="I279" s="19" t="n">
        <v>3</v>
      </c>
      <c r="J279" s="20" t="n">
        <v>380000</v>
      </c>
      <c r="K279" s="20" t="n">
        <v>1140000</v>
      </c>
      <c r="L279" s="10">
        <f>IF($B279="","",TEXT($B279,"YYYY-MM"))</f>
        <v/>
      </c>
    </row>
    <row r="280">
      <c r="A280" s="10" t="inlineStr">
        <is>
          <t>INV-70546</t>
        </is>
      </c>
      <c r="B280" s="18" t="n">
        <v>45754</v>
      </c>
      <c r="C280" s="10" t="inlineStr">
        <is>
          <t>C1150</t>
        </is>
      </c>
      <c r="D280" s="10" t="inlineStr">
        <is>
          <t>champion</t>
        </is>
      </c>
      <c r="E280" s="10" t="inlineStr">
        <is>
          <t>Tokopedia</t>
        </is>
      </c>
      <c r="F280" s="10" t="inlineStr">
        <is>
          <t>Jabodetabek</t>
        </is>
      </c>
      <c r="G280" s="10" t="inlineStr">
        <is>
          <t>Rumah Tangga</t>
        </is>
      </c>
      <c r="H280" s="10" t="inlineStr">
        <is>
          <t>Organizer Laci</t>
        </is>
      </c>
      <c r="I280" s="19" t="n">
        <v>2</v>
      </c>
      <c r="J280" s="20" t="n">
        <v>78000</v>
      </c>
      <c r="K280" s="20" t="n">
        <v>156000</v>
      </c>
      <c r="L280" s="10">
        <f>IF($B280="","",TEXT($B280,"YYYY-MM"))</f>
        <v/>
      </c>
    </row>
    <row r="281">
      <c r="A281" s="10" t="inlineStr">
        <is>
          <t>INV-70722</t>
        </is>
      </c>
      <c r="B281" s="18" t="n">
        <v>45754</v>
      </c>
      <c r="C281" s="10" t="inlineStr">
        <is>
          <t>C1200</t>
        </is>
      </c>
      <c r="D281" s="10" t="inlineStr">
        <is>
          <t>regular</t>
        </is>
      </c>
      <c r="E281" s="10" t="inlineStr">
        <is>
          <t>Tokopedia</t>
        </is>
      </c>
      <c r="F281" s="10" t="inlineStr">
        <is>
          <t>Jawa Barat</t>
        </is>
      </c>
      <c r="G281" s="10" t="inlineStr">
        <is>
          <t>Rumah Tangga</t>
        </is>
      </c>
      <c r="H281" s="10" t="inlineStr">
        <is>
          <t>Set Wadah Kedap</t>
        </is>
      </c>
      <c r="I281" s="19" t="n">
        <v>1</v>
      </c>
      <c r="J281" s="20" t="n">
        <v>135000</v>
      </c>
      <c r="K281" s="20" t="n">
        <v>135000</v>
      </c>
      <c r="L281" s="10">
        <f>IF($B281="","",TEXT($B281,"YYYY-MM"))</f>
        <v/>
      </c>
    </row>
    <row r="282">
      <c r="A282" s="10" t="inlineStr">
        <is>
          <t>INV-70055</t>
        </is>
      </c>
      <c r="B282" s="18" t="n">
        <v>45754</v>
      </c>
      <c r="C282" s="10" t="inlineStr">
        <is>
          <t>C1015</t>
        </is>
      </c>
      <c r="D282" s="10" t="inlineStr">
        <is>
          <t>occasional</t>
        </is>
      </c>
      <c r="E282" s="10" t="inlineStr">
        <is>
          <t>Shopee</t>
        </is>
      </c>
      <c r="F282" s="10" t="inlineStr">
        <is>
          <t>Lainnya</t>
        </is>
      </c>
      <c r="G282" s="10" t="inlineStr">
        <is>
          <t>Rumah Tangga</t>
        </is>
      </c>
      <c r="H282" s="10" t="inlineStr">
        <is>
          <t>Set Wadah Kedap</t>
        </is>
      </c>
      <c r="I282" s="19" t="n">
        <v>1</v>
      </c>
      <c r="J282" s="20" t="n">
        <v>135000</v>
      </c>
      <c r="K282" s="20" t="n">
        <v>135000</v>
      </c>
      <c r="L282" s="10">
        <f>IF($B282="","",TEXT($B282,"YYYY-MM"))</f>
        <v/>
      </c>
    </row>
    <row r="283">
      <c r="A283" s="10" t="inlineStr">
        <is>
          <t>INV-71503</t>
        </is>
      </c>
      <c r="B283" s="18" t="n">
        <v>45754</v>
      </c>
      <c r="C283" s="10" t="inlineStr">
        <is>
          <t>C1412</t>
        </is>
      </c>
      <c r="D283" s="10" t="inlineStr">
        <is>
          <t>champion</t>
        </is>
      </c>
      <c r="E283" s="10" t="inlineStr">
        <is>
          <t>Offline Store</t>
        </is>
      </c>
      <c r="F283" s="10" t="inlineStr">
        <is>
          <t>Jabodetabek</t>
        </is>
      </c>
      <c r="G283" s="10" t="inlineStr">
        <is>
          <t>Elektronik</t>
        </is>
      </c>
      <c r="H283" s="10" t="inlineStr">
        <is>
          <t>Keyboard Mekanik</t>
        </is>
      </c>
      <c r="I283" s="19" t="n">
        <v>3</v>
      </c>
      <c r="J283" s="20" t="n">
        <v>380000</v>
      </c>
      <c r="K283" s="20" t="n">
        <v>1140000</v>
      </c>
      <c r="L283" s="10">
        <f>IF($B283="","",TEXT($B283,"YYYY-MM"))</f>
        <v/>
      </c>
    </row>
    <row r="284">
      <c r="A284" s="10" t="inlineStr">
        <is>
          <t>INV-71248</t>
        </is>
      </c>
      <c r="B284" s="18" t="n">
        <v>45754</v>
      </c>
      <c r="C284" s="10" t="inlineStr">
        <is>
          <t>C1352</t>
        </is>
      </c>
      <c r="D284" s="10" t="inlineStr">
        <is>
          <t>loyal</t>
        </is>
      </c>
      <c r="E284" s="10" t="inlineStr">
        <is>
          <t>Offline Store</t>
        </is>
      </c>
      <c r="F284" s="10" t="inlineStr">
        <is>
          <t>Jawa Timur</t>
        </is>
      </c>
      <c r="G284" s="10" t="inlineStr">
        <is>
          <t>Makanan</t>
        </is>
      </c>
      <c r="H284" s="10" t="inlineStr">
        <is>
          <t>Madu Hutan 250ml</t>
        </is>
      </c>
      <c r="I284" s="19" t="n">
        <v>3</v>
      </c>
      <c r="J284" s="20" t="n">
        <v>110000</v>
      </c>
      <c r="K284" s="20" t="n">
        <v>330000</v>
      </c>
      <c r="L284" s="10">
        <f>IF($B284="","",TEXT($B284,"YYYY-MM"))</f>
        <v/>
      </c>
    </row>
    <row r="285">
      <c r="A285" s="10" t="inlineStr">
        <is>
          <t>INV-70626</t>
        </is>
      </c>
      <c r="B285" s="18" t="n">
        <v>45754</v>
      </c>
      <c r="C285" s="10" t="inlineStr">
        <is>
          <t>C1170</t>
        </is>
      </c>
      <c r="D285" s="10" t="inlineStr">
        <is>
          <t>champion</t>
        </is>
      </c>
      <c r="E285" s="10" t="inlineStr">
        <is>
          <t>TikTok Shop</t>
        </is>
      </c>
      <c r="F285" s="10" t="inlineStr">
        <is>
          <t>Jawa Tengah</t>
        </is>
      </c>
      <c r="G285" s="10" t="inlineStr">
        <is>
          <t>Rumah Tangga</t>
        </is>
      </c>
      <c r="H285" s="10" t="inlineStr">
        <is>
          <t>Set Wadah Kedap</t>
        </is>
      </c>
      <c r="I285" s="19" t="n">
        <v>3</v>
      </c>
      <c r="J285" s="20" t="n">
        <v>135000</v>
      </c>
      <c r="K285" s="20" t="n">
        <v>405000</v>
      </c>
      <c r="L285" s="10">
        <f>IF($B285="","",TEXT($B285,"YYYY-MM"))</f>
        <v/>
      </c>
    </row>
    <row r="286">
      <c r="A286" s="10" t="inlineStr">
        <is>
          <t>INV-71090</t>
        </is>
      </c>
      <c r="B286" s="18" t="n">
        <v>45755</v>
      </c>
      <c r="C286" s="10" t="inlineStr">
        <is>
          <t>C1306</t>
        </is>
      </c>
      <c r="D286" s="10" t="inlineStr">
        <is>
          <t>loyal</t>
        </is>
      </c>
      <c r="E286" s="10" t="inlineStr">
        <is>
          <t>TikTok Shop</t>
        </is>
      </c>
      <c r="F286" s="10" t="inlineStr">
        <is>
          <t>Lainnya</t>
        </is>
      </c>
      <c r="G286" s="10" t="inlineStr">
        <is>
          <t>Elektronik</t>
        </is>
      </c>
      <c r="H286" s="10" t="inlineStr">
        <is>
          <t>Webcam HD</t>
        </is>
      </c>
      <c r="I286" s="19" t="n">
        <v>1</v>
      </c>
      <c r="J286" s="20" t="n">
        <v>210000</v>
      </c>
      <c r="K286" s="20" t="n">
        <v>210000</v>
      </c>
      <c r="L286" s="10">
        <f>IF($B286="","",TEXT($B286,"YYYY-MM"))</f>
        <v/>
      </c>
    </row>
    <row r="287">
      <c r="A287" s="10" t="inlineStr">
        <is>
          <t>INV-71191</t>
        </is>
      </c>
      <c r="B287" s="18" t="n">
        <v>45755</v>
      </c>
      <c r="C287" s="10" t="inlineStr">
        <is>
          <t>C1335</t>
        </is>
      </c>
      <c r="D287" s="10" t="inlineStr">
        <is>
          <t>regular</t>
        </is>
      </c>
      <c r="E287" s="10" t="inlineStr">
        <is>
          <t>TikTok Shop</t>
        </is>
      </c>
      <c r="F287" s="10" t="inlineStr">
        <is>
          <t>Jabodetabek</t>
        </is>
      </c>
      <c r="G287" s="10" t="inlineStr">
        <is>
          <t>Rumah Tangga</t>
        </is>
      </c>
      <c r="H287" s="10" t="inlineStr">
        <is>
          <t>Organizer Laci</t>
        </is>
      </c>
      <c r="I287" s="19" t="n">
        <v>2</v>
      </c>
      <c r="J287" s="20" t="n">
        <v>78000</v>
      </c>
      <c r="K287" s="20" t="n">
        <v>156000</v>
      </c>
      <c r="L287" s="10">
        <f>IF($B287="","",TEXT($B287,"YYYY-MM"))</f>
        <v/>
      </c>
    </row>
    <row r="288">
      <c r="A288" s="10" t="inlineStr">
        <is>
          <t>INV-71162</t>
        </is>
      </c>
      <c r="B288" s="18" t="n">
        <v>45755</v>
      </c>
      <c r="C288" s="10" t="inlineStr">
        <is>
          <t>C1329</t>
        </is>
      </c>
      <c r="D288" s="10" t="inlineStr">
        <is>
          <t>regular</t>
        </is>
      </c>
      <c r="E288" s="10" t="inlineStr">
        <is>
          <t>Offline Store</t>
        </is>
      </c>
      <c r="F288" s="10" t="inlineStr">
        <is>
          <t>Jawa Timur</t>
        </is>
      </c>
      <c r="G288" s="10" t="inlineStr">
        <is>
          <t>Rumah Tangga</t>
        </is>
      </c>
      <c r="H288" s="10" t="inlineStr">
        <is>
          <t>Diffuser Aroma</t>
        </is>
      </c>
      <c r="I288" s="19" t="n">
        <v>2</v>
      </c>
      <c r="J288" s="20" t="n">
        <v>195000</v>
      </c>
      <c r="K288" s="20" t="n">
        <v>390000</v>
      </c>
      <c r="L288" s="10">
        <f>IF($B288="","",TEXT($B288,"YYYY-MM"))</f>
        <v/>
      </c>
    </row>
    <row r="289">
      <c r="A289" s="10" t="inlineStr">
        <is>
          <t>INV-70690</t>
        </is>
      </c>
      <c r="B289" s="18" t="n">
        <v>45755</v>
      </c>
      <c r="C289" s="10" t="inlineStr">
        <is>
          <t>C1189</t>
        </is>
      </c>
      <c r="D289" s="10" t="inlineStr">
        <is>
          <t>regular</t>
        </is>
      </c>
      <c r="E289" s="10" t="inlineStr">
        <is>
          <t>Shopee</t>
        </is>
      </c>
      <c r="F289" s="10" t="inlineStr">
        <is>
          <t>Lainnya</t>
        </is>
      </c>
      <c r="G289" s="10" t="inlineStr">
        <is>
          <t>Fashion</t>
        </is>
      </c>
      <c r="H289" s="10" t="inlineStr">
        <is>
          <t>Dress Casual</t>
        </is>
      </c>
      <c r="I289" s="19" t="n">
        <v>3</v>
      </c>
      <c r="J289" s="20" t="n">
        <v>225000</v>
      </c>
      <c r="K289" s="20" t="n">
        <v>675000</v>
      </c>
      <c r="L289" s="10">
        <f>IF($B289="","",TEXT($B289,"YYYY-MM"))</f>
        <v/>
      </c>
    </row>
    <row r="290">
      <c r="A290" s="10" t="inlineStr">
        <is>
          <t>INV-70731</t>
        </is>
      </c>
      <c r="B290" s="18" t="n">
        <v>45755</v>
      </c>
      <c r="C290" s="10" t="inlineStr">
        <is>
          <t>C1206</t>
        </is>
      </c>
      <c r="D290" s="10" t="inlineStr">
        <is>
          <t>regular</t>
        </is>
      </c>
      <c r="E290" s="10" t="inlineStr">
        <is>
          <t>Shopee</t>
        </is>
      </c>
      <c r="F290" s="10" t="inlineStr">
        <is>
          <t>Jabodetabek</t>
        </is>
      </c>
      <c r="G290" s="10" t="inlineStr">
        <is>
          <t>Rumah Tangga</t>
        </is>
      </c>
      <c r="H290" s="10" t="inlineStr">
        <is>
          <t>Set Wadah Kedap</t>
        </is>
      </c>
      <c r="I290" s="19" t="n">
        <v>4</v>
      </c>
      <c r="J290" s="20" t="n">
        <v>135000</v>
      </c>
      <c r="K290" s="20" t="n">
        <v>540000</v>
      </c>
      <c r="L290" s="10">
        <f>IF($B290="","",TEXT($B290,"YYYY-MM"))</f>
        <v/>
      </c>
    </row>
    <row r="291">
      <c r="A291" s="10" t="inlineStr">
        <is>
          <t>INV-71401</t>
        </is>
      </c>
      <c r="B291" s="18" t="n">
        <v>45755</v>
      </c>
      <c r="C291" s="10" t="inlineStr">
        <is>
          <t>C1386</t>
        </is>
      </c>
      <c r="D291" s="10" t="inlineStr">
        <is>
          <t>loyal</t>
        </is>
      </c>
      <c r="E291" s="10" t="inlineStr">
        <is>
          <t>Offline Store</t>
        </is>
      </c>
      <c r="F291" s="10" t="inlineStr">
        <is>
          <t>Jabodetabek</t>
        </is>
      </c>
      <c r="G291" s="10" t="inlineStr">
        <is>
          <t>Rumah Tangga</t>
        </is>
      </c>
      <c r="H291" s="10" t="inlineStr">
        <is>
          <t>Set Wadah Kedap</t>
        </is>
      </c>
      <c r="I291" s="19" t="n">
        <v>1</v>
      </c>
      <c r="J291" s="20" t="n">
        <v>135000</v>
      </c>
      <c r="K291" s="20" t="n">
        <v>135000</v>
      </c>
      <c r="L291" s="10">
        <f>IF($B291="","",TEXT($B291,"YYYY-MM"))</f>
        <v/>
      </c>
    </row>
    <row r="292">
      <c r="A292" s="10" t="inlineStr">
        <is>
          <t>INV-70003</t>
        </is>
      </c>
      <c r="B292" s="18" t="n">
        <v>45755</v>
      </c>
      <c r="C292" s="10" t="inlineStr">
        <is>
          <t>C1000</t>
        </is>
      </c>
      <c r="D292" s="10" t="inlineStr">
        <is>
          <t>loyal</t>
        </is>
      </c>
      <c r="E292" s="10" t="inlineStr">
        <is>
          <t>TikTok Shop</t>
        </is>
      </c>
      <c r="F292" s="10" t="inlineStr">
        <is>
          <t>Jawa Timur</t>
        </is>
      </c>
      <c r="G292" s="10" t="inlineStr">
        <is>
          <t>Fashion</t>
        </is>
      </c>
      <c r="H292" s="10" t="inlineStr">
        <is>
          <t>Dress Casual</t>
        </is>
      </c>
      <c r="I292" s="19" t="n">
        <v>2</v>
      </c>
      <c r="J292" s="20" t="n">
        <v>225000</v>
      </c>
      <c r="K292" s="20" t="n">
        <v>450000</v>
      </c>
      <c r="L292" s="10">
        <f>IF($B292="","",TEXT($B292,"YYYY-MM"))</f>
        <v/>
      </c>
    </row>
    <row r="293">
      <c r="A293" s="10" t="inlineStr">
        <is>
          <t>INV-70266</t>
        </is>
      </c>
      <c r="B293" s="18" t="n">
        <v>45756</v>
      </c>
      <c r="C293" s="10" t="inlineStr">
        <is>
          <t>C1074</t>
        </is>
      </c>
      <c r="D293" s="10" t="inlineStr">
        <is>
          <t>regular</t>
        </is>
      </c>
      <c r="E293" s="10" t="inlineStr">
        <is>
          <t>Tokopedia</t>
        </is>
      </c>
      <c r="F293" s="10" t="inlineStr">
        <is>
          <t>Jabodetabek</t>
        </is>
      </c>
      <c r="G293" s="10" t="inlineStr">
        <is>
          <t>Makanan</t>
        </is>
      </c>
      <c r="H293" s="10" t="inlineStr">
        <is>
          <t>Granola 500g</t>
        </is>
      </c>
      <c r="I293" s="19" t="n">
        <v>4</v>
      </c>
      <c r="J293" s="20" t="n">
        <v>92000</v>
      </c>
      <c r="K293" s="20" t="n">
        <v>368000</v>
      </c>
      <c r="L293" s="10">
        <f>IF($B293="","",TEXT($B293,"YYYY-MM"))</f>
        <v/>
      </c>
    </row>
    <row r="294">
      <c r="A294" s="10" t="inlineStr">
        <is>
          <t>INV-71061</t>
        </is>
      </c>
      <c r="B294" s="18" t="n">
        <v>45756</v>
      </c>
      <c r="C294" s="10" t="inlineStr">
        <is>
          <t>C1300</t>
        </is>
      </c>
      <c r="D294" s="10" t="inlineStr">
        <is>
          <t>regular</t>
        </is>
      </c>
      <c r="E294" s="10" t="inlineStr">
        <is>
          <t>Shopee</t>
        </is>
      </c>
      <c r="F294" s="10" t="inlineStr">
        <is>
          <t>Jabodetabek</t>
        </is>
      </c>
      <c r="G294" s="10" t="inlineStr">
        <is>
          <t>Rumah Tangga</t>
        </is>
      </c>
      <c r="H294" s="10" t="inlineStr">
        <is>
          <t>Organizer Laci</t>
        </is>
      </c>
      <c r="I294" s="19" t="n">
        <v>1</v>
      </c>
      <c r="J294" s="20" t="n">
        <v>78000</v>
      </c>
      <c r="K294" s="20" t="n">
        <v>78000</v>
      </c>
      <c r="L294" s="10">
        <f>IF($B294="","",TEXT($B294,"YYYY-MM"))</f>
        <v/>
      </c>
    </row>
    <row r="295">
      <c r="A295" s="10" t="inlineStr">
        <is>
          <t>INV-70860</t>
        </is>
      </c>
      <c r="B295" s="18" t="n">
        <v>45757</v>
      </c>
      <c r="C295" s="10" t="inlineStr">
        <is>
          <t>C1242</t>
        </is>
      </c>
      <c r="D295" s="10" t="inlineStr">
        <is>
          <t>regular</t>
        </is>
      </c>
      <c r="E295" s="10" t="inlineStr">
        <is>
          <t>Tokopedia</t>
        </is>
      </c>
      <c r="F295" s="10" t="inlineStr">
        <is>
          <t>Sumatera</t>
        </is>
      </c>
      <c r="G295" s="10" t="inlineStr">
        <is>
          <t>Rumah Tangga</t>
        </is>
      </c>
      <c r="H295" s="10" t="inlineStr">
        <is>
          <t>Karpet Bulu</t>
        </is>
      </c>
      <c r="I295" s="19" t="n">
        <v>1</v>
      </c>
      <c r="J295" s="20" t="n">
        <v>240000</v>
      </c>
      <c r="K295" s="20" t="n">
        <v>240000</v>
      </c>
      <c r="L295" s="10">
        <f>IF($B295="","",TEXT($B295,"YYYY-MM"))</f>
        <v/>
      </c>
    </row>
    <row r="296">
      <c r="A296" s="10" t="inlineStr">
        <is>
          <t>INV-70763</t>
        </is>
      </c>
      <c r="B296" s="18" t="n">
        <v>45757</v>
      </c>
      <c r="C296" s="10" t="inlineStr">
        <is>
          <t>C1214</t>
        </is>
      </c>
      <c r="D296" s="10" t="inlineStr">
        <is>
          <t>regular</t>
        </is>
      </c>
      <c r="E296" s="10" t="inlineStr">
        <is>
          <t>Offline Store</t>
        </is>
      </c>
      <c r="F296" s="10" t="inlineStr">
        <is>
          <t>Lainnya</t>
        </is>
      </c>
      <c r="G296" s="10" t="inlineStr">
        <is>
          <t>Elektronik</t>
        </is>
      </c>
      <c r="H296" s="10" t="inlineStr">
        <is>
          <t>Webcam HD</t>
        </is>
      </c>
      <c r="I296" s="19" t="n">
        <v>1</v>
      </c>
      <c r="J296" s="20" t="n">
        <v>210000</v>
      </c>
      <c r="K296" s="20" t="n">
        <v>210000</v>
      </c>
      <c r="L296" s="10">
        <f>IF($B296="","",TEXT($B296,"YYYY-MM"))</f>
        <v/>
      </c>
    </row>
    <row r="297">
      <c r="A297" s="10" t="inlineStr">
        <is>
          <t>INV-70497</t>
        </is>
      </c>
      <c r="B297" s="18" t="n">
        <v>45757</v>
      </c>
      <c r="C297" s="10" t="inlineStr">
        <is>
          <t>C1139</t>
        </is>
      </c>
      <c r="D297" s="10" t="inlineStr">
        <is>
          <t>champion</t>
        </is>
      </c>
      <c r="E297" s="10" t="inlineStr">
        <is>
          <t>Shopee</t>
        </is>
      </c>
      <c r="F297" s="10" t="inlineStr">
        <is>
          <t>Jawa Tengah</t>
        </is>
      </c>
      <c r="G297" s="10" t="inlineStr">
        <is>
          <t>Elektronik</t>
        </is>
      </c>
      <c r="H297" s="10" t="inlineStr">
        <is>
          <t>Keyboard Mekanik</t>
        </is>
      </c>
      <c r="I297" s="19" t="n">
        <v>2</v>
      </c>
      <c r="J297" s="20" t="n">
        <v>380000</v>
      </c>
      <c r="K297" s="20" t="n">
        <v>760000</v>
      </c>
      <c r="L297" s="10">
        <f>IF($B297="","",TEXT($B297,"YYYY-MM"))</f>
        <v/>
      </c>
    </row>
    <row r="298">
      <c r="A298" s="10" t="inlineStr">
        <is>
          <t>INV-70362</t>
        </is>
      </c>
      <c r="B298" s="18" t="n">
        <v>45757</v>
      </c>
      <c r="C298" s="10" t="inlineStr">
        <is>
          <t>C1099</t>
        </is>
      </c>
      <c r="D298" s="10" t="inlineStr">
        <is>
          <t>occasional</t>
        </is>
      </c>
      <c r="E298" s="10" t="inlineStr">
        <is>
          <t>Shopee</t>
        </is>
      </c>
      <c r="F298" s="10" t="inlineStr">
        <is>
          <t>Jabodetabek</t>
        </is>
      </c>
      <c r="G298" s="10" t="inlineStr">
        <is>
          <t>Rumah Tangga</t>
        </is>
      </c>
      <c r="H298" s="10" t="inlineStr">
        <is>
          <t>Set Wadah Kedap</t>
        </is>
      </c>
      <c r="I298" s="19" t="n">
        <v>1</v>
      </c>
      <c r="J298" s="20" t="n">
        <v>135000</v>
      </c>
      <c r="K298" s="20" t="n">
        <v>135000</v>
      </c>
      <c r="L298" s="10">
        <f>IF($B298="","",TEXT($B298,"YYYY-MM"))</f>
        <v/>
      </c>
    </row>
    <row r="299">
      <c r="A299" s="10" t="inlineStr">
        <is>
          <t>INV-70691</t>
        </is>
      </c>
      <c r="B299" s="18" t="n">
        <v>45757</v>
      </c>
      <c r="C299" s="10" t="inlineStr">
        <is>
          <t>C1190</t>
        </is>
      </c>
      <c r="D299" s="10" t="inlineStr">
        <is>
          <t>onetime</t>
        </is>
      </c>
      <c r="E299" s="10" t="inlineStr">
        <is>
          <t>Tokopedia</t>
        </is>
      </c>
      <c r="F299" s="10" t="inlineStr">
        <is>
          <t>Jabodetabek</t>
        </is>
      </c>
      <c r="G299" s="10" t="inlineStr">
        <is>
          <t>Fashion</t>
        </is>
      </c>
      <c r="H299" s="10" t="inlineStr">
        <is>
          <t>Dress Casual</t>
        </is>
      </c>
      <c r="I299" s="19" t="n">
        <v>2</v>
      </c>
      <c r="J299" s="20" t="n">
        <v>225000</v>
      </c>
      <c r="K299" s="20" t="n">
        <v>450000</v>
      </c>
      <c r="L299" s="10">
        <f>IF($B299="","",TEXT($B299,"YYYY-MM"))</f>
        <v/>
      </c>
    </row>
    <row r="300">
      <c r="A300" s="10" t="inlineStr">
        <is>
          <t>INV-71284</t>
        </is>
      </c>
      <c r="B300" s="18" t="n">
        <v>45758</v>
      </c>
      <c r="C300" s="10" t="inlineStr">
        <is>
          <t>C1358</t>
        </is>
      </c>
      <c r="D300" s="10" t="inlineStr">
        <is>
          <t>champion</t>
        </is>
      </c>
      <c r="E300" s="10" t="inlineStr">
        <is>
          <t>Offline Store</t>
        </is>
      </c>
      <c r="F300" s="10" t="inlineStr">
        <is>
          <t>Jawa Timur</t>
        </is>
      </c>
      <c r="G300" s="10" t="inlineStr">
        <is>
          <t>Elektronik</t>
        </is>
      </c>
      <c r="H300" s="10" t="inlineStr">
        <is>
          <t>Webcam HD</t>
        </is>
      </c>
      <c r="I300" s="19" t="n">
        <v>4</v>
      </c>
      <c r="J300" s="20" t="n">
        <v>210000</v>
      </c>
      <c r="K300" s="20" t="n">
        <v>840000</v>
      </c>
      <c r="L300" s="10">
        <f>IF($B300="","",TEXT($B300,"YYYY-MM"))</f>
        <v/>
      </c>
    </row>
    <row r="301">
      <c r="A301" s="10" t="inlineStr">
        <is>
          <t>INV-70432</t>
        </is>
      </c>
      <c r="B301" s="18" t="n">
        <v>45759</v>
      </c>
      <c r="C301" s="10" t="inlineStr">
        <is>
          <t>C1122</t>
        </is>
      </c>
      <c r="D301" s="10" t="inlineStr">
        <is>
          <t>loyal</t>
        </is>
      </c>
      <c r="E301" s="10" t="inlineStr">
        <is>
          <t>Tokopedia</t>
        </is>
      </c>
      <c r="F301" s="10" t="inlineStr">
        <is>
          <t>Jawa Tengah</t>
        </is>
      </c>
      <c r="G301" s="10" t="inlineStr">
        <is>
          <t>Kecantikan</t>
        </is>
      </c>
      <c r="H301" s="10" t="inlineStr">
        <is>
          <t>Serum Vit C</t>
        </is>
      </c>
      <c r="I301" s="19" t="n">
        <v>2</v>
      </c>
      <c r="J301" s="20" t="n">
        <v>145000</v>
      </c>
      <c r="K301" s="20" t="n">
        <v>290000</v>
      </c>
      <c r="L301" s="10">
        <f>IF($B301="","",TEXT($B301,"YYYY-MM"))</f>
        <v/>
      </c>
    </row>
    <row r="302">
      <c r="A302" s="10" t="inlineStr">
        <is>
          <t>INV-70813</t>
        </is>
      </c>
      <c r="B302" s="18" t="n">
        <v>45759</v>
      </c>
      <c r="C302" s="10" t="inlineStr">
        <is>
          <t>C1229</t>
        </is>
      </c>
      <c r="D302" s="10" t="inlineStr">
        <is>
          <t>occasional</t>
        </is>
      </c>
      <c r="E302" s="10" t="inlineStr">
        <is>
          <t>TikTok Shop</t>
        </is>
      </c>
      <c r="F302" s="10" t="inlineStr">
        <is>
          <t>Jawa Timur</t>
        </is>
      </c>
      <c r="G302" s="10" t="inlineStr">
        <is>
          <t>Makanan</t>
        </is>
      </c>
      <c r="H302" s="10" t="inlineStr">
        <is>
          <t>Madu Hutan 250ml</t>
        </is>
      </c>
      <c r="I302" s="19" t="n">
        <v>1</v>
      </c>
      <c r="J302" s="20" t="n">
        <v>110000</v>
      </c>
      <c r="K302" s="20" t="n">
        <v>110000</v>
      </c>
      <c r="L302" s="10">
        <f>IF($B302="","",TEXT($B302,"YYYY-MM"))</f>
        <v/>
      </c>
    </row>
    <row r="303">
      <c r="A303" s="10" t="inlineStr">
        <is>
          <t>INV-70006</t>
        </is>
      </c>
      <c r="B303" s="18" t="n">
        <v>45759</v>
      </c>
      <c r="C303" s="10" t="inlineStr">
        <is>
          <t>C1001</t>
        </is>
      </c>
      <c r="D303" s="10" t="inlineStr">
        <is>
          <t>occasional</t>
        </is>
      </c>
      <c r="E303" s="10" t="inlineStr">
        <is>
          <t>Shopee</t>
        </is>
      </c>
      <c r="F303" s="10" t="inlineStr">
        <is>
          <t>Jabodetabek</t>
        </is>
      </c>
      <c r="G303" s="10" t="inlineStr">
        <is>
          <t>Fashion</t>
        </is>
      </c>
      <c r="H303" s="10" t="inlineStr">
        <is>
          <t>Celana Chino</t>
        </is>
      </c>
      <c r="I303" s="19" t="n">
        <v>1</v>
      </c>
      <c r="J303" s="20" t="n">
        <v>195000</v>
      </c>
      <c r="K303" s="20" t="n">
        <v>195000</v>
      </c>
      <c r="L303" s="10">
        <f>IF($B303="","",TEXT($B303,"YYYY-MM"))</f>
        <v/>
      </c>
    </row>
    <row r="304">
      <c r="A304" s="10" t="inlineStr">
        <is>
          <t>INV-70784</t>
        </is>
      </c>
      <c r="B304" s="18" t="n">
        <v>45760</v>
      </c>
      <c r="C304" s="10" t="inlineStr">
        <is>
          <t>C1221</t>
        </is>
      </c>
      <c r="D304" s="10" t="inlineStr">
        <is>
          <t>regular</t>
        </is>
      </c>
      <c r="E304" s="10" t="inlineStr">
        <is>
          <t>Tokopedia</t>
        </is>
      </c>
      <c r="F304" s="10" t="inlineStr">
        <is>
          <t>Jawa Timur</t>
        </is>
      </c>
      <c r="G304" s="10" t="inlineStr">
        <is>
          <t>Rumah Tangga</t>
        </is>
      </c>
      <c r="H304" s="10" t="inlineStr">
        <is>
          <t>Set Wadah Kedap</t>
        </is>
      </c>
      <c r="I304" s="19" t="n">
        <v>2</v>
      </c>
      <c r="J304" s="20" t="n">
        <v>135000</v>
      </c>
      <c r="K304" s="20" t="n">
        <v>270000</v>
      </c>
      <c r="L304" s="10">
        <f>IF($B304="","",TEXT($B304,"YYYY-MM"))</f>
        <v/>
      </c>
    </row>
    <row r="305">
      <c r="A305" s="10" t="inlineStr">
        <is>
          <t>INV-71415</t>
        </is>
      </c>
      <c r="B305" s="18" t="n">
        <v>45760</v>
      </c>
      <c r="C305" s="10" t="inlineStr">
        <is>
          <t>C1392</t>
        </is>
      </c>
      <c r="D305" s="10" t="inlineStr">
        <is>
          <t>loyal</t>
        </is>
      </c>
      <c r="E305" s="10" t="inlineStr">
        <is>
          <t>Shopee</t>
        </is>
      </c>
      <c r="F305" s="10" t="inlineStr">
        <is>
          <t>Jawa Tengah</t>
        </is>
      </c>
      <c r="G305" s="10" t="inlineStr">
        <is>
          <t>Kecantikan</t>
        </is>
      </c>
      <c r="H305" s="10" t="inlineStr">
        <is>
          <t>Serum Vit C</t>
        </is>
      </c>
      <c r="I305" s="19" t="n">
        <v>4</v>
      </c>
      <c r="J305" s="20" t="n">
        <v>145000</v>
      </c>
      <c r="K305" s="20" t="n">
        <v>580000</v>
      </c>
      <c r="L305" s="10">
        <f>IF($B305="","",TEXT($B305,"YYYY-MM"))</f>
        <v/>
      </c>
    </row>
    <row r="306">
      <c r="A306" s="10" t="inlineStr">
        <is>
          <t>INV-70803</t>
        </is>
      </c>
      <c r="B306" s="18" t="n">
        <v>45760</v>
      </c>
      <c r="C306" s="10" t="inlineStr">
        <is>
          <t>C1225</t>
        </is>
      </c>
      <c r="D306" s="10" t="inlineStr">
        <is>
          <t>regular</t>
        </is>
      </c>
      <c r="E306" s="10" t="inlineStr">
        <is>
          <t>Tokopedia</t>
        </is>
      </c>
      <c r="F306" s="10" t="inlineStr">
        <is>
          <t>Jawa Tengah</t>
        </is>
      </c>
      <c r="G306" s="10" t="inlineStr">
        <is>
          <t>Kecantikan</t>
        </is>
      </c>
      <c r="H306" s="10" t="inlineStr">
        <is>
          <t>Masker Wajah (5s)</t>
        </is>
      </c>
      <c r="I306" s="19" t="n">
        <v>4</v>
      </c>
      <c r="J306" s="20" t="n">
        <v>55000</v>
      </c>
      <c r="K306" s="20" t="n">
        <v>220000</v>
      </c>
      <c r="L306" s="10">
        <f>IF($B306="","",TEXT($B306,"YYYY-MM"))</f>
        <v/>
      </c>
    </row>
    <row r="307">
      <c r="A307" s="10" t="inlineStr">
        <is>
          <t>INV-71458</t>
        </is>
      </c>
      <c r="B307" s="18" t="n">
        <v>45760</v>
      </c>
      <c r="C307" s="10" t="inlineStr">
        <is>
          <t>C1403</t>
        </is>
      </c>
      <c r="D307" s="10" t="inlineStr">
        <is>
          <t>regular</t>
        </is>
      </c>
      <c r="E307" s="10" t="inlineStr">
        <is>
          <t>Offline Store</t>
        </is>
      </c>
      <c r="F307" s="10" t="inlineStr">
        <is>
          <t>Jawa Barat</t>
        </is>
      </c>
      <c r="G307" s="10" t="inlineStr">
        <is>
          <t>Elektronik</t>
        </is>
      </c>
      <c r="H307" s="10" t="inlineStr">
        <is>
          <t>Power Bank 20K</t>
        </is>
      </c>
      <c r="I307" s="19" t="n">
        <v>1</v>
      </c>
      <c r="J307" s="20" t="n">
        <v>185000</v>
      </c>
      <c r="K307" s="20" t="n">
        <v>185000</v>
      </c>
      <c r="L307" s="10">
        <f>IF($B307="","",TEXT($B307,"YYYY-MM"))</f>
        <v/>
      </c>
    </row>
    <row r="308">
      <c r="A308" s="10" t="inlineStr">
        <is>
          <t>INV-71124</t>
        </is>
      </c>
      <c r="B308" s="18" t="n">
        <v>45760</v>
      </c>
      <c r="C308" s="10" t="inlineStr">
        <is>
          <t>C1315</t>
        </is>
      </c>
      <c r="D308" s="10" t="inlineStr">
        <is>
          <t>regular</t>
        </is>
      </c>
      <c r="E308" s="10" t="inlineStr">
        <is>
          <t>Shopee</t>
        </is>
      </c>
      <c r="F308" s="10" t="inlineStr">
        <is>
          <t>Jabodetabek</t>
        </is>
      </c>
      <c r="G308" s="10" t="inlineStr">
        <is>
          <t>Elektronik</t>
        </is>
      </c>
      <c r="H308" s="10" t="inlineStr">
        <is>
          <t>Power Bank 20K</t>
        </is>
      </c>
      <c r="I308" s="19" t="n">
        <v>4</v>
      </c>
      <c r="J308" s="20" t="n">
        <v>185000</v>
      </c>
      <c r="K308" s="20" t="n">
        <v>740000</v>
      </c>
      <c r="L308" s="10">
        <f>IF($B308="","",TEXT($B308,"YYYY-MM"))</f>
        <v/>
      </c>
    </row>
    <row r="309">
      <c r="A309" s="10" t="inlineStr">
        <is>
          <t>INV-71153</t>
        </is>
      </c>
      <c r="B309" s="18" t="n">
        <v>45760</v>
      </c>
      <c r="C309" s="10" t="inlineStr">
        <is>
          <t>C1326</t>
        </is>
      </c>
      <c r="D309" s="10" t="inlineStr">
        <is>
          <t>loyal</t>
        </is>
      </c>
      <c r="E309" s="10" t="inlineStr">
        <is>
          <t>Shopee</t>
        </is>
      </c>
      <c r="F309" s="10" t="inlineStr">
        <is>
          <t>Jawa Tengah</t>
        </is>
      </c>
      <c r="G309" s="10" t="inlineStr">
        <is>
          <t>Fashion</t>
        </is>
      </c>
      <c r="H309" s="10" t="inlineStr">
        <is>
          <t>Celana Chino</t>
        </is>
      </c>
      <c r="I309" s="19" t="n">
        <v>3</v>
      </c>
      <c r="J309" s="20" t="n">
        <v>195000</v>
      </c>
      <c r="K309" s="20" t="n">
        <v>585000</v>
      </c>
      <c r="L309" s="10">
        <f>IF($B309="","",TEXT($B309,"YYYY-MM"))</f>
        <v/>
      </c>
    </row>
    <row r="310">
      <c r="A310" s="10" t="inlineStr">
        <is>
          <t>INV-70513</t>
        </is>
      </c>
      <c r="B310" s="18" t="n">
        <v>45761</v>
      </c>
      <c r="C310" s="10" t="inlineStr">
        <is>
          <t>C1142</t>
        </is>
      </c>
      <c r="D310" s="10" t="inlineStr">
        <is>
          <t>champion</t>
        </is>
      </c>
      <c r="E310" s="10" t="inlineStr">
        <is>
          <t>TikTok Shop</t>
        </is>
      </c>
      <c r="F310" s="10" t="inlineStr">
        <is>
          <t>Lainnya</t>
        </is>
      </c>
      <c r="G310" s="10" t="inlineStr">
        <is>
          <t>Fashion</t>
        </is>
      </c>
      <c r="H310" s="10" t="inlineStr">
        <is>
          <t>Celana Chino</t>
        </is>
      </c>
      <c r="I310" s="19" t="n">
        <v>4</v>
      </c>
      <c r="J310" s="20" t="n">
        <v>195000</v>
      </c>
      <c r="K310" s="20" t="n">
        <v>780000</v>
      </c>
      <c r="L310" s="10">
        <f>IF($B310="","",TEXT($B310,"YYYY-MM"))</f>
        <v/>
      </c>
    </row>
    <row r="311">
      <c r="A311" s="10" t="inlineStr">
        <is>
          <t>INV-70890</t>
        </is>
      </c>
      <c r="B311" s="18" t="n">
        <v>45761</v>
      </c>
      <c r="C311" s="10" t="inlineStr">
        <is>
          <t>C1249</t>
        </is>
      </c>
      <c r="D311" s="10" t="inlineStr">
        <is>
          <t>regular</t>
        </is>
      </c>
      <c r="E311" s="10" t="inlineStr">
        <is>
          <t>Tokopedia</t>
        </is>
      </c>
      <c r="F311" s="10" t="inlineStr">
        <is>
          <t>Jabodetabek</t>
        </is>
      </c>
      <c r="G311" s="10" t="inlineStr">
        <is>
          <t>Elektronik</t>
        </is>
      </c>
      <c r="H311" s="10" t="inlineStr">
        <is>
          <t>Keyboard Mekanik</t>
        </is>
      </c>
      <c r="I311" s="19" t="n">
        <v>1</v>
      </c>
      <c r="J311" s="20" t="n">
        <v>380000</v>
      </c>
      <c r="K311" s="20" t="n">
        <v>380000</v>
      </c>
      <c r="L311" s="10">
        <f>IF($B311="","",TEXT($B311,"YYYY-MM"))</f>
        <v/>
      </c>
    </row>
    <row r="312">
      <c r="A312" s="10" t="inlineStr">
        <is>
          <t>INV-70242</t>
        </is>
      </c>
      <c r="B312" s="18" t="n">
        <v>45761</v>
      </c>
      <c r="C312" s="10" t="inlineStr">
        <is>
          <t>C1069</t>
        </is>
      </c>
      <c r="D312" s="10" t="inlineStr">
        <is>
          <t>loyal</t>
        </is>
      </c>
      <c r="E312" s="10" t="inlineStr">
        <is>
          <t>Tokopedia</t>
        </is>
      </c>
      <c r="F312" s="10" t="inlineStr">
        <is>
          <t>Lainnya</t>
        </is>
      </c>
      <c r="G312" s="10" t="inlineStr">
        <is>
          <t>Rumah Tangga</t>
        </is>
      </c>
      <c r="H312" s="10" t="inlineStr">
        <is>
          <t>Set Wadah Kedap</t>
        </is>
      </c>
      <c r="I312" s="19" t="n">
        <v>1</v>
      </c>
      <c r="J312" s="20" t="n">
        <v>135000</v>
      </c>
      <c r="K312" s="20" t="n">
        <v>135000</v>
      </c>
      <c r="L312" s="10">
        <f>IF($B312="","",TEXT($B312,"YYYY-MM"))</f>
        <v/>
      </c>
    </row>
    <row r="313">
      <c r="A313" s="10" t="inlineStr">
        <is>
          <t>INV-71546</t>
        </is>
      </c>
      <c r="B313" s="18" t="n">
        <v>45762</v>
      </c>
      <c r="C313" s="10" t="inlineStr">
        <is>
          <t>C1425</t>
        </is>
      </c>
      <c r="D313" s="10" t="inlineStr">
        <is>
          <t>loyal</t>
        </is>
      </c>
      <c r="E313" s="10" t="inlineStr">
        <is>
          <t>Tokopedia</t>
        </is>
      </c>
      <c r="F313" s="10" t="inlineStr">
        <is>
          <t>Jabodetabek</t>
        </is>
      </c>
      <c r="G313" s="10" t="inlineStr">
        <is>
          <t>Rumah Tangga</t>
        </is>
      </c>
      <c r="H313" s="10" t="inlineStr">
        <is>
          <t>Set Wadah Kedap</t>
        </is>
      </c>
      <c r="I313" s="19" t="n">
        <v>2</v>
      </c>
      <c r="J313" s="20" t="n">
        <v>135000</v>
      </c>
      <c r="K313" s="20" t="n">
        <v>270000</v>
      </c>
      <c r="L313" s="10">
        <f>IF($B313="","",TEXT($B313,"YYYY-MM"))</f>
        <v/>
      </c>
    </row>
    <row r="314">
      <c r="A314" s="10" t="inlineStr">
        <is>
          <t>INV-70437</t>
        </is>
      </c>
      <c r="B314" s="18" t="n">
        <v>45762</v>
      </c>
      <c r="C314" s="10" t="inlineStr">
        <is>
          <t>C1123</t>
        </is>
      </c>
      <c r="D314" s="10" t="inlineStr">
        <is>
          <t>regular</t>
        </is>
      </c>
      <c r="E314" s="10" t="inlineStr">
        <is>
          <t>Offline Store</t>
        </is>
      </c>
      <c r="F314" s="10" t="inlineStr">
        <is>
          <t>Jabodetabek</t>
        </is>
      </c>
      <c r="G314" s="10" t="inlineStr">
        <is>
          <t>Makanan</t>
        </is>
      </c>
      <c r="H314" s="10" t="inlineStr">
        <is>
          <t>Granola 500g</t>
        </is>
      </c>
      <c r="I314" s="19" t="n">
        <v>1</v>
      </c>
      <c r="J314" s="20" t="n">
        <v>92000</v>
      </c>
      <c r="K314" s="20" t="n">
        <v>92000</v>
      </c>
      <c r="L314" s="10">
        <f>IF($B314="","",TEXT($B314,"YYYY-MM"))</f>
        <v/>
      </c>
    </row>
    <row r="315">
      <c r="A315" s="10" t="inlineStr">
        <is>
          <t>INV-71170</t>
        </is>
      </c>
      <c r="B315" s="18" t="n">
        <v>45762</v>
      </c>
      <c r="C315" s="10" t="inlineStr">
        <is>
          <t>C1331</t>
        </is>
      </c>
      <c r="D315" s="10" t="inlineStr">
        <is>
          <t>regular</t>
        </is>
      </c>
      <c r="E315" s="10" t="inlineStr">
        <is>
          <t>Tokopedia</t>
        </is>
      </c>
      <c r="F315" s="10" t="inlineStr">
        <is>
          <t>Sumatera</t>
        </is>
      </c>
      <c r="G315" s="10" t="inlineStr">
        <is>
          <t>Elektronik</t>
        </is>
      </c>
      <c r="H315" s="10" t="inlineStr">
        <is>
          <t>Webcam HD</t>
        </is>
      </c>
      <c r="I315" s="19" t="n">
        <v>1</v>
      </c>
      <c r="J315" s="20" t="n">
        <v>210000</v>
      </c>
      <c r="K315" s="20" t="n">
        <v>210000</v>
      </c>
      <c r="L315" s="10">
        <f>IF($B315="","",TEXT($B315,"YYYY-MM"))</f>
        <v/>
      </c>
    </row>
    <row r="316">
      <c r="A316" s="10" t="inlineStr">
        <is>
          <t>INV-71306</t>
        </is>
      </c>
      <c r="B316" s="18" t="n">
        <v>45762</v>
      </c>
      <c r="C316" s="10" t="inlineStr">
        <is>
          <t>C1361</t>
        </is>
      </c>
      <c r="D316" s="10" t="inlineStr">
        <is>
          <t>champion</t>
        </is>
      </c>
      <c r="E316" s="10" t="inlineStr">
        <is>
          <t>Shopee</t>
        </is>
      </c>
      <c r="F316" s="10" t="inlineStr">
        <is>
          <t>Jabodetabek</t>
        </is>
      </c>
      <c r="G316" s="10" t="inlineStr">
        <is>
          <t>Makanan</t>
        </is>
      </c>
      <c r="H316" s="10" t="inlineStr">
        <is>
          <t>Granola 500g</t>
        </is>
      </c>
      <c r="I316" s="19" t="n">
        <v>3</v>
      </c>
      <c r="J316" s="20" t="n">
        <v>92000</v>
      </c>
      <c r="K316" s="20" t="n">
        <v>276000</v>
      </c>
      <c r="L316" s="10">
        <f>IF($B316="","",TEXT($B316,"YYYY-MM"))</f>
        <v/>
      </c>
    </row>
    <row r="317">
      <c r="A317" s="10" t="inlineStr">
        <is>
          <t>INV-71298</t>
        </is>
      </c>
      <c r="B317" s="18" t="n">
        <v>45763</v>
      </c>
      <c r="C317" s="10" t="inlineStr">
        <is>
          <t>C1359</t>
        </is>
      </c>
      <c r="D317" s="10" t="inlineStr">
        <is>
          <t>champion</t>
        </is>
      </c>
      <c r="E317" s="10" t="inlineStr">
        <is>
          <t>TikTok Shop</t>
        </is>
      </c>
      <c r="F317" s="10" t="inlineStr">
        <is>
          <t>Lainnya</t>
        </is>
      </c>
      <c r="G317" s="10" t="inlineStr">
        <is>
          <t>Elektronik</t>
        </is>
      </c>
      <c r="H317" s="10" t="inlineStr">
        <is>
          <t>Power Bank 20K</t>
        </is>
      </c>
      <c r="I317" s="19" t="n">
        <v>1</v>
      </c>
      <c r="J317" s="20" t="n">
        <v>185000</v>
      </c>
      <c r="K317" s="20" t="n">
        <v>185000</v>
      </c>
      <c r="L317" s="10">
        <f>IF($B317="","",TEXT($B317,"YYYY-MM"))</f>
        <v/>
      </c>
    </row>
    <row r="318">
      <c r="A318" s="10" t="inlineStr">
        <is>
          <t>INV-71172</t>
        </is>
      </c>
      <c r="B318" s="18" t="n">
        <v>45763</v>
      </c>
      <c r="C318" s="10" t="inlineStr">
        <is>
          <t>C1333</t>
        </is>
      </c>
      <c r="D318" s="10" t="inlineStr">
        <is>
          <t>regular</t>
        </is>
      </c>
      <c r="E318" s="10" t="inlineStr">
        <is>
          <t>Offline Store</t>
        </is>
      </c>
      <c r="F318" s="10" t="inlineStr">
        <is>
          <t>Jabodetabek</t>
        </is>
      </c>
      <c r="G318" s="10" t="inlineStr">
        <is>
          <t>Rumah Tangga</t>
        </is>
      </c>
      <c r="H318" s="10" t="inlineStr">
        <is>
          <t>Set Wadah Kedap</t>
        </is>
      </c>
      <c r="I318" s="19" t="n">
        <v>3</v>
      </c>
      <c r="J318" s="20" t="n">
        <v>135000</v>
      </c>
      <c r="K318" s="20" t="n">
        <v>405000</v>
      </c>
      <c r="L318" s="10">
        <f>IF($B318="","",TEXT($B318,"YYYY-MM"))</f>
        <v/>
      </c>
    </row>
    <row r="319">
      <c r="A319" s="10" t="inlineStr">
        <is>
          <t>INV-70041</t>
        </is>
      </c>
      <c r="B319" s="18" t="n">
        <v>45764</v>
      </c>
      <c r="C319" s="10" t="inlineStr">
        <is>
          <t>C1010</t>
        </is>
      </c>
      <c r="D319" s="10" t="inlineStr">
        <is>
          <t>occasional</t>
        </is>
      </c>
      <c r="E319" s="10" t="inlineStr">
        <is>
          <t>Shopee</t>
        </is>
      </c>
      <c r="F319" s="10" t="inlineStr">
        <is>
          <t>Jabodetabek</t>
        </is>
      </c>
      <c r="G319" s="10" t="inlineStr">
        <is>
          <t>Elektronik</t>
        </is>
      </c>
      <c r="H319" s="10" t="inlineStr">
        <is>
          <t>Power Bank 20K</t>
        </is>
      </c>
      <c r="I319" s="19" t="n">
        <v>1</v>
      </c>
      <c r="J319" s="20" t="n">
        <v>185000</v>
      </c>
      <c r="K319" s="20" t="n">
        <v>185000</v>
      </c>
      <c r="L319" s="10">
        <f>IF($B319="","",TEXT($B319,"YYYY-MM"))</f>
        <v/>
      </c>
    </row>
    <row r="320">
      <c r="A320" s="10" t="inlineStr">
        <is>
          <t>INV-71270</t>
        </is>
      </c>
      <c r="B320" s="18" t="n">
        <v>45764</v>
      </c>
      <c r="C320" s="10" t="inlineStr">
        <is>
          <t>C1358</t>
        </is>
      </c>
      <c r="D320" s="10" t="inlineStr">
        <is>
          <t>champion</t>
        </is>
      </c>
      <c r="E320" s="10" t="inlineStr">
        <is>
          <t>TikTok Shop</t>
        </is>
      </c>
      <c r="F320" s="10" t="inlineStr">
        <is>
          <t>Jawa Barat</t>
        </is>
      </c>
      <c r="G320" s="10" t="inlineStr">
        <is>
          <t>Rumah Tangga</t>
        </is>
      </c>
      <c r="H320" s="10" t="inlineStr">
        <is>
          <t>Set Wadah Kedap</t>
        </is>
      </c>
      <c r="I320" s="19" t="n">
        <v>1</v>
      </c>
      <c r="J320" s="20" t="n">
        <v>135000</v>
      </c>
      <c r="K320" s="20" t="n">
        <v>135000</v>
      </c>
      <c r="L320" s="10">
        <f>IF($B320="","",TEXT($B320,"YYYY-MM"))</f>
        <v/>
      </c>
    </row>
    <row r="321">
      <c r="A321" s="10" t="inlineStr">
        <is>
          <t>INV-70411</t>
        </is>
      </c>
      <c r="B321" s="18" t="n">
        <v>45764</v>
      </c>
      <c r="C321" s="10" t="inlineStr">
        <is>
          <t>C1113</t>
        </is>
      </c>
      <c r="D321" s="10" t="inlineStr">
        <is>
          <t>loyal</t>
        </is>
      </c>
      <c r="E321" s="10" t="inlineStr">
        <is>
          <t>Tokopedia</t>
        </is>
      </c>
      <c r="F321" s="10" t="inlineStr">
        <is>
          <t>Sumatera</t>
        </is>
      </c>
      <c r="G321" s="10" t="inlineStr">
        <is>
          <t>Rumah Tangga</t>
        </is>
      </c>
      <c r="H321" s="10" t="inlineStr">
        <is>
          <t>Set Wadah Kedap</t>
        </is>
      </c>
      <c r="I321" s="19" t="n">
        <v>3</v>
      </c>
      <c r="J321" s="20" t="n">
        <v>135000</v>
      </c>
      <c r="K321" s="20" t="n">
        <v>405000</v>
      </c>
      <c r="L321" s="10">
        <f>IF($B321="","",TEXT($B321,"YYYY-MM"))</f>
        <v/>
      </c>
    </row>
    <row r="322">
      <c r="A322" s="10" t="inlineStr">
        <is>
          <t>INV-71041</t>
        </is>
      </c>
      <c r="B322" s="18" t="n">
        <v>45765</v>
      </c>
      <c r="C322" s="10" t="inlineStr">
        <is>
          <t>C1295</t>
        </is>
      </c>
      <c r="D322" s="10" t="inlineStr">
        <is>
          <t>regular</t>
        </is>
      </c>
      <c r="E322" s="10" t="inlineStr">
        <is>
          <t>Shopee</t>
        </is>
      </c>
      <c r="F322" s="10" t="inlineStr">
        <is>
          <t>Jawa Barat</t>
        </is>
      </c>
      <c r="G322" s="10" t="inlineStr">
        <is>
          <t>Makanan</t>
        </is>
      </c>
      <c r="H322" s="10" t="inlineStr">
        <is>
          <t>Granola 500g</t>
        </is>
      </c>
      <c r="I322" s="19" t="n">
        <v>1</v>
      </c>
      <c r="J322" s="20" t="n">
        <v>92000</v>
      </c>
      <c r="K322" s="20" t="n">
        <v>92000</v>
      </c>
      <c r="L322" s="10">
        <f>IF($B322="","",TEXT($B322,"YYYY-MM"))</f>
        <v/>
      </c>
    </row>
    <row r="323">
      <c r="A323" s="10" t="inlineStr">
        <is>
          <t>INV-70204</t>
        </is>
      </c>
      <c r="B323" s="18" t="n">
        <v>45765</v>
      </c>
      <c r="C323" s="10" t="inlineStr">
        <is>
          <t>C1057</t>
        </is>
      </c>
      <c r="D323" s="10" t="inlineStr">
        <is>
          <t>regular</t>
        </is>
      </c>
      <c r="E323" s="10" t="inlineStr">
        <is>
          <t>Tokopedia</t>
        </is>
      </c>
      <c r="F323" s="10" t="inlineStr">
        <is>
          <t>Jawa Tengah</t>
        </is>
      </c>
      <c r="G323" s="10" t="inlineStr">
        <is>
          <t>Makanan</t>
        </is>
      </c>
      <c r="H323" s="10" t="inlineStr">
        <is>
          <t>Granola 500g</t>
        </is>
      </c>
      <c r="I323" s="19" t="n">
        <v>2</v>
      </c>
      <c r="J323" s="20" t="n">
        <v>92000</v>
      </c>
      <c r="K323" s="20" t="n">
        <v>184000</v>
      </c>
      <c r="L323" s="10">
        <f>IF($B323="","",TEXT($B323,"YYYY-MM"))</f>
        <v/>
      </c>
    </row>
    <row r="324">
      <c r="A324" s="10" t="inlineStr">
        <is>
          <t>INV-70610</t>
        </is>
      </c>
      <c r="B324" s="18" t="n">
        <v>45765</v>
      </c>
      <c r="C324" s="10" t="inlineStr">
        <is>
          <t>C1165</t>
        </is>
      </c>
      <c r="D324" s="10" t="inlineStr">
        <is>
          <t>regular</t>
        </is>
      </c>
      <c r="E324" s="10" t="inlineStr">
        <is>
          <t>Shopee</t>
        </is>
      </c>
      <c r="F324" s="10" t="inlineStr">
        <is>
          <t>Lainnya</t>
        </is>
      </c>
      <c r="G324" s="10" t="inlineStr">
        <is>
          <t>Rumah Tangga</t>
        </is>
      </c>
      <c r="H324" s="10" t="inlineStr">
        <is>
          <t>Set Wadah Kedap</t>
        </is>
      </c>
      <c r="I324" s="19" t="n">
        <v>1</v>
      </c>
      <c r="J324" s="20" t="n">
        <v>135000</v>
      </c>
      <c r="K324" s="20" t="n">
        <v>135000</v>
      </c>
      <c r="L324" s="10">
        <f>IF($B324="","",TEXT($B324,"YYYY-MM"))</f>
        <v/>
      </c>
    </row>
    <row r="325">
      <c r="A325" s="10" t="inlineStr">
        <is>
          <t>INV-70169</t>
        </is>
      </c>
      <c r="B325" s="18" t="n">
        <v>45766</v>
      </c>
      <c r="C325" s="10" t="inlineStr">
        <is>
          <t>C1049</t>
        </is>
      </c>
      <c r="D325" s="10" t="inlineStr">
        <is>
          <t>champion</t>
        </is>
      </c>
      <c r="E325" s="10" t="inlineStr">
        <is>
          <t>Tokopedia</t>
        </is>
      </c>
      <c r="F325" s="10" t="inlineStr">
        <is>
          <t>Jawa Barat</t>
        </is>
      </c>
      <c r="G325" s="10" t="inlineStr">
        <is>
          <t>Elektronik</t>
        </is>
      </c>
      <c r="H325" s="10" t="inlineStr">
        <is>
          <t>Smartwatch</t>
        </is>
      </c>
      <c r="I325" s="19" t="n">
        <v>2</v>
      </c>
      <c r="J325" s="20" t="n">
        <v>450000</v>
      </c>
      <c r="K325" s="20" t="n">
        <v>900000</v>
      </c>
      <c r="L325" s="10">
        <f>IF($B325="","",TEXT($B325,"YYYY-MM"))</f>
        <v/>
      </c>
    </row>
    <row r="326">
      <c r="A326" s="10" t="inlineStr">
        <is>
          <t>INV-70994</t>
        </is>
      </c>
      <c r="B326" s="18" t="n">
        <v>45766</v>
      </c>
      <c r="C326" s="10" t="inlineStr">
        <is>
          <t>C1286</t>
        </is>
      </c>
      <c r="D326" s="10" t="inlineStr">
        <is>
          <t>regular</t>
        </is>
      </c>
      <c r="E326" s="10" t="inlineStr">
        <is>
          <t>Offline Store</t>
        </is>
      </c>
      <c r="F326" s="10" t="inlineStr">
        <is>
          <t>Jawa Barat</t>
        </is>
      </c>
      <c r="G326" s="10" t="inlineStr">
        <is>
          <t>Rumah Tangga</t>
        </is>
      </c>
      <c r="H326" s="10" t="inlineStr">
        <is>
          <t>Organizer Laci</t>
        </is>
      </c>
      <c r="I326" s="19" t="n">
        <v>2</v>
      </c>
      <c r="J326" s="20" t="n">
        <v>78000</v>
      </c>
      <c r="K326" s="20" t="n">
        <v>156000</v>
      </c>
      <c r="L326" s="10">
        <f>IF($B326="","",TEXT($B326,"YYYY-MM"))</f>
        <v/>
      </c>
    </row>
    <row r="327">
      <c r="A327" s="10" t="inlineStr">
        <is>
          <t>INV-70503</t>
        </is>
      </c>
      <c r="B327" s="18" t="n">
        <v>45766</v>
      </c>
      <c r="C327" s="10" t="inlineStr">
        <is>
          <t>C1141</t>
        </is>
      </c>
      <c r="D327" s="10" t="inlineStr">
        <is>
          <t>loyal</t>
        </is>
      </c>
      <c r="E327" s="10" t="inlineStr">
        <is>
          <t>Offline Store</t>
        </is>
      </c>
      <c r="F327" s="10" t="inlineStr">
        <is>
          <t>Jawa Timur</t>
        </is>
      </c>
      <c r="G327" s="10" t="inlineStr">
        <is>
          <t>Elektronik</t>
        </is>
      </c>
      <c r="H327" s="10" t="inlineStr">
        <is>
          <t>Power Bank 20K</t>
        </is>
      </c>
      <c r="I327" s="19" t="n">
        <v>2</v>
      </c>
      <c r="J327" s="20" t="n">
        <v>185000</v>
      </c>
      <c r="K327" s="20" t="n">
        <v>370000</v>
      </c>
      <c r="L327" s="10">
        <f>IF($B327="","",TEXT($B327,"YYYY-MM"))</f>
        <v/>
      </c>
    </row>
    <row r="328">
      <c r="A328" s="10" t="inlineStr">
        <is>
          <t>INV-70905</t>
        </is>
      </c>
      <c r="B328" s="18" t="n">
        <v>45766</v>
      </c>
      <c r="C328" s="10" t="inlineStr">
        <is>
          <t>C1256</t>
        </is>
      </c>
      <c r="D328" s="10" t="inlineStr">
        <is>
          <t>loyal</t>
        </is>
      </c>
      <c r="E328" s="10" t="inlineStr">
        <is>
          <t>Shopee</t>
        </is>
      </c>
      <c r="F328" s="10" t="inlineStr">
        <is>
          <t>Jabodetabek</t>
        </is>
      </c>
      <c r="G328" s="10" t="inlineStr">
        <is>
          <t>Kecantikan</t>
        </is>
      </c>
      <c r="H328" s="10" t="inlineStr">
        <is>
          <t>Masker Wajah (5s)</t>
        </is>
      </c>
      <c r="I328" s="19" t="n">
        <v>4</v>
      </c>
      <c r="J328" s="20" t="n">
        <v>55000</v>
      </c>
      <c r="K328" s="20" t="n">
        <v>220000</v>
      </c>
      <c r="L328" s="10">
        <f>IF($B328="","",TEXT($B328,"YYYY-MM"))</f>
        <v/>
      </c>
    </row>
    <row r="329">
      <c r="A329" s="10" t="inlineStr">
        <is>
          <t>INV-70758</t>
        </is>
      </c>
      <c r="B329" s="18" t="n">
        <v>45767</v>
      </c>
      <c r="C329" s="10" t="inlineStr">
        <is>
          <t>C1212</t>
        </is>
      </c>
      <c r="D329" s="10" t="inlineStr">
        <is>
          <t>occasional</t>
        </is>
      </c>
      <c r="E329" s="10" t="inlineStr">
        <is>
          <t>Offline Store</t>
        </is>
      </c>
      <c r="F329" s="10" t="inlineStr">
        <is>
          <t>Jabodetabek</t>
        </is>
      </c>
      <c r="G329" s="10" t="inlineStr">
        <is>
          <t>Kecantikan</t>
        </is>
      </c>
      <c r="H329" s="10" t="inlineStr">
        <is>
          <t>Masker Wajah (5s)</t>
        </is>
      </c>
      <c r="I329" s="19" t="n">
        <v>1</v>
      </c>
      <c r="J329" s="20" t="n">
        <v>55000</v>
      </c>
      <c r="K329" s="20" t="n">
        <v>55000</v>
      </c>
      <c r="L329" s="10">
        <f>IF($B329="","",TEXT($B329,"YYYY-MM"))</f>
        <v/>
      </c>
    </row>
    <row r="330">
      <c r="A330" s="10" t="inlineStr">
        <is>
          <t>INV-70993</t>
        </is>
      </c>
      <c r="B330" s="18" t="n">
        <v>45767</v>
      </c>
      <c r="C330" s="10" t="inlineStr">
        <is>
          <t>C1286</t>
        </is>
      </c>
      <c r="D330" s="10" t="inlineStr">
        <is>
          <t>regular</t>
        </is>
      </c>
      <c r="E330" s="10" t="inlineStr">
        <is>
          <t>Shopee</t>
        </is>
      </c>
      <c r="F330" s="10" t="inlineStr">
        <is>
          <t>Jawa Tengah</t>
        </is>
      </c>
      <c r="G330" s="10" t="inlineStr">
        <is>
          <t>Rumah Tangga</t>
        </is>
      </c>
      <c r="H330" s="10" t="inlineStr">
        <is>
          <t>Set Wadah Kedap</t>
        </is>
      </c>
      <c r="I330" s="19" t="n">
        <v>3</v>
      </c>
      <c r="J330" s="20" t="n">
        <v>135000</v>
      </c>
      <c r="K330" s="20" t="n">
        <v>405000</v>
      </c>
      <c r="L330" s="10">
        <f>IF($B330="","",TEXT($B330,"YYYY-MM"))</f>
        <v/>
      </c>
    </row>
    <row r="331">
      <c r="A331" s="10" t="inlineStr">
        <is>
          <t>INV-70217</t>
        </is>
      </c>
      <c r="B331" s="18" t="n">
        <v>45767</v>
      </c>
      <c r="C331" s="10" t="inlineStr">
        <is>
          <t>C1060</t>
        </is>
      </c>
      <c r="D331" s="10" t="inlineStr">
        <is>
          <t>loyal</t>
        </is>
      </c>
      <c r="E331" s="10" t="inlineStr">
        <is>
          <t>Tokopedia</t>
        </is>
      </c>
      <c r="F331" s="10" t="inlineStr">
        <is>
          <t>Jawa Timur</t>
        </is>
      </c>
      <c r="G331" s="10" t="inlineStr">
        <is>
          <t>Rumah Tangga</t>
        </is>
      </c>
      <c r="H331" s="10" t="inlineStr">
        <is>
          <t>Set Wadah Kedap</t>
        </is>
      </c>
      <c r="I331" s="19" t="n">
        <v>4</v>
      </c>
      <c r="J331" s="20" t="n">
        <v>135000</v>
      </c>
      <c r="K331" s="20" t="n">
        <v>540000</v>
      </c>
      <c r="L331" s="10">
        <f>IF($B331="","",TEXT($B331,"YYYY-MM"))</f>
        <v/>
      </c>
    </row>
    <row r="332">
      <c r="A332" s="10" t="inlineStr">
        <is>
          <t>INV-71391</t>
        </is>
      </c>
      <c r="B332" s="18" t="n">
        <v>45767</v>
      </c>
      <c r="C332" s="10" t="inlineStr">
        <is>
          <t>C1385</t>
        </is>
      </c>
      <c r="D332" s="10" t="inlineStr">
        <is>
          <t>regular</t>
        </is>
      </c>
      <c r="E332" s="10" t="inlineStr">
        <is>
          <t>Tokopedia</t>
        </is>
      </c>
      <c r="F332" s="10" t="inlineStr">
        <is>
          <t>Lainnya</t>
        </is>
      </c>
      <c r="G332" s="10" t="inlineStr">
        <is>
          <t>Rumah Tangga</t>
        </is>
      </c>
      <c r="H332" s="10" t="inlineStr">
        <is>
          <t>Organizer Laci</t>
        </is>
      </c>
      <c r="I332" s="19" t="n">
        <v>2</v>
      </c>
      <c r="J332" s="20" t="n">
        <v>78000</v>
      </c>
      <c r="K332" s="20" t="n">
        <v>156000</v>
      </c>
      <c r="L332" s="10">
        <f>IF($B332="","",TEXT($B332,"YYYY-MM"))</f>
        <v/>
      </c>
    </row>
    <row r="333">
      <c r="A333" s="10" t="inlineStr">
        <is>
          <t>INV-70880</t>
        </is>
      </c>
      <c r="B333" s="18" t="n">
        <v>45768</v>
      </c>
      <c r="C333" s="10" t="inlineStr">
        <is>
          <t>C1247</t>
        </is>
      </c>
      <c r="D333" s="10" t="inlineStr">
        <is>
          <t>champion</t>
        </is>
      </c>
      <c r="E333" s="10" t="inlineStr">
        <is>
          <t>Tokopedia</t>
        </is>
      </c>
      <c r="F333" s="10" t="inlineStr">
        <is>
          <t>Jabodetabek</t>
        </is>
      </c>
      <c r="G333" s="10" t="inlineStr">
        <is>
          <t>Elektronik</t>
        </is>
      </c>
      <c r="H333" s="10" t="inlineStr">
        <is>
          <t>Power Bank 20K</t>
        </is>
      </c>
      <c r="I333" s="19" t="n">
        <v>4</v>
      </c>
      <c r="J333" s="20" t="n">
        <v>185000</v>
      </c>
      <c r="K333" s="20" t="n">
        <v>740000</v>
      </c>
      <c r="L333" s="10">
        <f>IF($B333="","",TEXT($B333,"YYYY-MM"))</f>
        <v/>
      </c>
    </row>
    <row r="334">
      <c r="A334" s="10" t="inlineStr">
        <is>
          <t>INV-71080</t>
        </is>
      </c>
      <c r="B334" s="18" t="n">
        <v>45768</v>
      </c>
      <c r="C334" s="10" t="inlineStr">
        <is>
          <t>C1304</t>
        </is>
      </c>
      <c r="D334" s="10" t="inlineStr">
        <is>
          <t>regular</t>
        </is>
      </c>
      <c r="E334" s="10" t="inlineStr">
        <is>
          <t>Shopee</t>
        </is>
      </c>
      <c r="F334" s="10" t="inlineStr">
        <is>
          <t>Jawa Tengah</t>
        </is>
      </c>
      <c r="G334" s="10" t="inlineStr">
        <is>
          <t>Elektronik</t>
        </is>
      </c>
      <c r="H334" s="10" t="inlineStr">
        <is>
          <t>Power Bank 20K</t>
        </is>
      </c>
      <c r="I334" s="19" t="n">
        <v>3</v>
      </c>
      <c r="J334" s="20" t="n">
        <v>185000</v>
      </c>
      <c r="K334" s="20" t="n">
        <v>555000</v>
      </c>
      <c r="L334" s="10">
        <f>IF($B334="","",TEXT($B334,"YYYY-MM"))</f>
        <v/>
      </c>
    </row>
    <row r="335">
      <c r="A335" s="10" t="inlineStr">
        <is>
          <t>INV-70604</t>
        </is>
      </c>
      <c r="B335" s="18" t="n">
        <v>45768</v>
      </c>
      <c r="C335" s="10" t="inlineStr">
        <is>
          <t>C1162</t>
        </is>
      </c>
      <c r="D335" s="10" t="inlineStr">
        <is>
          <t>regular</t>
        </is>
      </c>
      <c r="E335" s="10" t="inlineStr">
        <is>
          <t>Shopee</t>
        </is>
      </c>
      <c r="F335" s="10" t="inlineStr">
        <is>
          <t>Lainnya</t>
        </is>
      </c>
      <c r="G335" s="10" t="inlineStr">
        <is>
          <t>Elektronik</t>
        </is>
      </c>
      <c r="H335" s="10" t="inlineStr">
        <is>
          <t>Webcam HD</t>
        </is>
      </c>
      <c r="I335" s="19" t="n">
        <v>2</v>
      </c>
      <c r="J335" s="20" t="n">
        <v>210000</v>
      </c>
      <c r="K335" s="20" t="n">
        <v>420000</v>
      </c>
      <c r="L335" s="10">
        <f>IF($B335="","",TEXT($B335,"YYYY-MM"))</f>
        <v/>
      </c>
    </row>
    <row r="336">
      <c r="A336" s="10" t="inlineStr">
        <is>
          <t>INV-71138</t>
        </is>
      </c>
      <c r="B336" s="18" t="n">
        <v>45768</v>
      </c>
      <c r="C336" s="10" t="inlineStr">
        <is>
          <t>C1322</t>
        </is>
      </c>
      <c r="D336" s="10" t="inlineStr">
        <is>
          <t>loyal</t>
        </is>
      </c>
      <c r="E336" s="10" t="inlineStr">
        <is>
          <t>TikTok Shop</t>
        </is>
      </c>
      <c r="F336" s="10" t="inlineStr">
        <is>
          <t>Jawa Tengah</t>
        </is>
      </c>
      <c r="G336" s="10" t="inlineStr">
        <is>
          <t>Kecantikan</t>
        </is>
      </c>
      <c r="H336" s="10" t="inlineStr">
        <is>
          <t>Masker Wajah (5s)</t>
        </is>
      </c>
      <c r="I336" s="19" t="n">
        <v>2</v>
      </c>
      <c r="J336" s="20" t="n">
        <v>55000</v>
      </c>
      <c r="K336" s="20" t="n">
        <v>110000</v>
      </c>
      <c r="L336" s="10">
        <f>IF($B336="","",TEXT($B336,"YYYY-MM"))</f>
        <v/>
      </c>
    </row>
    <row r="337">
      <c r="A337" s="10" t="inlineStr">
        <is>
          <t>INV-70940</t>
        </is>
      </c>
      <c r="B337" s="18" t="n">
        <v>45769</v>
      </c>
      <c r="C337" s="10" t="inlineStr">
        <is>
          <t>C1265</t>
        </is>
      </c>
      <c r="D337" s="10" t="inlineStr">
        <is>
          <t>loyal</t>
        </is>
      </c>
      <c r="E337" s="10" t="inlineStr">
        <is>
          <t>Shopee</t>
        </is>
      </c>
      <c r="F337" s="10" t="inlineStr">
        <is>
          <t>Jabodetabek</t>
        </is>
      </c>
      <c r="G337" s="10" t="inlineStr">
        <is>
          <t>Makanan</t>
        </is>
      </c>
      <c r="H337" s="10" t="inlineStr">
        <is>
          <t>Madu Hutan 250ml</t>
        </is>
      </c>
      <c r="I337" s="19" t="n">
        <v>2</v>
      </c>
      <c r="J337" s="20" t="n">
        <v>110000</v>
      </c>
      <c r="K337" s="20" t="n">
        <v>220000</v>
      </c>
      <c r="L337" s="10">
        <f>IF($B337="","",TEXT($B337,"YYYY-MM"))</f>
        <v/>
      </c>
    </row>
    <row r="338">
      <c r="A338" s="10" t="inlineStr">
        <is>
          <t>INV-71515</t>
        </is>
      </c>
      <c r="B338" s="18" t="n">
        <v>45769</v>
      </c>
      <c r="C338" s="10" t="inlineStr">
        <is>
          <t>C1415</t>
        </is>
      </c>
      <c r="D338" s="10" t="inlineStr">
        <is>
          <t>regular</t>
        </is>
      </c>
      <c r="E338" s="10" t="inlineStr">
        <is>
          <t>Shopee</t>
        </is>
      </c>
      <c r="F338" s="10" t="inlineStr">
        <is>
          <t>Jabodetabek</t>
        </is>
      </c>
      <c r="G338" s="10" t="inlineStr">
        <is>
          <t>Rumah Tangga</t>
        </is>
      </c>
      <c r="H338" s="10" t="inlineStr">
        <is>
          <t>Set Wadah Kedap</t>
        </is>
      </c>
      <c r="I338" s="19" t="n">
        <v>1</v>
      </c>
      <c r="J338" s="20" t="n">
        <v>135000</v>
      </c>
      <c r="K338" s="20" t="n">
        <v>135000</v>
      </c>
      <c r="L338" s="10">
        <f>IF($B338="","",TEXT($B338,"YYYY-MM"))</f>
        <v/>
      </c>
    </row>
    <row r="339">
      <c r="A339" s="10" t="inlineStr">
        <is>
          <t>INV-71032</t>
        </is>
      </c>
      <c r="B339" s="18" t="n">
        <v>45769</v>
      </c>
      <c r="C339" s="10" t="inlineStr">
        <is>
          <t>C1294</t>
        </is>
      </c>
      <c r="D339" s="10" t="inlineStr">
        <is>
          <t>loyal</t>
        </is>
      </c>
      <c r="E339" s="10" t="inlineStr">
        <is>
          <t>Shopee</t>
        </is>
      </c>
      <c r="F339" s="10" t="inlineStr">
        <is>
          <t>Jawa Timur</t>
        </is>
      </c>
      <c r="G339" s="10" t="inlineStr">
        <is>
          <t>Elektronik</t>
        </is>
      </c>
      <c r="H339" s="10" t="inlineStr">
        <is>
          <t>Power Bank 20K</t>
        </is>
      </c>
      <c r="I339" s="19" t="n">
        <v>2</v>
      </c>
      <c r="J339" s="20" t="n">
        <v>185000</v>
      </c>
      <c r="K339" s="20" t="n">
        <v>370000</v>
      </c>
      <c r="L339" s="10">
        <f>IF($B339="","",TEXT($B339,"YYYY-MM"))</f>
        <v/>
      </c>
    </row>
    <row r="340">
      <c r="A340" s="10" t="inlineStr">
        <is>
          <t>INV-71498</t>
        </is>
      </c>
      <c r="B340" s="18" t="n">
        <v>45769</v>
      </c>
      <c r="C340" s="10" t="inlineStr">
        <is>
          <t>C1412</t>
        </is>
      </c>
      <c r="D340" s="10" t="inlineStr">
        <is>
          <t>champion</t>
        </is>
      </c>
      <c r="E340" s="10" t="inlineStr">
        <is>
          <t>Shopee</t>
        </is>
      </c>
      <c r="F340" s="10" t="inlineStr">
        <is>
          <t>Jawa Barat</t>
        </is>
      </c>
      <c r="G340" s="10" t="inlineStr">
        <is>
          <t>Rumah Tangga</t>
        </is>
      </c>
      <c r="H340" s="10" t="inlineStr">
        <is>
          <t>Organizer Laci</t>
        </is>
      </c>
      <c r="I340" s="19" t="n">
        <v>2</v>
      </c>
      <c r="J340" s="20" t="n">
        <v>78000</v>
      </c>
      <c r="K340" s="20" t="n">
        <v>156000</v>
      </c>
      <c r="L340" s="10">
        <f>IF($B340="","",TEXT($B340,"YYYY-MM"))</f>
        <v/>
      </c>
    </row>
    <row r="341">
      <c r="A341" s="10" t="inlineStr">
        <is>
          <t>INV-70971</t>
        </is>
      </c>
      <c r="B341" s="18" t="n">
        <v>45769</v>
      </c>
      <c r="C341" s="10" t="inlineStr">
        <is>
          <t>C1279</t>
        </is>
      </c>
      <c r="D341" s="10" t="inlineStr">
        <is>
          <t>loyal</t>
        </is>
      </c>
      <c r="E341" s="10" t="inlineStr">
        <is>
          <t>Tokopedia</t>
        </is>
      </c>
      <c r="F341" s="10" t="inlineStr">
        <is>
          <t>Jabodetabek</t>
        </is>
      </c>
      <c r="G341" s="10" t="inlineStr">
        <is>
          <t>Elektronik</t>
        </is>
      </c>
      <c r="H341" s="10" t="inlineStr">
        <is>
          <t>Webcam HD</t>
        </is>
      </c>
      <c r="I341" s="19" t="n">
        <v>2</v>
      </c>
      <c r="J341" s="20" t="n">
        <v>210000</v>
      </c>
      <c r="K341" s="20" t="n">
        <v>420000</v>
      </c>
      <c r="L341" s="10">
        <f>IF($B341="","",TEXT($B341,"YYYY-MM"))</f>
        <v/>
      </c>
    </row>
    <row r="342">
      <c r="A342" s="10" t="inlineStr">
        <is>
          <t>INV-71315</t>
        </is>
      </c>
      <c r="B342" s="18" t="n">
        <v>45769</v>
      </c>
      <c r="C342" s="10" t="inlineStr">
        <is>
          <t>C1364</t>
        </is>
      </c>
      <c r="D342" s="10" t="inlineStr">
        <is>
          <t>champion</t>
        </is>
      </c>
      <c r="E342" s="10" t="inlineStr">
        <is>
          <t>TikTok Shop</t>
        </is>
      </c>
      <c r="F342" s="10" t="inlineStr">
        <is>
          <t>Jawa Timur</t>
        </is>
      </c>
      <c r="G342" s="10" t="inlineStr">
        <is>
          <t>Rumah Tangga</t>
        </is>
      </c>
      <c r="H342" s="10" t="inlineStr">
        <is>
          <t>Set Wadah Kedap</t>
        </is>
      </c>
      <c r="I342" s="19" t="n">
        <v>1</v>
      </c>
      <c r="J342" s="20" t="n">
        <v>135000</v>
      </c>
      <c r="K342" s="20" t="n">
        <v>135000</v>
      </c>
      <c r="L342" s="10">
        <f>IF($B342="","",TEXT($B342,"YYYY-MM"))</f>
        <v/>
      </c>
    </row>
    <row r="343">
      <c r="A343" s="10" t="inlineStr">
        <is>
          <t>INV-70339</t>
        </is>
      </c>
      <c r="B343" s="18" t="n">
        <v>45769</v>
      </c>
      <c r="C343" s="10" t="inlineStr">
        <is>
          <t>C1093</t>
        </is>
      </c>
      <c r="D343" s="10" t="inlineStr">
        <is>
          <t>champion</t>
        </is>
      </c>
      <c r="E343" s="10" t="inlineStr">
        <is>
          <t>Offline Store</t>
        </is>
      </c>
      <c r="F343" s="10" t="inlineStr">
        <is>
          <t>Jabodetabek</t>
        </is>
      </c>
      <c r="G343" s="10" t="inlineStr">
        <is>
          <t>Fashion</t>
        </is>
      </c>
      <c r="H343" s="10" t="inlineStr">
        <is>
          <t>Dress Casual</t>
        </is>
      </c>
      <c r="I343" s="19" t="n">
        <v>1</v>
      </c>
      <c r="J343" s="20" t="n">
        <v>225000</v>
      </c>
      <c r="K343" s="20" t="n">
        <v>225000</v>
      </c>
      <c r="L343" s="10">
        <f>IF($B343="","",TEXT($B343,"YYYY-MM"))</f>
        <v/>
      </c>
    </row>
    <row r="344">
      <c r="A344" s="10" t="inlineStr">
        <is>
          <t>INV-70788</t>
        </is>
      </c>
      <c r="B344" s="18" t="n">
        <v>45769</v>
      </c>
      <c r="C344" s="10" t="inlineStr">
        <is>
          <t>C1222</t>
        </is>
      </c>
      <c r="D344" s="10" t="inlineStr">
        <is>
          <t>loyal</t>
        </is>
      </c>
      <c r="E344" s="10" t="inlineStr">
        <is>
          <t>Tokopedia</t>
        </is>
      </c>
      <c r="F344" s="10" t="inlineStr">
        <is>
          <t>Jawa Barat</t>
        </is>
      </c>
      <c r="G344" s="10" t="inlineStr">
        <is>
          <t>Rumah Tangga</t>
        </is>
      </c>
      <c r="H344" s="10" t="inlineStr">
        <is>
          <t>Set Wadah Kedap</t>
        </is>
      </c>
      <c r="I344" s="19" t="n">
        <v>2</v>
      </c>
      <c r="J344" s="20" t="n">
        <v>135000</v>
      </c>
      <c r="K344" s="20" t="n">
        <v>270000</v>
      </c>
      <c r="L344" s="10">
        <f>IF($B344="","",TEXT($B344,"YYYY-MM"))</f>
        <v/>
      </c>
    </row>
    <row r="345">
      <c r="A345" s="10" t="inlineStr">
        <is>
          <t>INV-71489</t>
        </is>
      </c>
      <c r="B345" s="18" t="n">
        <v>45769</v>
      </c>
      <c r="C345" s="10" t="inlineStr">
        <is>
          <t>C1409</t>
        </is>
      </c>
      <c r="D345" s="10" t="inlineStr">
        <is>
          <t>loyal</t>
        </is>
      </c>
      <c r="E345" s="10" t="inlineStr">
        <is>
          <t>Shopee</t>
        </is>
      </c>
      <c r="F345" s="10" t="inlineStr">
        <is>
          <t>Jawa Tengah</t>
        </is>
      </c>
      <c r="G345" s="10" t="inlineStr">
        <is>
          <t>Rumah Tangga</t>
        </is>
      </c>
      <c r="H345" s="10" t="inlineStr">
        <is>
          <t>Set Wadah Kedap</t>
        </is>
      </c>
      <c r="I345" s="19" t="n">
        <v>3</v>
      </c>
      <c r="J345" s="20" t="n">
        <v>135000</v>
      </c>
      <c r="K345" s="20" t="n">
        <v>405000</v>
      </c>
      <c r="L345" s="10">
        <f>IF($B345="","",TEXT($B345,"YYYY-MM"))</f>
        <v/>
      </c>
    </row>
    <row r="346">
      <c r="A346" s="10" t="inlineStr">
        <is>
          <t>INV-70898</t>
        </is>
      </c>
      <c r="B346" s="18" t="n">
        <v>45770</v>
      </c>
      <c r="C346" s="10" t="inlineStr">
        <is>
          <t>C1252</t>
        </is>
      </c>
      <c r="D346" s="10" t="inlineStr">
        <is>
          <t>regular</t>
        </is>
      </c>
      <c r="E346" s="10" t="inlineStr">
        <is>
          <t>Shopee</t>
        </is>
      </c>
      <c r="F346" s="10" t="inlineStr">
        <is>
          <t>Sumatera</t>
        </is>
      </c>
      <c r="G346" s="10" t="inlineStr">
        <is>
          <t>Rumah Tangga</t>
        </is>
      </c>
      <c r="H346" s="10" t="inlineStr">
        <is>
          <t>Set Wadah Kedap</t>
        </is>
      </c>
      <c r="I346" s="19" t="n">
        <v>3</v>
      </c>
      <c r="J346" s="20" t="n">
        <v>135000</v>
      </c>
      <c r="K346" s="20" t="n">
        <v>405000</v>
      </c>
      <c r="L346" s="10">
        <f>IF($B346="","",TEXT($B346,"YYYY-MM"))</f>
        <v/>
      </c>
    </row>
    <row r="347">
      <c r="A347" s="10" t="inlineStr">
        <is>
          <t>INV-70780</t>
        </is>
      </c>
      <c r="B347" s="18" t="n">
        <v>45770</v>
      </c>
      <c r="C347" s="10" t="inlineStr">
        <is>
          <t>C1220</t>
        </is>
      </c>
      <c r="D347" s="10" t="inlineStr">
        <is>
          <t>loyal</t>
        </is>
      </c>
      <c r="E347" s="10" t="inlineStr">
        <is>
          <t>Tokopedia</t>
        </is>
      </c>
      <c r="F347" s="10" t="inlineStr">
        <is>
          <t>Jawa Tengah</t>
        </is>
      </c>
      <c r="G347" s="10" t="inlineStr">
        <is>
          <t>Elektronik</t>
        </is>
      </c>
      <c r="H347" s="10" t="inlineStr">
        <is>
          <t>Keyboard Mekanik</t>
        </is>
      </c>
      <c r="I347" s="19" t="n">
        <v>1</v>
      </c>
      <c r="J347" s="20" t="n">
        <v>380000</v>
      </c>
      <c r="K347" s="20" t="n">
        <v>380000</v>
      </c>
      <c r="L347" s="10">
        <f>IF($B347="","",TEXT($B347,"YYYY-MM"))</f>
        <v/>
      </c>
    </row>
    <row r="348">
      <c r="A348" s="10" t="inlineStr">
        <is>
          <t>INV-70374</t>
        </is>
      </c>
      <c r="B348" s="18" t="n">
        <v>45770</v>
      </c>
      <c r="C348" s="10" t="inlineStr">
        <is>
          <t>C1108</t>
        </is>
      </c>
      <c r="D348" s="10" t="inlineStr">
        <is>
          <t>occasional</t>
        </is>
      </c>
      <c r="E348" s="10" t="inlineStr">
        <is>
          <t>Tokopedia</t>
        </is>
      </c>
      <c r="F348" s="10" t="inlineStr">
        <is>
          <t>Sumatera</t>
        </is>
      </c>
      <c r="G348" s="10" t="inlineStr">
        <is>
          <t>Rumah Tangga</t>
        </is>
      </c>
      <c r="H348" s="10" t="inlineStr">
        <is>
          <t>Set Wadah Kedap</t>
        </is>
      </c>
      <c r="I348" s="19" t="n">
        <v>3</v>
      </c>
      <c r="J348" s="20" t="n">
        <v>135000</v>
      </c>
      <c r="K348" s="20" t="n">
        <v>405000</v>
      </c>
      <c r="L348" s="10">
        <f>IF($B348="","",TEXT($B348,"YYYY-MM"))</f>
        <v/>
      </c>
    </row>
    <row r="349">
      <c r="A349" s="10" t="inlineStr">
        <is>
          <t>INV-70861</t>
        </is>
      </c>
      <c r="B349" s="18" t="n">
        <v>45771</v>
      </c>
      <c r="C349" s="10" t="inlineStr">
        <is>
          <t>C1242</t>
        </is>
      </c>
      <c r="D349" s="10" t="inlineStr">
        <is>
          <t>regular</t>
        </is>
      </c>
      <c r="E349" s="10" t="inlineStr">
        <is>
          <t>TikTok Shop</t>
        </is>
      </c>
      <c r="F349" s="10" t="inlineStr">
        <is>
          <t>Jabodetabek</t>
        </is>
      </c>
      <c r="G349" s="10" t="inlineStr">
        <is>
          <t>Elektronik</t>
        </is>
      </c>
      <c r="H349" s="10" t="inlineStr">
        <is>
          <t>Webcam HD</t>
        </is>
      </c>
      <c r="I349" s="19" t="n">
        <v>2</v>
      </c>
      <c r="J349" s="20" t="n">
        <v>210000</v>
      </c>
      <c r="K349" s="20" t="n">
        <v>420000</v>
      </c>
      <c r="L349" s="10">
        <f>IF($B349="","",TEXT($B349,"YYYY-MM"))</f>
        <v/>
      </c>
    </row>
    <row r="350">
      <c r="A350" s="10" t="inlineStr">
        <is>
          <t>INV-71167</t>
        </is>
      </c>
      <c r="B350" s="18" t="n">
        <v>45771</v>
      </c>
      <c r="C350" s="10" t="inlineStr">
        <is>
          <t>C1330</t>
        </is>
      </c>
      <c r="D350" s="10" t="inlineStr">
        <is>
          <t>regular</t>
        </is>
      </c>
      <c r="E350" s="10" t="inlineStr">
        <is>
          <t>Shopee</t>
        </is>
      </c>
      <c r="F350" s="10" t="inlineStr">
        <is>
          <t>Jabodetabek</t>
        </is>
      </c>
      <c r="G350" s="10" t="inlineStr">
        <is>
          <t>Elektronik</t>
        </is>
      </c>
      <c r="H350" s="10" t="inlineStr">
        <is>
          <t>Webcam HD</t>
        </is>
      </c>
      <c r="I350" s="19" t="n">
        <v>3</v>
      </c>
      <c r="J350" s="20" t="n">
        <v>210000</v>
      </c>
      <c r="K350" s="20" t="n">
        <v>630000</v>
      </c>
      <c r="L350" s="10">
        <f>IF($B350="","",TEXT($B350,"YYYY-MM"))</f>
        <v/>
      </c>
    </row>
    <row r="351">
      <c r="A351" s="10" t="inlineStr">
        <is>
          <t>INV-70433</t>
        </is>
      </c>
      <c r="B351" s="18" t="n">
        <v>45771</v>
      </c>
      <c r="C351" s="10" t="inlineStr">
        <is>
          <t>C1122</t>
        </is>
      </c>
      <c r="D351" s="10" t="inlineStr">
        <is>
          <t>loyal</t>
        </is>
      </c>
      <c r="E351" s="10" t="inlineStr">
        <is>
          <t>Tokopedia</t>
        </is>
      </c>
      <c r="F351" s="10" t="inlineStr">
        <is>
          <t>Lainnya</t>
        </is>
      </c>
      <c r="G351" s="10" t="inlineStr">
        <is>
          <t>Rumah Tangga</t>
        </is>
      </c>
      <c r="H351" s="10" t="inlineStr">
        <is>
          <t>Set Wadah Kedap</t>
        </is>
      </c>
      <c r="I351" s="19" t="n">
        <v>2</v>
      </c>
      <c r="J351" s="20" t="n">
        <v>135000</v>
      </c>
      <c r="K351" s="20" t="n">
        <v>270000</v>
      </c>
      <c r="L351" s="10">
        <f>IF($B351="","",TEXT($B351,"YYYY-MM"))</f>
        <v/>
      </c>
    </row>
    <row r="352">
      <c r="A352" s="10" t="inlineStr">
        <is>
          <t>INV-71431</t>
        </is>
      </c>
      <c r="B352" s="18" t="n">
        <v>45772</v>
      </c>
      <c r="C352" s="10" t="inlineStr">
        <is>
          <t>C1394</t>
        </is>
      </c>
      <c r="D352" s="10" t="inlineStr">
        <is>
          <t>loyal</t>
        </is>
      </c>
      <c r="E352" s="10" t="inlineStr">
        <is>
          <t>Tokopedia</t>
        </is>
      </c>
      <c r="F352" s="10" t="inlineStr">
        <is>
          <t>Jabodetabek</t>
        </is>
      </c>
      <c r="G352" s="10" t="inlineStr">
        <is>
          <t>Rumah Tangga</t>
        </is>
      </c>
      <c r="H352" s="10" t="inlineStr">
        <is>
          <t>Set Wadah Kedap</t>
        </is>
      </c>
      <c r="I352" s="19" t="n">
        <v>1</v>
      </c>
      <c r="J352" s="20" t="n">
        <v>135000</v>
      </c>
      <c r="K352" s="20" t="n">
        <v>135000</v>
      </c>
      <c r="L352" s="10">
        <f>IF($B352="","",TEXT($B352,"YYYY-MM"))</f>
        <v/>
      </c>
    </row>
    <row r="353">
      <c r="A353" s="10" t="inlineStr">
        <is>
          <t>INV-70943</t>
        </is>
      </c>
      <c r="B353" s="18" t="n">
        <v>45772</v>
      </c>
      <c r="C353" s="10" t="inlineStr">
        <is>
          <t>C1266</t>
        </is>
      </c>
      <c r="D353" s="10" t="inlineStr">
        <is>
          <t>onetime</t>
        </is>
      </c>
      <c r="E353" s="10" t="inlineStr">
        <is>
          <t>Shopee</t>
        </is>
      </c>
      <c r="F353" s="10" t="inlineStr">
        <is>
          <t>Lainnya</t>
        </is>
      </c>
      <c r="G353" s="10" t="inlineStr">
        <is>
          <t>Elektronik</t>
        </is>
      </c>
      <c r="H353" s="10" t="inlineStr">
        <is>
          <t>Smartwatch</t>
        </is>
      </c>
      <c r="I353" s="19" t="n">
        <v>2</v>
      </c>
      <c r="J353" s="20" t="n">
        <v>450000</v>
      </c>
      <c r="K353" s="20" t="n">
        <v>900000</v>
      </c>
      <c r="L353" s="10">
        <f>IF($B353="","",TEXT($B353,"YYYY-MM"))</f>
        <v/>
      </c>
    </row>
    <row r="354">
      <c r="A354" s="10" t="inlineStr">
        <is>
          <t>INV-71247</t>
        </is>
      </c>
      <c r="B354" s="18" t="n">
        <v>45772</v>
      </c>
      <c r="C354" s="10" t="inlineStr">
        <is>
          <t>C1352</t>
        </is>
      </c>
      <c r="D354" s="10" t="inlineStr">
        <is>
          <t>loyal</t>
        </is>
      </c>
      <c r="E354" s="10" t="inlineStr">
        <is>
          <t>Offline Store</t>
        </is>
      </c>
      <c r="F354" s="10" t="inlineStr">
        <is>
          <t>Jawa Tengah</t>
        </is>
      </c>
      <c r="G354" s="10" t="inlineStr">
        <is>
          <t>Rumah Tangga</t>
        </is>
      </c>
      <c r="H354" s="10" t="inlineStr">
        <is>
          <t>Set Wadah Kedap</t>
        </is>
      </c>
      <c r="I354" s="19" t="n">
        <v>2</v>
      </c>
      <c r="J354" s="20" t="n">
        <v>135000</v>
      </c>
      <c r="K354" s="20" t="n">
        <v>270000</v>
      </c>
      <c r="L354" s="10">
        <f>IF($B354="","",TEXT($B354,"YYYY-MM"))</f>
        <v/>
      </c>
    </row>
    <row r="355">
      <c r="A355" s="10" t="inlineStr">
        <is>
          <t>INV-70371</t>
        </is>
      </c>
      <c r="B355" s="18" t="n">
        <v>45773</v>
      </c>
      <c r="C355" s="10" t="inlineStr">
        <is>
          <t>C1105</t>
        </is>
      </c>
      <c r="D355" s="10" t="inlineStr">
        <is>
          <t>regular</t>
        </is>
      </c>
      <c r="E355" s="10" t="inlineStr">
        <is>
          <t>Tokopedia</t>
        </is>
      </c>
      <c r="F355" s="10" t="inlineStr">
        <is>
          <t>Lainnya</t>
        </is>
      </c>
      <c r="G355" s="10" t="inlineStr">
        <is>
          <t>Rumah Tangga</t>
        </is>
      </c>
      <c r="H355" s="10" t="inlineStr">
        <is>
          <t>Organizer Laci</t>
        </is>
      </c>
      <c r="I355" s="19" t="n">
        <v>2</v>
      </c>
      <c r="J355" s="20" t="n">
        <v>78000</v>
      </c>
      <c r="K355" s="20" t="n">
        <v>156000</v>
      </c>
      <c r="L355" s="10">
        <f>IF($B355="","",TEXT($B355,"YYYY-MM"))</f>
        <v/>
      </c>
    </row>
    <row r="356">
      <c r="A356" s="10" t="inlineStr">
        <is>
          <t>INV-70939</t>
        </is>
      </c>
      <c r="B356" s="18" t="n">
        <v>45773</v>
      </c>
      <c r="C356" s="10" t="inlineStr">
        <is>
          <t>C1265</t>
        </is>
      </c>
      <c r="D356" s="10" t="inlineStr">
        <is>
          <t>loyal</t>
        </is>
      </c>
      <c r="E356" s="10" t="inlineStr">
        <is>
          <t>Shopee</t>
        </is>
      </c>
      <c r="F356" s="10" t="inlineStr">
        <is>
          <t>Jawa Barat</t>
        </is>
      </c>
      <c r="G356" s="10" t="inlineStr">
        <is>
          <t>Makanan</t>
        </is>
      </c>
      <c r="H356" s="10" t="inlineStr">
        <is>
          <t>Madu Hutan 250ml</t>
        </is>
      </c>
      <c r="I356" s="19" t="n">
        <v>1</v>
      </c>
      <c r="J356" s="20" t="n">
        <v>110000</v>
      </c>
      <c r="K356" s="20" t="n">
        <v>110000</v>
      </c>
      <c r="L356" s="10">
        <f>IF($B356="","",TEXT($B356,"YYYY-MM"))</f>
        <v/>
      </c>
    </row>
    <row r="357">
      <c r="A357" s="10" t="inlineStr">
        <is>
          <t>INV-71455</t>
        </is>
      </c>
      <c r="B357" s="18" t="n">
        <v>45773</v>
      </c>
      <c r="C357" s="10" t="inlineStr">
        <is>
          <t>C1402</t>
        </is>
      </c>
      <c r="D357" s="10" t="inlineStr">
        <is>
          <t>occasional</t>
        </is>
      </c>
      <c r="E357" s="10" t="inlineStr">
        <is>
          <t>Tokopedia</t>
        </is>
      </c>
      <c r="F357" s="10" t="inlineStr">
        <is>
          <t>Jawa Tengah</t>
        </is>
      </c>
      <c r="G357" s="10" t="inlineStr">
        <is>
          <t>Rumah Tangga</t>
        </is>
      </c>
      <c r="H357" s="10" t="inlineStr">
        <is>
          <t>Diffuser Aroma</t>
        </is>
      </c>
      <c r="I357" s="19" t="n">
        <v>4</v>
      </c>
      <c r="J357" s="20" t="n">
        <v>195000</v>
      </c>
      <c r="K357" s="20" t="n">
        <v>780000</v>
      </c>
      <c r="L357" s="10">
        <f>IF($B357="","",TEXT($B357,"YYYY-MM"))</f>
        <v/>
      </c>
    </row>
    <row r="358">
      <c r="A358" s="10" t="inlineStr">
        <is>
          <t>INV-70263</t>
        </is>
      </c>
      <c r="B358" s="18" t="n">
        <v>45773</v>
      </c>
      <c r="C358" s="10" t="inlineStr">
        <is>
          <t>C1074</t>
        </is>
      </c>
      <c r="D358" s="10" t="inlineStr">
        <is>
          <t>regular</t>
        </is>
      </c>
      <c r="E358" s="10" t="inlineStr">
        <is>
          <t>Tokopedia</t>
        </is>
      </c>
      <c r="F358" s="10" t="inlineStr">
        <is>
          <t>Sumatera</t>
        </is>
      </c>
      <c r="G358" s="10" t="inlineStr">
        <is>
          <t>Kecantikan</t>
        </is>
      </c>
      <c r="H358" s="10" t="inlineStr">
        <is>
          <t>Masker Wajah (5s)</t>
        </is>
      </c>
      <c r="I358" s="19" t="n">
        <v>1</v>
      </c>
      <c r="J358" s="20" t="n">
        <v>55000</v>
      </c>
      <c r="K358" s="20" t="n">
        <v>55000</v>
      </c>
      <c r="L358" s="10">
        <f>IF($B358="","",TEXT($B358,"YYYY-MM"))</f>
        <v/>
      </c>
    </row>
    <row r="359">
      <c r="A359" s="10" t="inlineStr">
        <is>
          <t>INV-70793</t>
        </is>
      </c>
      <c r="B359" s="18" t="n">
        <v>45773</v>
      </c>
      <c r="C359" s="10" t="inlineStr">
        <is>
          <t>C1222</t>
        </is>
      </c>
      <c r="D359" s="10" t="inlineStr">
        <is>
          <t>loyal</t>
        </is>
      </c>
      <c r="E359" s="10" t="inlineStr">
        <is>
          <t>Offline Store</t>
        </is>
      </c>
      <c r="F359" s="10" t="inlineStr">
        <is>
          <t>Jawa Barat</t>
        </is>
      </c>
      <c r="G359" s="10" t="inlineStr">
        <is>
          <t>Elektronik</t>
        </is>
      </c>
      <c r="H359" s="10" t="inlineStr">
        <is>
          <t>Smartwatch</t>
        </is>
      </c>
      <c r="I359" s="19" t="n">
        <v>2</v>
      </c>
      <c r="J359" s="20" t="n">
        <v>450000</v>
      </c>
      <c r="K359" s="20" t="n">
        <v>900000</v>
      </c>
      <c r="L359" s="10">
        <f>IF($B359="","",TEXT($B359,"YYYY-MM"))</f>
        <v/>
      </c>
    </row>
    <row r="360">
      <c r="A360" s="10" t="inlineStr">
        <is>
          <t>INV-70401</t>
        </is>
      </c>
      <c r="B360" s="18" t="n">
        <v>45774</v>
      </c>
      <c r="C360" s="10" t="inlineStr">
        <is>
          <t>C1112</t>
        </is>
      </c>
      <c r="D360" s="10" t="inlineStr">
        <is>
          <t>loyal</t>
        </is>
      </c>
      <c r="E360" s="10" t="inlineStr">
        <is>
          <t>Shopee</t>
        </is>
      </c>
      <c r="F360" s="10" t="inlineStr">
        <is>
          <t>Lainnya</t>
        </is>
      </c>
      <c r="G360" s="10" t="inlineStr">
        <is>
          <t>Rumah Tangga</t>
        </is>
      </c>
      <c r="H360" s="10" t="inlineStr">
        <is>
          <t>Organizer Laci</t>
        </is>
      </c>
      <c r="I360" s="19" t="n">
        <v>1</v>
      </c>
      <c r="J360" s="20" t="n">
        <v>78000</v>
      </c>
      <c r="K360" s="20" t="n">
        <v>78000</v>
      </c>
      <c r="L360" s="10">
        <f>IF($B360="","",TEXT($B360,"YYYY-MM"))</f>
        <v/>
      </c>
    </row>
    <row r="361">
      <c r="A361" s="10" t="inlineStr">
        <is>
          <t>INV-70606</t>
        </is>
      </c>
      <c r="B361" s="18" t="n">
        <v>45774</v>
      </c>
      <c r="C361" s="10" t="inlineStr">
        <is>
          <t>C1163</t>
        </is>
      </c>
      <c r="D361" s="10" t="inlineStr">
        <is>
          <t>occasional</t>
        </is>
      </c>
      <c r="E361" s="10" t="inlineStr">
        <is>
          <t>Offline Store</t>
        </is>
      </c>
      <c r="F361" s="10" t="inlineStr">
        <is>
          <t>Jawa Barat</t>
        </is>
      </c>
      <c r="G361" s="10" t="inlineStr">
        <is>
          <t>Kecantikan</t>
        </is>
      </c>
      <c r="H361" s="10" t="inlineStr">
        <is>
          <t>Masker Wajah (5s)</t>
        </is>
      </c>
      <c r="I361" s="19" t="n">
        <v>3</v>
      </c>
      <c r="J361" s="20" t="n">
        <v>55000</v>
      </c>
      <c r="K361" s="20" t="n">
        <v>165000</v>
      </c>
      <c r="L361" s="10">
        <f>IF($B361="","",TEXT($B361,"YYYY-MM"))</f>
        <v/>
      </c>
    </row>
    <row r="362">
      <c r="A362" s="10" t="inlineStr">
        <is>
          <t>INV-71509</t>
        </is>
      </c>
      <c r="B362" s="18" t="n">
        <v>45774</v>
      </c>
      <c r="C362" s="10" t="inlineStr">
        <is>
          <t>C1414</t>
        </is>
      </c>
      <c r="D362" s="10" t="inlineStr">
        <is>
          <t>occasional</t>
        </is>
      </c>
      <c r="E362" s="10" t="inlineStr">
        <is>
          <t>TikTok Shop</t>
        </is>
      </c>
      <c r="F362" s="10" t="inlineStr">
        <is>
          <t>Sumatera</t>
        </is>
      </c>
      <c r="G362" s="10" t="inlineStr">
        <is>
          <t>Fashion</t>
        </is>
      </c>
      <c r="H362" s="10" t="inlineStr">
        <is>
          <t>Jaket Denim</t>
        </is>
      </c>
      <c r="I362" s="19" t="n">
        <v>2</v>
      </c>
      <c r="J362" s="20" t="n">
        <v>320000</v>
      </c>
      <c r="K362" s="20" t="n">
        <v>640000</v>
      </c>
      <c r="L362" s="10">
        <f>IF($B362="","",TEXT($B362,"YYYY-MM"))</f>
        <v/>
      </c>
    </row>
    <row r="363">
      <c r="A363" s="10" t="inlineStr">
        <is>
          <t>INV-71290</t>
        </is>
      </c>
      <c r="B363" s="18" t="n">
        <v>45774</v>
      </c>
      <c r="C363" s="10" t="inlineStr">
        <is>
          <t>C1359</t>
        </is>
      </c>
      <c r="D363" s="10" t="inlineStr">
        <is>
          <t>champion</t>
        </is>
      </c>
      <c r="E363" s="10" t="inlineStr">
        <is>
          <t>Tokopedia</t>
        </is>
      </c>
      <c r="F363" s="10" t="inlineStr">
        <is>
          <t>Jawa Timur</t>
        </is>
      </c>
      <c r="G363" s="10" t="inlineStr">
        <is>
          <t>Kecantikan</t>
        </is>
      </c>
      <c r="H363" s="10" t="inlineStr">
        <is>
          <t>Masker Wajah (5s)</t>
        </is>
      </c>
      <c r="I363" s="19" t="n">
        <v>1</v>
      </c>
      <c r="J363" s="20" t="n">
        <v>55000</v>
      </c>
      <c r="K363" s="20" t="n">
        <v>55000</v>
      </c>
      <c r="L363" s="10">
        <f>IF($B363="","",TEXT($B363,"YYYY-MM"))</f>
        <v/>
      </c>
    </row>
    <row r="364">
      <c r="A364" s="10" t="inlineStr">
        <is>
          <t>INV-70215</t>
        </is>
      </c>
      <c r="B364" s="18" t="n">
        <v>45774</v>
      </c>
      <c r="C364" s="10" t="inlineStr">
        <is>
          <t>C1060</t>
        </is>
      </c>
      <c r="D364" s="10" t="inlineStr">
        <is>
          <t>loyal</t>
        </is>
      </c>
      <c r="E364" s="10" t="inlineStr">
        <is>
          <t>Tokopedia</t>
        </is>
      </c>
      <c r="F364" s="10" t="inlineStr">
        <is>
          <t>Jawa Tengah</t>
        </is>
      </c>
      <c r="G364" s="10" t="inlineStr">
        <is>
          <t>Rumah Tangga</t>
        </is>
      </c>
      <c r="H364" s="10" t="inlineStr">
        <is>
          <t>Set Wadah Kedap</t>
        </is>
      </c>
      <c r="I364" s="19" t="n">
        <v>1</v>
      </c>
      <c r="J364" s="20" t="n">
        <v>135000</v>
      </c>
      <c r="K364" s="20" t="n">
        <v>135000</v>
      </c>
      <c r="L364" s="10">
        <f>IF($B364="","",TEXT($B364,"YYYY-MM"))</f>
        <v/>
      </c>
    </row>
    <row r="365">
      <c r="A365" s="10" t="inlineStr">
        <is>
          <t>INV-70335</t>
        </is>
      </c>
      <c r="B365" s="18" t="n">
        <v>45774</v>
      </c>
      <c r="C365" s="10" t="inlineStr">
        <is>
          <t>C1092</t>
        </is>
      </c>
      <c r="D365" s="10" t="inlineStr">
        <is>
          <t>occasional</t>
        </is>
      </c>
      <c r="E365" s="10" t="inlineStr">
        <is>
          <t>Offline Store</t>
        </is>
      </c>
      <c r="F365" s="10" t="inlineStr">
        <is>
          <t>Jabodetabek</t>
        </is>
      </c>
      <c r="G365" s="10" t="inlineStr">
        <is>
          <t>Fashion</t>
        </is>
      </c>
      <c r="H365" s="10" t="inlineStr">
        <is>
          <t>Dress Casual</t>
        </is>
      </c>
      <c r="I365" s="19" t="n">
        <v>3</v>
      </c>
      <c r="J365" s="20" t="n">
        <v>225000</v>
      </c>
      <c r="K365" s="20" t="n">
        <v>675000</v>
      </c>
      <c r="L365" s="10">
        <f>IF($B365="","",TEXT($B365,"YYYY-MM"))</f>
        <v/>
      </c>
    </row>
    <row r="366">
      <c r="A366" s="10" t="inlineStr">
        <is>
          <t>INV-71007</t>
        </is>
      </c>
      <c r="B366" s="18" t="n">
        <v>45774</v>
      </c>
      <c r="C366" s="10" t="inlineStr">
        <is>
          <t>C1287</t>
        </is>
      </c>
      <c r="D366" s="10" t="inlineStr">
        <is>
          <t>champion</t>
        </is>
      </c>
      <c r="E366" s="10" t="inlineStr">
        <is>
          <t>Shopee</t>
        </is>
      </c>
      <c r="F366" s="10" t="inlineStr">
        <is>
          <t>Jabodetabek</t>
        </is>
      </c>
      <c r="G366" s="10" t="inlineStr">
        <is>
          <t>Kecantikan</t>
        </is>
      </c>
      <c r="H366" s="10" t="inlineStr">
        <is>
          <t>Masker Wajah (5s)</t>
        </is>
      </c>
      <c r="I366" s="19" t="n">
        <v>4</v>
      </c>
      <c r="J366" s="20" t="n">
        <v>55000</v>
      </c>
      <c r="K366" s="20" t="n">
        <v>220000</v>
      </c>
      <c r="L366" s="10">
        <f>IF($B366="","",TEXT($B366,"YYYY-MM"))</f>
        <v/>
      </c>
    </row>
    <row r="367">
      <c r="A367" s="10" t="inlineStr">
        <is>
          <t>INV-70393</t>
        </is>
      </c>
      <c r="B367" s="18" t="n">
        <v>45778</v>
      </c>
      <c r="C367" s="10" t="inlineStr">
        <is>
          <t>C1111</t>
        </is>
      </c>
      <c r="D367" s="10" t="inlineStr">
        <is>
          <t>champion</t>
        </is>
      </c>
      <c r="E367" s="10" t="inlineStr">
        <is>
          <t>Shopee</t>
        </is>
      </c>
      <c r="F367" s="10" t="inlineStr">
        <is>
          <t>Sumatera</t>
        </is>
      </c>
      <c r="G367" s="10" t="inlineStr">
        <is>
          <t>Elektronik</t>
        </is>
      </c>
      <c r="H367" s="10" t="inlineStr">
        <is>
          <t>Webcam HD</t>
        </is>
      </c>
      <c r="I367" s="19" t="n">
        <v>2</v>
      </c>
      <c r="J367" s="20" t="n">
        <v>210000</v>
      </c>
      <c r="K367" s="20" t="n">
        <v>420000</v>
      </c>
      <c r="L367" s="10">
        <f>IF($B367="","",TEXT($B367,"YYYY-MM"))</f>
        <v/>
      </c>
    </row>
    <row r="368">
      <c r="A368" s="10" t="inlineStr">
        <is>
          <t>INV-70359</t>
        </is>
      </c>
      <c r="B368" s="18" t="n">
        <v>45778</v>
      </c>
      <c r="C368" s="10" t="inlineStr">
        <is>
          <t>C1099</t>
        </is>
      </c>
      <c r="D368" s="10" t="inlineStr">
        <is>
          <t>occasional</t>
        </is>
      </c>
      <c r="E368" s="10" t="inlineStr">
        <is>
          <t>Tokopedia</t>
        </is>
      </c>
      <c r="F368" s="10" t="inlineStr">
        <is>
          <t>Jabodetabek</t>
        </is>
      </c>
      <c r="G368" s="10" t="inlineStr">
        <is>
          <t>Rumah Tangga</t>
        </is>
      </c>
      <c r="H368" s="10" t="inlineStr">
        <is>
          <t>Set Wadah Kedap</t>
        </is>
      </c>
      <c r="I368" s="19" t="n">
        <v>4</v>
      </c>
      <c r="J368" s="20" t="n">
        <v>135000</v>
      </c>
      <c r="K368" s="20" t="n">
        <v>540000</v>
      </c>
      <c r="L368" s="10">
        <f>IF($B368="","",TEXT($B368,"YYYY-MM"))</f>
        <v/>
      </c>
    </row>
    <row r="369">
      <c r="A369" s="10" t="inlineStr">
        <is>
          <t>INV-70502</t>
        </is>
      </c>
      <c r="B369" s="18" t="n">
        <v>45778</v>
      </c>
      <c r="C369" s="10" t="inlineStr">
        <is>
          <t>C1141</t>
        </is>
      </c>
      <c r="D369" s="10" t="inlineStr">
        <is>
          <t>loyal</t>
        </is>
      </c>
      <c r="E369" s="10" t="inlineStr">
        <is>
          <t>Shopee</t>
        </is>
      </c>
      <c r="F369" s="10" t="inlineStr">
        <is>
          <t>Jabodetabek</t>
        </is>
      </c>
      <c r="G369" s="10" t="inlineStr">
        <is>
          <t>Rumah Tangga</t>
        </is>
      </c>
      <c r="H369" s="10" t="inlineStr">
        <is>
          <t>Set Wadah Kedap</t>
        </is>
      </c>
      <c r="I369" s="19" t="n">
        <v>2</v>
      </c>
      <c r="J369" s="20" t="n">
        <v>135000</v>
      </c>
      <c r="K369" s="20" t="n">
        <v>270000</v>
      </c>
      <c r="L369" s="10">
        <f>IF($B369="","",TEXT($B369,"YYYY-MM"))</f>
        <v/>
      </c>
    </row>
    <row r="370">
      <c r="A370" s="10" t="inlineStr">
        <is>
          <t>INV-71337</t>
        </is>
      </c>
      <c r="B370" s="18" t="n">
        <v>45779</v>
      </c>
      <c r="C370" s="10" t="inlineStr">
        <is>
          <t>C1369</t>
        </is>
      </c>
      <c r="D370" s="10" t="inlineStr">
        <is>
          <t>loyal</t>
        </is>
      </c>
      <c r="E370" s="10" t="inlineStr">
        <is>
          <t>Offline Store</t>
        </is>
      </c>
      <c r="F370" s="10" t="inlineStr">
        <is>
          <t>Jabodetabek</t>
        </is>
      </c>
      <c r="G370" s="10" t="inlineStr">
        <is>
          <t>Elektronik</t>
        </is>
      </c>
      <c r="H370" s="10" t="inlineStr">
        <is>
          <t>Keyboard Mekanik</t>
        </is>
      </c>
      <c r="I370" s="19" t="n">
        <v>4</v>
      </c>
      <c r="J370" s="20" t="n">
        <v>380000</v>
      </c>
      <c r="K370" s="20" t="n">
        <v>1520000</v>
      </c>
      <c r="L370" s="10">
        <f>IF($B370="","",TEXT($B370,"YYYY-MM"))</f>
        <v/>
      </c>
    </row>
    <row r="371">
      <c r="A371" s="10" t="inlineStr">
        <is>
          <t>INV-70797</t>
        </is>
      </c>
      <c r="B371" s="18" t="n">
        <v>45779</v>
      </c>
      <c r="C371" s="10" t="inlineStr">
        <is>
          <t>C1223</t>
        </is>
      </c>
      <c r="D371" s="10" t="inlineStr">
        <is>
          <t>loyal</t>
        </is>
      </c>
      <c r="E371" s="10" t="inlineStr">
        <is>
          <t>Shopee</t>
        </is>
      </c>
      <c r="F371" s="10" t="inlineStr">
        <is>
          <t>Jawa Barat</t>
        </is>
      </c>
      <c r="G371" s="10" t="inlineStr">
        <is>
          <t>Rumah Tangga</t>
        </is>
      </c>
      <c r="H371" s="10" t="inlineStr">
        <is>
          <t>Set Wadah Kedap</t>
        </is>
      </c>
      <c r="I371" s="19" t="n">
        <v>2</v>
      </c>
      <c r="J371" s="20" t="n">
        <v>135000</v>
      </c>
      <c r="K371" s="20" t="n">
        <v>270000</v>
      </c>
      <c r="L371" s="10">
        <f>IF($B371="","",TEXT($B371,"YYYY-MM"))</f>
        <v/>
      </c>
    </row>
    <row r="372">
      <c r="A372" s="10" t="inlineStr">
        <is>
          <t>INV-70973</t>
        </is>
      </c>
      <c r="B372" s="18" t="n">
        <v>45779</v>
      </c>
      <c r="C372" s="10" t="inlineStr">
        <is>
          <t>C1279</t>
        </is>
      </c>
      <c r="D372" s="10" t="inlineStr">
        <is>
          <t>loyal</t>
        </is>
      </c>
      <c r="E372" s="10" t="inlineStr">
        <is>
          <t>Shopee</t>
        </is>
      </c>
      <c r="F372" s="10" t="inlineStr">
        <is>
          <t>Jabodetabek</t>
        </is>
      </c>
      <c r="G372" s="10" t="inlineStr">
        <is>
          <t>Elektronik</t>
        </is>
      </c>
      <c r="H372" s="10" t="inlineStr">
        <is>
          <t>Power Bank 20K</t>
        </is>
      </c>
      <c r="I372" s="19" t="n">
        <v>4</v>
      </c>
      <c r="J372" s="20" t="n">
        <v>185000</v>
      </c>
      <c r="K372" s="20" t="n">
        <v>740000</v>
      </c>
      <c r="L372" s="10">
        <f>IF($B372="","",TEXT($B372,"YYYY-MM"))</f>
        <v/>
      </c>
    </row>
    <row r="373">
      <c r="A373" s="10" t="inlineStr">
        <is>
          <t>INV-71158</t>
        </is>
      </c>
      <c r="B373" s="18" t="n">
        <v>45779</v>
      </c>
      <c r="C373" s="10" t="inlineStr">
        <is>
          <t>C1327</t>
        </is>
      </c>
      <c r="D373" s="10" t="inlineStr">
        <is>
          <t>regular</t>
        </is>
      </c>
      <c r="E373" s="10" t="inlineStr">
        <is>
          <t>Shopee</t>
        </is>
      </c>
      <c r="F373" s="10" t="inlineStr">
        <is>
          <t>Sumatera</t>
        </is>
      </c>
      <c r="G373" s="10" t="inlineStr">
        <is>
          <t>Rumah Tangga</t>
        </is>
      </c>
      <c r="H373" s="10" t="inlineStr">
        <is>
          <t>Organizer Laci</t>
        </is>
      </c>
      <c r="I373" s="19" t="n">
        <v>2</v>
      </c>
      <c r="J373" s="20" t="n">
        <v>78000</v>
      </c>
      <c r="K373" s="20" t="n">
        <v>156000</v>
      </c>
      <c r="L373" s="10">
        <f>IF($B373="","",TEXT($B373,"YYYY-MM"))</f>
        <v/>
      </c>
    </row>
    <row r="374">
      <c r="A374" s="10" t="inlineStr">
        <is>
          <t>INV-71141</t>
        </is>
      </c>
      <c r="B374" s="18" t="n">
        <v>45780</v>
      </c>
      <c r="C374" s="10" t="inlineStr">
        <is>
          <t>C1322</t>
        </is>
      </c>
      <c r="D374" s="10" t="inlineStr">
        <is>
          <t>loyal</t>
        </is>
      </c>
      <c r="E374" s="10" t="inlineStr">
        <is>
          <t>Shopee</t>
        </is>
      </c>
      <c r="F374" s="10" t="inlineStr">
        <is>
          <t>Sumatera</t>
        </is>
      </c>
      <c r="G374" s="10" t="inlineStr">
        <is>
          <t>Rumah Tangga</t>
        </is>
      </c>
      <c r="H374" s="10" t="inlineStr">
        <is>
          <t>Organizer Laci</t>
        </is>
      </c>
      <c r="I374" s="19" t="n">
        <v>1</v>
      </c>
      <c r="J374" s="20" t="n">
        <v>78000</v>
      </c>
      <c r="K374" s="20" t="n">
        <v>78000</v>
      </c>
      <c r="L374" s="10">
        <f>IF($B374="","",TEXT($B374,"YYYY-MM"))</f>
        <v/>
      </c>
    </row>
    <row r="375">
      <c r="A375" s="10" t="inlineStr">
        <is>
          <t>INV-70934</t>
        </is>
      </c>
      <c r="B375" s="18" t="n">
        <v>45780</v>
      </c>
      <c r="C375" s="10" t="inlineStr">
        <is>
          <t>C1262</t>
        </is>
      </c>
      <c r="D375" s="10" t="inlineStr">
        <is>
          <t>regular</t>
        </is>
      </c>
      <c r="E375" s="10" t="inlineStr">
        <is>
          <t>TikTok Shop</t>
        </is>
      </c>
      <c r="F375" s="10" t="inlineStr">
        <is>
          <t>Jawa Barat</t>
        </is>
      </c>
      <c r="G375" s="10" t="inlineStr">
        <is>
          <t>Elektronik</t>
        </is>
      </c>
      <c r="H375" s="10" t="inlineStr">
        <is>
          <t>Power Bank 20K</t>
        </is>
      </c>
      <c r="I375" s="19" t="n">
        <v>1</v>
      </c>
      <c r="J375" s="20" t="n">
        <v>185000</v>
      </c>
      <c r="K375" s="20" t="n">
        <v>185000</v>
      </c>
      <c r="L375" s="10">
        <f>IF($B375="","",TEXT($B375,"YYYY-MM"))</f>
        <v/>
      </c>
    </row>
    <row r="376">
      <c r="A376" s="10" t="inlineStr">
        <is>
          <t>INV-70586</t>
        </is>
      </c>
      <c r="B376" s="18" t="n">
        <v>45780</v>
      </c>
      <c r="C376" s="10" t="inlineStr">
        <is>
          <t>C1159</t>
        </is>
      </c>
      <c r="D376" s="10" t="inlineStr">
        <is>
          <t>regular</t>
        </is>
      </c>
      <c r="E376" s="10" t="inlineStr">
        <is>
          <t>Offline Store</t>
        </is>
      </c>
      <c r="F376" s="10" t="inlineStr">
        <is>
          <t>Sumatera</t>
        </is>
      </c>
      <c r="G376" s="10" t="inlineStr">
        <is>
          <t>Rumah Tangga</t>
        </is>
      </c>
      <c r="H376" s="10" t="inlineStr">
        <is>
          <t>Set Wadah Kedap</t>
        </is>
      </c>
      <c r="I376" s="19" t="n">
        <v>2</v>
      </c>
      <c r="J376" s="20" t="n">
        <v>135000</v>
      </c>
      <c r="K376" s="20" t="n">
        <v>270000</v>
      </c>
      <c r="L376" s="10">
        <f>IF($B376="","",TEXT($B376,"YYYY-MM"))</f>
        <v/>
      </c>
    </row>
    <row r="377">
      <c r="A377" s="10" t="inlineStr">
        <is>
          <t>INV-70294</t>
        </is>
      </c>
      <c r="B377" s="18" t="n">
        <v>45780</v>
      </c>
      <c r="C377" s="10" t="inlineStr">
        <is>
          <t>C1083</t>
        </is>
      </c>
      <c r="D377" s="10" t="inlineStr">
        <is>
          <t>loyal</t>
        </is>
      </c>
      <c r="E377" s="10" t="inlineStr">
        <is>
          <t>TikTok Shop</t>
        </is>
      </c>
      <c r="F377" s="10" t="inlineStr">
        <is>
          <t>Sumatera</t>
        </is>
      </c>
      <c r="G377" s="10" t="inlineStr">
        <is>
          <t>Elektronik</t>
        </is>
      </c>
      <c r="H377" s="10" t="inlineStr">
        <is>
          <t>Webcam HD</t>
        </is>
      </c>
      <c r="I377" s="19" t="n">
        <v>4</v>
      </c>
      <c r="J377" s="20" t="n">
        <v>210000</v>
      </c>
      <c r="K377" s="20" t="n">
        <v>840000</v>
      </c>
      <c r="L377" s="10">
        <f>IF($B377="","",TEXT($B377,"YYYY-MM"))</f>
        <v/>
      </c>
    </row>
    <row r="378">
      <c r="A378" s="10" t="inlineStr">
        <is>
          <t>INV-71282</t>
        </is>
      </c>
      <c r="B378" s="18" t="n">
        <v>45781</v>
      </c>
      <c r="C378" s="10" t="inlineStr">
        <is>
          <t>C1358</t>
        </is>
      </c>
      <c r="D378" s="10" t="inlineStr">
        <is>
          <t>champion</t>
        </is>
      </c>
      <c r="E378" s="10" t="inlineStr">
        <is>
          <t>Offline Store</t>
        </is>
      </c>
      <c r="F378" s="10" t="inlineStr">
        <is>
          <t>Jabodetabek</t>
        </is>
      </c>
      <c r="G378" s="10" t="inlineStr">
        <is>
          <t>Rumah Tangga</t>
        </is>
      </c>
      <c r="H378" s="10" t="inlineStr">
        <is>
          <t>Organizer Laci</t>
        </is>
      </c>
      <c r="I378" s="19" t="n">
        <v>2</v>
      </c>
      <c r="J378" s="20" t="n">
        <v>78000</v>
      </c>
      <c r="K378" s="20" t="n">
        <v>156000</v>
      </c>
      <c r="L378" s="10">
        <f>IF($B378="","",TEXT($B378,"YYYY-MM"))</f>
        <v/>
      </c>
    </row>
    <row r="379">
      <c r="A379" s="10" t="inlineStr">
        <is>
          <t>INV-71178</t>
        </is>
      </c>
      <c r="B379" s="18" t="n">
        <v>45781</v>
      </c>
      <c r="C379" s="10" t="inlineStr">
        <is>
          <t>C1334</t>
        </is>
      </c>
      <c r="D379" s="10" t="inlineStr">
        <is>
          <t>champion</t>
        </is>
      </c>
      <c r="E379" s="10" t="inlineStr">
        <is>
          <t>Tokopedia</t>
        </is>
      </c>
      <c r="F379" s="10" t="inlineStr">
        <is>
          <t>Jabodetabek</t>
        </is>
      </c>
      <c r="G379" s="10" t="inlineStr">
        <is>
          <t>Rumah Tangga</t>
        </is>
      </c>
      <c r="H379" s="10" t="inlineStr">
        <is>
          <t>Set Wadah Kedap</t>
        </is>
      </c>
      <c r="I379" s="19" t="n">
        <v>1</v>
      </c>
      <c r="J379" s="20" t="n">
        <v>135000</v>
      </c>
      <c r="K379" s="20" t="n">
        <v>135000</v>
      </c>
      <c r="L379" s="10">
        <f>IF($B379="","",TEXT($B379,"YYYY-MM"))</f>
        <v/>
      </c>
    </row>
    <row r="380">
      <c r="A380" s="10" t="inlineStr">
        <is>
          <t>INV-70083</t>
        </is>
      </c>
      <c r="B380" s="18" t="n">
        <v>45781</v>
      </c>
      <c r="C380" s="10" t="inlineStr">
        <is>
          <t>C1025</t>
        </is>
      </c>
      <c r="D380" s="10" t="inlineStr">
        <is>
          <t>loyal</t>
        </is>
      </c>
      <c r="E380" s="10" t="inlineStr">
        <is>
          <t>Shopee</t>
        </is>
      </c>
      <c r="F380" s="10" t="inlineStr">
        <is>
          <t>Jawa Barat</t>
        </is>
      </c>
      <c r="G380" s="10" t="inlineStr">
        <is>
          <t>Rumah Tangga</t>
        </is>
      </c>
      <c r="H380" s="10" t="inlineStr">
        <is>
          <t>Diffuser Aroma</t>
        </is>
      </c>
      <c r="I380" s="19" t="n">
        <v>1</v>
      </c>
      <c r="J380" s="20" t="n">
        <v>195000</v>
      </c>
      <c r="K380" s="20" t="n">
        <v>195000</v>
      </c>
      <c r="L380" s="10">
        <f>IF($B380="","",TEXT($B380,"YYYY-MM"))</f>
        <v/>
      </c>
    </row>
    <row r="381">
      <c r="A381" s="10" t="inlineStr">
        <is>
          <t>INV-70343</t>
        </is>
      </c>
      <c r="B381" s="18" t="n">
        <v>45781</v>
      </c>
      <c r="C381" s="10" t="inlineStr">
        <is>
          <t>C1093</t>
        </is>
      </c>
      <c r="D381" s="10" t="inlineStr">
        <is>
          <t>champion</t>
        </is>
      </c>
      <c r="E381" s="10" t="inlineStr">
        <is>
          <t>Offline Store</t>
        </is>
      </c>
      <c r="F381" s="10" t="inlineStr">
        <is>
          <t>Jabodetabek</t>
        </is>
      </c>
      <c r="G381" s="10" t="inlineStr">
        <is>
          <t>Rumah Tangga</t>
        </is>
      </c>
      <c r="H381" s="10" t="inlineStr">
        <is>
          <t>Set Wadah Kedap</t>
        </is>
      </c>
      <c r="I381" s="19" t="n">
        <v>3</v>
      </c>
      <c r="J381" s="20" t="n">
        <v>135000</v>
      </c>
      <c r="K381" s="20" t="n">
        <v>405000</v>
      </c>
      <c r="L381" s="10">
        <f>IF($B381="","",TEXT($B381,"YYYY-MM"))</f>
        <v/>
      </c>
    </row>
    <row r="382">
      <c r="A382" s="10" t="inlineStr">
        <is>
          <t>INV-70841</t>
        </is>
      </c>
      <c r="B382" s="18" t="n">
        <v>45781</v>
      </c>
      <c r="C382" s="10" t="inlineStr">
        <is>
          <t>C1237</t>
        </is>
      </c>
      <c r="D382" s="10" t="inlineStr">
        <is>
          <t>champion</t>
        </is>
      </c>
      <c r="E382" s="10" t="inlineStr">
        <is>
          <t>Shopee</t>
        </is>
      </c>
      <c r="F382" s="10" t="inlineStr">
        <is>
          <t>Jawa Tengah</t>
        </is>
      </c>
      <c r="G382" s="10" t="inlineStr">
        <is>
          <t>Rumah Tangga</t>
        </is>
      </c>
      <c r="H382" s="10" t="inlineStr">
        <is>
          <t>Set Wadah Kedap</t>
        </is>
      </c>
      <c r="I382" s="19" t="n">
        <v>3</v>
      </c>
      <c r="J382" s="20" t="n">
        <v>135000</v>
      </c>
      <c r="K382" s="20" t="n">
        <v>405000</v>
      </c>
      <c r="L382" s="10">
        <f>IF($B382="","",TEXT($B382,"YYYY-MM"))</f>
        <v/>
      </c>
    </row>
    <row r="383">
      <c r="A383" s="10" t="inlineStr">
        <is>
          <t>INV-70196</t>
        </is>
      </c>
      <c r="B383" s="18" t="n">
        <v>45782</v>
      </c>
      <c r="C383" s="10" t="inlineStr">
        <is>
          <t>C1056</t>
        </is>
      </c>
      <c r="D383" s="10" t="inlineStr">
        <is>
          <t>loyal</t>
        </is>
      </c>
      <c r="E383" s="10" t="inlineStr">
        <is>
          <t>Shopee</t>
        </is>
      </c>
      <c r="F383" s="10" t="inlineStr">
        <is>
          <t>Lainnya</t>
        </is>
      </c>
      <c r="G383" s="10" t="inlineStr">
        <is>
          <t>Elektronik</t>
        </is>
      </c>
      <c r="H383" s="10" t="inlineStr">
        <is>
          <t>Power Bank 20K</t>
        </is>
      </c>
      <c r="I383" s="19" t="n">
        <v>1</v>
      </c>
      <c r="J383" s="20" t="n">
        <v>185000</v>
      </c>
      <c r="K383" s="20" t="n">
        <v>185000</v>
      </c>
      <c r="L383" s="10">
        <f>IF($B383="","",TEXT($B383,"YYYY-MM"))</f>
        <v/>
      </c>
    </row>
    <row r="384">
      <c r="A384" s="10" t="inlineStr">
        <is>
          <t>INV-70323</t>
        </is>
      </c>
      <c r="B384" s="18" t="n">
        <v>45782</v>
      </c>
      <c r="C384" s="10" t="inlineStr">
        <is>
          <t>C1090</t>
        </is>
      </c>
      <c r="D384" s="10" t="inlineStr">
        <is>
          <t>champion</t>
        </is>
      </c>
      <c r="E384" s="10" t="inlineStr">
        <is>
          <t>Tokopedia</t>
        </is>
      </c>
      <c r="F384" s="10" t="inlineStr">
        <is>
          <t>Jabodetabek</t>
        </is>
      </c>
      <c r="G384" s="10" t="inlineStr">
        <is>
          <t>Rumah Tangga</t>
        </is>
      </c>
      <c r="H384" s="10" t="inlineStr">
        <is>
          <t>Set Wadah Kedap</t>
        </is>
      </c>
      <c r="I384" s="19" t="n">
        <v>3</v>
      </c>
      <c r="J384" s="20" t="n">
        <v>135000</v>
      </c>
      <c r="K384" s="20" t="n">
        <v>405000</v>
      </c>
      <c r="L384" s="10">
        <f>IF($B384="","",TEXT($B384,"YYYY-MM"))</f>
        <v/>
      </c>
    </row>
    <row r="385">
      <c r="A385" s="10" t="inlineStr">
        <is>
          <t>INV-70576</t>
        </is>
      </c>
      <c r="B385" s="18" t="n">
        <v>45783</v>
      </c>
      <c r="C385" s="10" t="inlineStr">
        <is>
          <t>C1157</t>
        </is>
      </c>
      <c r="D385" s="10" t="inlineStr">
        <is>
          <t>loyal</t>
        </is>
      </c>
      <c r="E385" s="10" t="inlineStr">
        <is>
          <t>Shopee</t>
        </is>
      </c>
      <c r="F385" s="10" t="inlineStr">
        <is>
          <t>Jawa Timur</t>
        </is>
      </c>
      <c r="G385" s="10" t="inlineStr">
        <is>
          <t>Elektronik</t>
        </is>
      </c>
      <c r="H385" s="10" t="inlineStr">
        <is>
          <t>Power Bank 20K</t>
        </is>
      </c>
      <c r="I385" s="19" t="n">
        <v>1</v>
      </c>
      <c r="J385" s="20" t="n">
        <v>185000</v>
      </c>
      <c r="K385" s="20" t="n">
        <v>185000</v>
      </c>
      <c r="L385" s="10">
        <f>IF($B385="","",TEXT($B385,"YYYY-MM"))</f>
        <v/>
      </c>
    </row>
    <row r="386">
      <c r="A386" s="10" t="inlineStr">
        <is>
          <t>INV-70403</t>
        </is>
      </c>
      <c r="B386" s="18" t="n">
        <v>45783</v>
      </c>
      <c r="C386" s="10" t="inlineStr">
        <is>
          <t>C1112</t>
        </is>
      </c>
      <c r="D386" s="10" t="inlineStr">
        <is>
          <t>loyal</t>
        </is>
      </c>
      <c r="E386" s="10" t="inlineStr">
        <is>
          <t>Shopee</t>
        </is>
      </c>
      <c r="F386" s="10" t="inlineStr">
        <is>
          <t>Jabodetabek</t>
        </is>
      </c>
      <c r="G386" s="10" t="inlineStr">
        <is>
          <t>Rumah Tangga</t>
        </is>
      </c>
      <c r="H386" s="10" t="inlineStr">
        <is>
          <t>Set Wadah Kedap</t>
        </is>
      </c>
      <c r="I386" s="19" t="n">
        <v>4</v>
      </c>
      <c r="J386" s="20" t="n">
        <v>135000</v>
      </c>
      <c r="K386" s="20" t="n">
        <v>540000</v>
      </c>
      <c r="L386" s="10">
        <f>IF($B386="","",TEXT($B386,"YYYY-MM"))</f>
        <v/>
      </c>
    </row>
    <row r="387">
      <c r="A387" s="10" t="inlineStr">
        <is>
          <t>INV-70865</t>
        </is>
      </c>
      <c r="B387" s="18" t="n">
        <v>45783</v>
      </c>
      <c r="C387" s="10" t="inlineStr">
        <is>
          <t>C1244</t>
        </is>
      </c>
      <c r="D387" s="10" t="inlineStr">
        <is>
          <t>regular</t>
        </is>
      </c>
      <c r="E387" s="10" t="inlineStr">
        <is>
          <t>Tokopedia</t>
        </is>
      </c>
      <c r="F387" s="10" t="inlineStr">
        <is>
          <t>Jawa Barat</t>
        </is>
      </c>
      <c r="G387" s="10" t="inlineStr">
        <is>
          <t>Rumah Tangga</t>
        </is>
      </c>
      <c r="H387" s="10" t="inlineStr">
        <is>
          <t>Set Wadah Kedap</t>
        </is>
      </c>
      <c r="I387" s="19" t="n">
        <v>2</v>
      </c>
      <c r="J387" s="20" t="n">
        <v>135000</v>
      </c>
      <c r="K387" s="20" t="n">
        <v>270000</v>
      </c>
      <c r="L387" s="10">
        <f>IF($B387="","",TEXT($B387,"YYYY-MM"))</f>
        <v/>
      </c>
    </row>
    <row r="388">
      <c r="A388" s="10" t="inlineStr">
        <is>
          <t>INV-70977</t>
        </is>
      </c>
      <c r="B388" s="18" t="n">
        <v>45784</v>
      </c>
      <c r="C388" s="10" t="inlineStr">
        <is>
          <t>C1280</t>
        </is>
      </c>
      <c r="D388" s="10" t="inlineStr">
        <is>
          <t>regular</t>
        </is>
      </c>
      <c r="E388" s="10" t="inlineStr">
        <is>
          <t>Tokopedia</t>
        </is>
      </c>
      <c r="F388" s="10" t="inlineStr">
        <is>
          <t>Jawa Tengah</t>
        </is>
      </c>
      <c r="G388" s="10" t="inlineStr">
        <is>
          <t>Fashion</t>
        </is>
      </c>
      <c r="H388" s="10" t="inlineStr">
        <is>
          <t>Kemeja Linen</t>
        </is>
      </c>
      <c r="I388" s="19" t="n">
        <v>4</v>
      </c>
      <c r="J388" s="20" t="n">
        <v>185000</v>
      </c>
      <c r="K388" s="20" t="n">
        <v>740000</v>
      </c>
      <c r="L388" s="10">
        <f>IF($B388="","",TEXT($B388,"YYYY-MM"))</f>
        <v/>
      </c>
    </row>
    <row r="389">
      <c r="A389" s="10" t="inlineStr">
        <is>
          <t>INV-71554</t>
        </is>
      </c>
      <c r="B389" s="18" t="n">
        <v>45784</v>
      </c>
      <c r="C389" s="10" t="inlineStr">
        <is>
          <t>C1428</t>
        </is>
      </c>
      <c r="D389" s="10" t="inlineStr">
        <is>
          <t>loyal</t>
        </is>
      </c>
      <c r="E389" s="10" t="inlineStr">
        <is>
          <t>Offline Store</t>
        </is>
      </c>
      <c r="F389" s="10" t="inlineStr">
        <is>
          <t>Jabodetabek</t>
        </is>
      </c>
      <c r="G389" s="10" t="inlineStr">
        <is>
          <t>Rumah Tangga</t>
        </is>
      </c>
      <c r="H389" s="10" t="inlineStr">
        <is>
          <t>Diffuser Aroma</t>
        </is>
      </c>
      <c r="I389" s="19" t="n">
        <v>2</v>
      </c>
      <c r="J389" s="20" t="n">
        <v>195000</v>
      </c>
      <c r="K389" s="20" t="n">
        <v>390000</v>
      </c>
      <c r="L389" s="10">
        <f>IF($B389="","",TEXT($B389,"YYYY-MM"))</f>
        <v/>
      </c>
    </row>
    <row r="390">
      <c r="A390" s="10" t="inlineStr">
        <is>
          <t>INV-70077</t>
        </is>
      </c>
      <c r="B390" s="18" t="n">
        <v>45784</v>
      </c>
      <c r="C390" s="10" t="inlineStr">
        <is>
          <t>C1025</t>
        </is>
      </c>
      <c r="D390" s="10" t="inlineStr">
        <is>
          <t>loyal</t>
        </is>
      </c>
      <c r="E390" s="10" t="inlineStr">
        <is>
          <t>Tokopedia</t>
        </is>
      </c>
      <c r="F390" s="10" t="inlineStr">
        <is>
          <t>Sumatera</t>
        </is>
      </c>
      <c r="G390" s="10" t="inlineStr">
        <is>
          <t>Rumah Tangga</t>
        </is>
      </c>
      <c r="H390" s="10" t="inlineStr">
        <is>
          <t>Organizer Laci</t>
        </is>
      </c>
      <c r="I390" s="19" t="n">
        <v>2</v>
      </c>
      <c r="J390" s="20" t="n">
        <v>78000</v>
      </c>
      <c r="K390" s="20" t="n">
        <v>156000</v>
      </c>
      <c r="L390" s="10">
        <f>IF($B390="","",TEXT($B390,"YYYY-MM"))</f>
        <v/>
      </c>
    </row>
    <row r="391">
      <c r="A391" s="10" t="inlineStr">
        <is>
          <t>INV-70450</t>
        </is>
      </c>
      <c r="B391" s="18" t="n">
        <v>45785</v>
      </c>
      <c r="C391" s="10" t="inlineStr">
        <is>
          <t>C1128</t>
        </is>
      </c>
      <c r="D391" s="10" t="inlineStr">
        <is>
          <t>occasional</t>
        </is>
      </c>
      <c r="E391" s="10" t="inlineStr">
        <is>
          <t>Shopee</t>
        </is>
      </c>
      <c r="F391" s="10" t="inlineStr">
        <is>
          <t>Lainnya</t>
        </is>
      </c>
      <c r="G391" s="10" t="inlineStr">
        <is>
          <t>Elektronik</t>
        </is>
      </c>
      <c r="H391" s="10" t="inlineStr">
        <is>
          <t>Webcam HD</t>
        </is>
      </c>
      <c r="I391" s="19" t="n">
        <v>3</v>
      </c>
      <c r="J391" s="20" t="n">
        <v>210000</v>
      </c>
      <c r="K391" s="20" t="n">
        <v>630000</v>
      </c>
      <c r="L391" s="10">
        <f>IF($B391="","",TEXT($B391,"YYYY-MM"))</f>
        <v/>
      </c>
    </row>
    <row r="392">
      <c r="A392" s="10" t="inlineStr">
        <is>
          <t>INV-71395</t>
        </is>
      </c>
      <c r="B392" s="18" t="n">
        <v>45785</v>
      </c>
      <c r="C392" s="10" t="inlineStr">
        <is>
          <t>C1386</t>
        </is>
      </c>
      <c r="D392" s="10" t="inlineStr">
        <is>
          <t>loyal</t>
        </is>
      </c>
      <c r="E392" s="10" t="inlineStr">
        <is>
          <t>Tokopedia</t>
        </is>
      </c>
      <c r="F392" s="10" t="inlineStr">
        <is>
          <t>Jawa Timur</t>
        </is>
      </c>
      <c r="G392" s="10" t="inlineStr">
        <is>
          <t>Rumah Tangga</t>
        </is>
      </c>
      <c r="H392" s="10" t="inlineStr">
        <is>
          <t>Set Wadah Kedap</t>
        </is>
      </c>
      <c r="I392" s="19" t="n">
        <v>1</v>
      </c>
      <c r="J392" s="20" t="n">
        <v>135000</v>
      </c>
      <c r="K392" s="20" t="n">
        <v>135000</v>
      </c>
      <c r="L392" s="10">
        <f>IF($B392="","",TEXT($B392,"YYYY-MM"))</f>
        <v/>
      </c>
    </row>
    <row r="393">
      <c r="A393" s="10" t="inlineStr">
        <is>
          <t>INV-70259</t>
        </is>
      </c>
      <c r="B393" s="18" t="n">
        <v>45786</v>
      </c>
      <c r="C393" s="10" t="inlineStr">
        <is>
          <t>C1072</t>
        </is>
      </c>
      <c r="D393" s="10" t="inlineStr">
        <is>
          <t>champion</t>
        </is>
      </c>
      <c r="E393" s="10" t="inlineStr">
        <is>
          <t>Tokopedia</t>
        </is>
      </c>
      <c r="F393" s="10" t="inlineStr">
        <is>
          <t>Jawa Tengah</t>
        </is>
      </c>
      <c r="G393" s="10" t="inlineStr">
        <is>
          <t>Fashion</t>
        </is>
      </c>
      <c r="H393" s="10" t="inlineStr">
        <is>
          <t>Celana Chino</t>
        </is>
      </c>
      <c r="I393" s="19" t="n">
        <v>2</v>
      </c>
      <c r="J393" s="20" t="n">
        <v>195000</v>
      </c>
      <c r="K393" s="20" t="n">
        <v>390000</v>
      </c>
      <c r="L393" s="10">
        <f>IF($B393="","",TEXT($B393,"YYYY-MM"))</f>
        <v/>
      </c>
    </row>
    <row r="394">
      <c r="A394" s="10" t="inlineStr">
        <is>
          <t>INV-70590</t>
        </is>
      </c>
      <c r="B394" s="18" t="n">
        <v>45786</v>
      </c>
      <c r="C394" s="10" t="inlineStr">
        <is>
          <t>C1160</t>
        </is>
      </c>
      <c r="D394" s="10" t="inlineStr">
        <is>
          <t>occasional</t>
        </is>
      </c>
      <c r="E394" s="10" t="inlineStr">
        <is>
          <t>Shopee</t>
        </is>
      </c>
      <c r="F394" s="10" t="inlineStr">
        <is>
          <t>Jawa Barat</t>
        </is>
      </c>
      <c r="G394" s="10" t="inlineStr">
        <is>
          <t>Rumah Tangga</t>
        </is>
      </c>
      <c r="H394" s="10" t="inlineStr">
        <is>
          <t>Set Wadah Kedap</t>
        </is>
      </c>
      <c r="I394" s="19" t="n">
        <v>1</v>
      </c>
      <c r="J394" s="20" t="n">
        <v>135000</v>
      </c>
      <c r="K394" s="20" t="n">
        <v>135000</v>
      </c>
      <c r="L394" s="10">
        <f>IF($B394="","",TEXT($B394,"YYYY-MM"))</f>
        <v/>
      </c>
    </row>
    <row r="395">
      <c r="A395" s="10" t="inlineStr">
        <is>
          <t>INV-70308</t>
        </is>
      </c>
      <c r="B395" s="18" t="n">
        <v>45786</v>
      </c>
      <c r="C395" s="10" t="inlineStr">
        <is>
          <t>C1087</t>
        </is>
      </c>
      <c r="D395" s="10" t="inlineStr">
        <is>
          <t>loyal</t>
        </is>
      </c>
      <c r="E395" s="10" t="inlineStr">
        <is>
          <t>Shopee</t>
        </is>
      </c>
      <c r="F395" s="10" t="inlineStr">
        <is>
          <t>Jawa Tengah</t>
        </is>
      </c>
      <c r="G395" s="10" t="inlineStr">
        <is>
          <t>Kecantikan</t>
        </is>
      </c>
      <c r="H395" s="10" t="inlineStr">
        <is>
          <t>Masker Wajah (5s)</t>
        </is>
      </c>
      <c r="I395" s="19" t="n">
        <v>1</v>
      </c>
      <c r="J395" s="20" t="n">
        <v>55000</v>
      </c>
      <c r="K395" s="20" t="n">
        <v>55000</v>
      </c>
      <c r="L395" s="10">
        <f>IF($B395="","",TEXT($B395,"YYYY-MM"))</f>
        <v/>
      </c>
    </row>
    <row r="396">
      <c r="A396" s="10" t="inlineStr">
        <is>
          <t>INV-70894</t>
        </is>
      </c>
      <c r="B396" s="18" t="n">
        <v>45787</v>
      </c>
      <c r="C396" s="10" t="inlineStr">
        <is>
          <t>C1251</t>
        </is>
      </c>
      <c r="D396" s="10" t="inlineStr">
        <is>
          <t>regular</t>
        </is>
      </c>
      <c r="E396" s="10" t="inlineStr">
        <is>
          <t>Shopee</t>
        </is>
      </c>
      <c r="F396" s="10" t="inlineStr">
        <is>
          <t>Jabodetabek</t>
        </is>
      </c>
      <c r="G396" s="10" t="inlineStr">
        <is>
          <t>Makanan</t>
        </is>
      </c>
      <c r="H396" s="10" t="inlineStr">
        <is>
          <t>Granola 500g</t>
        </is>
      </c>
      <c r="I396" s="19" t="n">
        <v>1</v>
      </c>
      <c r="J396" s="20" t="n">
        <v>92000</v>
      </c>
      <c r="K396" s="20" t="n">
        <v>92000</v>
      </c>
      <c r="L396" s="10">
        <f>IF($B396="","",TEXT($B396,"YYYY-MM"))</f>
        <v/>
      </c>
    </row>
    <row r="397">
      <c r="A397" s="10" t="inlineStr">
        <is>
          <t>INV-71405</t>
        </is>
      </c>
      <c r="B397" s="18" t="n">
        <v>45787</v>
      </c>
      <c r="C397" s="10" t="inlineStr">
        <is>
          <t>C1387</t>
        </is>
      </c>
      <c r="D397" s="10" t="inlineStr">
        <is>
          <t>onetime</t>
        </is>
      </c>
      <c r="E397" s="10" t="inlineStr">
        <is>
          <t>Offline Store</t>
        </is>
      </c>
      <c r="F397" s="10" t="inlineStr">
        <is>
          <t>Jabodetabek</t>
        </is>
      </c>
      <c r="G397" s="10" t="inlineStr">
        <is>
          <t>Fashion</t>
        </is>
      </c>
      <c r="H397" s="10" t="inlineStr">
        <is>
          <t>Celana Chino</t>
        </is>
      </c>
      <c r="I397" s="19" t="n">
        <v>1</v>
      </c>
      <c r="J397" s="20" t="n">
        <v>195000</v>
      </c>
      <c r="K397" s="20" t="n">
        <v>195000</v>
      </c>
      <c r="L397" s="10">
        <f>IF($B397="","",TEXT($B397,"YYYY-MM"))</f>
        <v/>
      </c>
    </row>
    <row r="398">
      <c r="A398" s="10" t="inlineStr">
        <is>
          <t>INV-70224</t>
        </is>
      </c>
      <c r="B398" s="18" t="n">
        <v>45787</v>
      </c>
      <c r="C398" s="10" t="inlineStr">
        <is>
          <t>C1063</t>
        </is>
      </c>
      <c r="D398" s="10" t="inlineStr">
        <is>
          <t>occasional</t>
        </is>
      </c>
      <c r="E398" s="10" t="inlineStr">
        <is>
          <t>Shopee</t>
        </is>
      </c>
      <c r="F398" s="10" t="inlineStr">
        <is>
          <t>Jawa Timur</t>
        </is>
      </c>
      <c r="G398" s="10" t="inlineStr">
        <is>
          <t>Elektronik</t>
        </is>
      </c>
      <c r="H398" s="10" t="inlineStr">
        <is>
          <t>Earbuds TWS</t>
        </is>
      </c>
      <c r="I398" s="19" t="n">
        <v>1</v>
      </c>
      <c r="J398" s="20" t="n">
        <v>265000</v>
      </c>
      <c r="K398" s="20" t="n">
        <v>265000</v>
      </c>
      <c r="L398" s="10">
        <f>IF($B398="","",TEXT($B398,"YYYY-MM"))</f>
        <v/>
      </c>
    </row>
    <row r="399">
      <c r="A399" s="10" t="inlineStr">
        <is>
          <t>INV-71366</t>
        </is>
      </c>
      <c r="B399" s="18" t="n">
        <v>45787</v>
      </c>
      <c r="C399" s="10" t="inlineStr">
        <is>
          <t>C1377</t>
        </is>
      </c>
      <c r="D399" s="10" t="inlineStr">
        <is>
          <t>champion</t>
        </is>
      </c>
      <c r="E399" s="10" t="inlineStr">
        <is>
          <t>Offline Store</t>
        </is>
      </c>
      <c r="F399" s="10" t="inlineStr">
        <is>
          <t>Jabodetabek</t>
        </is>
      </c>
      <c r="G399" s="10" t="inlineStr">
        <is>
          <t>Rumah Tangga</t>
        </is>
      </c>
      <c r="H399" s="10" t="inlineStr">
        <is>
          <t>Diffuser Aroma</t>
        </is>
      </c>
      <c r="I399" s="19" t="n">
        <v>4</v>
      </c>
      <c r="J399" s="20" t="n">
        <v>195000</v>
      </c>
      <c r="K399" s="20" t="n">
        <v>780000</v>
      </c>
      <c r="L399" s="10">
        <f>IF($B399="","",TEXT($B399,"YYYY-MM"))</f>
        <v/>
      </c>
    </row>
    <row r="400">
      <c r="A400" s="10" t="inlineStr">
        <is>
          <t>INV-70558</t>
        </is>
      </c>
      <c r="B400" s="18" t="n">
        <v>45788</v>
      </c>
      <c r="C400" s="10" t="inlineStr">
        <is>
          <t>C1153</t>
        </is>
      </c>
      <c r="D400" s="10" t="inlineStr">
        <is>
          <t>loyal</t>
        </is>
      </c>
      <c r="E400" s="10" t="inlineStr">
        <is>
          <t>TikTok Shop</t>
        </is>
      </c>
      <c r="F400" s="10" t="inlineStr">
        <is>
          <t>Jabodetabek</t>
        </is>
      </c>
      <c r="G400" s="10" t="inlineStr">
        <is>
          <t>Elektronik</t>
        </is>
      </c>
      <c r="H400" s="10" t="inlineStr">
        <is>
          <t>Smartwatch</t>
        </is>
      </c>
      <c r="I400" s="19" t="n">
        <v>1</v>
      </c>
      <c r="J400" s="20" t="n">
        <v>450000</v>
      </c>
      <c r="K400" s="20" t="n">
        <v>450000</v>
      </c>
      <c r="L400" s="10">
        <f>IF($B400="","",TEXT($B400,"YYYY-MM"))</f>
        <v/>
      </c>
    </row>
    <row r="401">
      <c r="A401" s="10" t="inlineStr">
        <is>
          <t>INV-70025</t>
        </is>
      </c>
      <c r="B401" s="18" t="n">
        <v>45789</v>
      </c>
      <c r="C401" s="10" t="inlineStr">
        <is>
          <t>C1005</t>
        </is>
      </c>
      <c r="D401" s="10" t="inlineStr">
        <is>
          <t>occasional</t>
        </is>
      </c>
      <c r="E401" s="10" t="inlineStr">
        <is>
          <t>Offline Store</t>
        </is>
      </c>
      <c r="F401" s="10" t="inlineStr">
        <is>
          <t>Jawa Barat</t>
        </is>
      </c>
      <c r="G401" s="10" t="inlineStr">
        <is>
          <t>Elektronik</t>
        </is>
      </c>
      <c r="H401" s="10" t="inlineStr">
        <is>
          <t>Power Bank 20K</t>
        </is>
      </c>
      <c r="I401" s="19" t="n">
        <v>4</v>
      </c>
      <c r="J401" s="20" t="n">
        <v>185000</v>
      </c>
      <c r="K401" s="20" t="n">
        <v>740000</v>
      </c>
      <c r="L401" s="10">
        <f>IF($B401="","",TEXT($B401,"YYYY-MM"))</f>
        <v/>
      </c>
    </row>
    <row r="402">
      <c r="A402" s="10" t="inlineStr">
        <is>
          <t>INV-71303</t>
        </is>
      </c>
      <c r="B402" s="18" t="n">
        <v>45790</v>
      </c>
      <c r="C402" s="10" t="inlineStr">
        <is>
          <t>C1361</t>
        </is>
      </c>
      <c r="D402" s="10" t="inlineStr">
        <is>
          <t>champion</t>
        </is>
      </c>
      <c r="E402" s="10" t="inlineStr">
        <is>
          <t>Shopee</t>
        </is>
      </c>
      <c r="F402" s="10" t="inlineStr">
        <is>
          <t>Jabodetabek</t>
        </is>
      </c>
      <c r="G402" s="10" t="inlineStr">
        <is>
          <t>Kecantikan</t>
        </is>
      </c>
      <c r="H402" s="10" t="inlineStr">
        <is>
          <t>Masker Wajah (5s)</t>
        </is>
      </c>
      <c r="I402" s="19" t="n">
        <v>1</v>
      </c>
      <c r="J402" s="20" t="n">
        <v>55000</v>
      </c>
      <c r="K402" s="20" t="n">
        <v>55000</v>
      </c>
      <c r="L402" s="10">
        <f>IF($B402="","",TEXT($B402,"YYYY-MM"))</f>
        <v/>
      </c>
    </row>
    <row r="403">
      <c r="A403" s="10" t="inlineStr">
        <is>
          <t>INV-71334</t>
        </is>
      </c>
      <c r="B403" s="18" t="n">
        <v>45791</v>
      </c>
      <c r="C403" s="10" t="inlineStr">
        <is>
          <t>C1368</t>
        </is>
      </c>
      <c r="D403" s="10" t="inlineStr">
        <is>
          <t>regular</t>
        </is>
      </c>
      <c r="E403" s="10" t="inlineStr">
        <is>
          <t>Tokopedia</t>
        </is>
      </c>
      <c r="F403" s="10" t="inlineStr">
        <is>
          <t>Jawa Barat</t>
        </is>
      </c>
      <c r="G403" s="10" t="inlineStr">
        <is>
          <t>Fashion</t>
        </is>
      </c>
      <c r="H403" s="10" t="inlineStr">
        <is>
          <t>Celana Chino</t>
        </is>
      </c>
      <c r="I403" s="19" t="n">
        <v>3</v>
      </c>
      <c r="J403" s="20" t="n">
        <v>195000</v>
      </c>
      <c r="K403" s="20" t="n">
        <v>585000</v>
      </c>
      <c r="L403" s="10">
        <f>IF($B403="","",TEXT($B403,"YYYY-MM"))</f>
        <v/>
      </c>
    </row>
    <row r="404">
      <c r="A404" s="10" t="inlineStr">
        <is>
          <t>INV-70394</t>
        </is>
      </c>
      <c r="B404" s="18" t="n">
        <v>45791</v>
      </c>
      <c r="C404" s="10" t="inlineStr">
        <is>
          <t>C1111</t>
        </is>
      </c>
      <c r="D404" s="10" t="inlineStr">
        <is>
          <t>champion</t>
        </is>
      </c>
      <c r="E404" s="10" t="inlineStr">
        <is>
          <t>Offline Store</t>
        </is>
      </c>
      <c r="F404" s="10" t="inlineStr">
        <is>
          <t>Jabodetabek</t>
        </is>
      </c>
      <c r="G404" s="10" t="inlineStr">
        <is>
          <t>Rumah Tangga</t>
        </is>
      </c>
      <c r="H404" s="10" t="inlineStr">
        <is>
          <t>Set Wadah Kedap</t>
        </is>
      </c>
      <c r="I404" s="19" t="n">
        <v>4</v>
      </c>
      <c r="J404" s="20" t="n">
        <v>135000</v>
      </c>
      <c r="K404" s="20" t="n">
        <v>540000</v>
      </c>
      <c r="L404" s="10">
        <f>IF($B404="","",TEXT($B404,"YYYY-MM"))</f>
        <v/>
      </c>
    </row>
    <row r="405">
      <c r="A405" s="10" t="inlineStr">
        <is>
          <t>INV-70253</t>
        </is>
      </c>
      <c r="B405" s="18" t="n">
        <v>45792</v>
      </c>
      <c r="C405" s="10" t="inlineStr">
        <is>
          <t>C1072</t>
        </is>
      </c>
      <c r="D405" s="10" t="inlineStr">
        <is>
          <t>champion</t>
        </is>
      </c>
      <c r="E405" s="10" t="inlineStr">
        <is>
          <t>Shopee</t>
        </is>
      </c>
      <c r="F405" s="10" t="inlineStr">
        <is>
          <t>Jawa Barat</t>
        </is>
      </c>
      <c r="G405" s="10" t="inlineStr">
        <is>
          <t>Rumah Tangga</t>
        </is>
      </c>
      <c r="H405" s="10" t="inlineStr">
        <is>
          <t>Karpet Bulu</t>
        </is>
      </c>
      <c r="I405" s="19" t="n">
        <v>2</v>
      </c>
      <c r="J405" s="20" t="n">
        <v>240000</v>
      </c>
      <c r="K405" s="20" t="n">
        <v>480000</v>
      </c>
      <c r="L405" s="10">
        <f>IF($B405="","",TEXT($B405,"YYYY-MM"))</f>
        <v/>
      </c>
    </row>
    <row r="406">
      <c r="A406" s="10" t="inlineStr">
        <is>
          <t>INV-71551</t>
        </is>
      </c>
      <c r="B406" s="18" t="n">
        <v>45792</v>
      </c>
      <c r="C406" s="10" t="inlineStr">
        <is>
          <t>C1427</t>
        </is>
      </c>
      <c r="D406" s="10" t="inlineStr">
        <is>
          <t>occasional</t>
        </is>
      </c>
      <c r="E406" s="10" t="inlineStr">
        <is>
          <t>Offline Store</t>
        </is>
      </c>
      <c r="F406" s="10" t="inlineStr">
        <is>
          <t>Jabodetabek</t>
        </is>
      </c>
      <c r="G406" s="10" t="inlineStr">
        <is>
          <t>Rumah Tangga</t>
        </is>
      </c>
      <c r="H406" s="10" t="inlineStr">
        <is>
          <t>Lampu Meja LED</t>
        </is>
      </c>
      <c r="I406" s="19" t="n">
        <v>1</v>
      </c>
      <c r="J406" s="20" t="n">
        <v>165000</v>
      </c>
      <c r="K406" s="20" t="n">
        <v>165000</v>
      </c>
      <c r="L406" s="10">
        <f>IF($B406="","",TEXT($B406,"YYYY-MM"))</f>
        <v/>
      </c>
    </row>
    <row r="407">
      <c r="A407" s="10" t="inlineStr">
        <is>
          <t>INV-70817</t>
        </is>
      </c>
      <c r="B407" s="18" t="n">
        <v>45793</v>
      </c>
      <c r="C407" s="10" t="inlineStr">
        <is>
          <t>C1231</t>
        </is>
      </c>
      <c r="D407" s="10" t="inlineStr">
        <is>
          <t>loyal</t>
        </is>
      </c>
      <c r="E407" s="10" t="inlineStr">
        <is>
          <t>Shopee</t>
        </is>
      </c>
      <c r="F407" s="10" t="inlineStr">
        <is>
          <t>Jabodetabek</t>
        </is>
      </c>
      <c r="G407" s="10" t="inlineStr">
        <is>
          <t>Fashion</t>
        </is>
      </c>
      <c r="H407" s="10" t="inlineStr">
        <is>
          <t>Celana Chino</t>
        </is>
      </c>
      <c r="I407" s="19" t="n">
        <v>2</v>
      </c>
      <c r="J407" s="20" t="n">
        <v>195000</v>
      </c>
      <c r="K407" s="20" t="n">
        <v>390000</v>
      </c>
      <c r="L407" s="10">
        <f>IF($B407="","",TEXT($B407,"YYYY-MM"))</f>
        <v/>
      </c>
    </row>
    <row r="408">
      <c r="A408" s="10" t="inlineStr">
        <is>
          <t>INV-70721</t>
        </is>
      </c>
      <c r="B408" s="18" t="n">
        <v>45793</v>
      </c>
      <c r="C408" s="10" t="inlineStr">
        <is>
          <t>C1200</t>
        </is>
      </c>
      <c r="D408" s="10" t="inlineStr">
        <is>
          <t>regular</t>
        </is>
      </c>
      <c r="E408" s="10" t="inlineStr">
        <is>
          <t>TikTok Shop</t>
        </is>
      </c>
      <c r="F408" s="10" t="inlineStr">
        <is>
          <t>Jawa Tengah</t>
        </is>
      </c>
      <c r="G408" s="10" t="inlineStr">
        <is>
          <t>Makanan</t>
        </is>
      </c>
      <c r="H408" s="10" t="inlineStr">
        <is>
          <t>Madu Hutan 250ml</t>
        </is>
      </c>
      <c r="I408" s="19" t="n">
        <v>2</v>
      </c>
      <c r="J408" s="20" t="n">
        <v>110000</v>
      </c>
      <c r="K408" s="20" t="n">
        <v>220000</v>
      </c>
      <c r="L408" s="10">
        <f>IF($B408="","",TEXT($B408,"YYYY-MM"))</f>
        <v/>
      </c>
    </row>
    <row r="409">
      <c r="A409" s="10" t="inlineStr">
        <is>
          <t>INV-71497</t>
        </is>
      </c>
      <c r="B409" s="18" t="n">
        <v>45793</v>
      </c>
      <c r="C409" s="10" t="inlineStr">
        <is>
          <t>C1412</t>
        </is>
      </c>
      <c r="D409" s="10" t="inlineStr">
        <is>
          <t>champion</t>
        </is>
      </c>
      <c r="E409" s="10" t="inlineStr">
        <is>
          <t>Offline Store</t>
        </is>
      </c>
      <c r="F409" s="10" t="inlineStr">
        <is>
          <t>Jawa Barat</t>
        </is>
      </c>
      <c r="G409" s="10" t="inlineStr">
        <is>
          <t>Elektronik</t>
        </is>
      </c>
      <c r="H409" s="10" t="inlineStr">
        <is>
          <t>Webcam HD</t>
        </is>
      </c>
      <c r="I409" s="19" t="n">
        <v>1</v>
      </c>
      <c r="J409" s="20" t="n">
        <v>210000</v>
      </c>
      <c r="K409" s="20" t="n">
        <v>210000</v>
      </c>
      <c r="L409" s="10">
        <f>IF($B409="","",TEXT($B409,"YYYY-MM"))</f>
        <v/>
      </c>
    </row>
    <row r="410">
      <c r="A410" s="10" t="inlineStr">
        <is>
          <t>INV-70662</t>
        </is>
      </c>
      <c r="B410" s="18" t="n">
        <v>45794</v>
      </c>
      <c r="C410" s="10" t="inlineStr">
        <is>
          <t>C1180</t>
        </is>
      </c>
      <c r="D410" s="10" t="inlineStr">
        <is>
          <t>occasional</t>
        </is>
      </c>
      <c r="E410" s="10" t="inlineStr">
        <is>
          <t>Tokopedia</t>
        </is>
      </c>
      <c r="F410" s="10" t="inlineStr">
        <is>
          <t>Jabodetabek</t>
        </is>
      </c>
      <c r="G410" s="10" t="inlineStr">
        <is>
          <t>Rumah Tangga</t>
        </is>
      </c>
      <c r="H410" s="10" t="inlineStr">
        <is>
          <t>Set Wadah Kedap</t>
        </is>
      </c>
      <c r="I410" s="19" t="n">
        <v>1</v>
      </c>
      <c r="J410" s="20" t="n">
        <v>135000</v>
      </c>
      <c r="K410" s="20" t="n">
        <v>135000</v>
      </c>
      <c r="L410" s="10">
        <f>IF($B410="","",TEXT($B410,"YYYY-MM"))</f>
        <v/>
      </c>
    </row>
    <row r="411">
      <c r="A411" s="10" t="inlineStr">
        <is>
          <t>INV-70901</t>
        </is>
      </c>
      <c r="B411" s="18" t="n">
        <v>45794</v>
      </c>
      <c r="C411" s="10" t="inlineStr">
        <is>
          <t>C1253</t>
        </is>
      </c>
      <c r="D411" s="10" t="inlineStr">
        <is>
          <t>regular</t>
        </is>
      </c>
      <c r="E411" s="10" t="inlineStr">
        <is>
          <t>Shopee</t>
        </is>
      </c>
      <c r="F411" s="10" t="inlineStr">
        <is>
          <t>Sumatera</t>
        </is>
      </c>
      <c r="G411" s="10" t="inlineStr">
        <is>
          <t>Rumah Tangga</t>
        </is>
      </c>
      <c r="H411" s="10" t="inlineStr">
        <is>
          <t>Set Wadah Kedap</t>
        </is>
      </c>
      <c r="I411" s="19" t="n">
        <v>1</v>
      </c>
      <c r="J411" s="20" t="n">
        <v>135000</v>
      </c>
      <c r="K411" s="20" t="n">
        <v>135000</v>
      </c>
      <c r="L411" s="10">
        <f>IF($B411="","",TEXT($B411,"YYYY-MM"))</f>
        <v/>
      </c>
    </row>
    <row r="412">
      <c r="A412" s="10" t="inlineStr">
        <is>
          <t>INV-70897</t>
        </is>
      </c>
      <c r="B412" s="18" t="n">
        <v>45794</v>
      </c>
      <c r="C412" s="10" t="inlineStr">
        <is>
          <t>C1252</t>
        </is>
      </c>
      <c r="D412" s="10" t="inlineStr">
        <is>
          <t>regular</t>
        </is>
      </c>
      <c r="E412" s="10" t="inlineStr">
        <is>
          <t>Shopee</t>
        </is>
      </c>
      <c r="F412" s="10" t="inlineStr">
        <is>
          <t>Jawa Tengah</t>
        </is>
      </c>
      <c r="G412" s="10" t="inlineStr">
        <is>
          <t>Kecantikan</t>
        </is>
      </c>
      <c r="H412" s="10" t="inlineStr">
        <is>
          <t>Masker Wajah (5s)</t>
        </is>
      </c>
      <c r="I412" s="19" t="n">
        <v>2</v>
      </c>
      <c r="J412" s="20" t="n">
        <v>55000</v>
      </c>
      <c r="K412" s="20" t="n">
        <v>110000</v>
      </c>
      <c r="L412" s="10">
        <f>IF($B412="","",TEXT($B412,"YYYY-MM"))</f>
        <v/>
      </c>
    </row>
    <row r="413">
      <c r="A413" s="10" t="inlineStr">
        <is>
          <t>INV-71104</t>
        </is>
      </c>
      <c r="B413" s="18" t="n">
        <v>45794</v>
      </c>
      <c r="C413" s="10" t="inlineStr">
        <is>
          <t>C1310</t>
        </is>
      </c>
      <c r="D413" s="10" t="inlineStr">
        <is>
          <t>loyal</t>
        </is>
      </c>
      <c r="E413" s="10" t="inlineStr">
        <is>
          <t>Tokopedia</t>
        </is>
      </c>
      <c r="F413" s="10" t="inlineStr">
        <is>
          <t>Jawa Barat</t>
        </is>
      </c>
      <c r="G413" s="10" t="inlineStr">
        <is>
          <t>Elektronik</t>
        </is>
      </c>
      <c r="H413" s="10" t="inlineStr">
        <is>
          <t>Webcam HD</t>
        </is>
      </c>
      <c r="I413" s="19" t="n">
        <v>4</v>
      </c>
      <c r="J413" s="20" t="n">
        <v>210000</v>
      </c>
      <c r="K413" s="20" t="n">
        <v>840000</v>
      </c>
      <c r="L413" s="10">
        <f>IF($B413="","",TEXT($B413,"YYYY-MM"))</f>
        <v/>
      </c>
    </row>
    <row r="414">
      <c r="A414" s="10" t="inlineStr">
        <is>
          <t>INV-70552</t>
        </is>
      </c>
      <c r="B414" s="18" t="n">
        <v>45795</v>
      </c>
      <c r="C414" s="10" t="inlineStr">
        <is>
          <t>C1151</t>
        </is>
      </c>
      <c r="D414" s="10" t="inlineStr">
        <is>
          <t>regular</t>
        </is>
      </c>
      <c r="E414" s="10" t="inlineStr">
        <is>
          <t>Tokopedia</t>
        </is>
      </c>
      <c r="F414" s="10" t="inlineStr">
        <is>
          <t>Jabodetabek</t>
        </is>
      </c>
      <c r="G414" s="10" t="inlineStr">
        <is>
          <t>Kecantikan</t>
        </is>
      </c>
      <c r="H414" s="10" t="inlineStr">
        <is>
          <t>Serum Vit C</t>
        </is>
      </c>
      <c r="I414" s="19" t="n">
        <v>2</v>
      </c>
      <c r="J414" s="20" t="n">
        <v>145000</v>
      </c>
      <c r="K414" s="20" t="n">
        <v>290000</v>
      </c>
      <c r="L414" s="10">
        <f>IF($B414="","",TEXT($B414,"YYYY-MM"))</f>
        <v/>
      </c>
    </row>
    <row r="415">
      <c r="A415" s="10" t="inlineStr">
        <is>
          <t>INV-70992</t>
        </is>
      </c>
      <c r="B415" s="18" t="n">
        <v>45795</v>
      </c>
      <c r="C415" s="10" t="inlineStr">
        <is>
          <t>C1286</t>
        </is>
      </c>
      <c r="D415" s="10" t="inlineStr">
        <is>
          <t>regular</t>
        </is>
      </c>
      <c r="E415" s="10" t="inlineStr">
        <is>
          <t>TikTok Shop</t>
        </is>
      </c>
      <c r="F415" s="10" t="inlineStr">
        <is>
          <t>Jawa Timur</t>
        </is>
      </c>
      <c r="G415" s="10" t="inlineStr">
        <is>
          <t>Elektronik</t>
        </is>
      </c>
      <c r="H415" s="10" t="inlineStr">
        <is>
          <t>Webcam HD</t>
        </is>
      </c>
      <c r="I415" s="19" t="n">
        <v>3</v>
      </c>
      <c r="J415" s="20" t="n">
        <v>210000</v>
      </c>
      <c r="K415" s="20" t="n">
        <v>630000</v>
      </c>
      <c r="L415" s="10">
        <f>IF($B415="","",TEXT($B415,"YYYY-MM"))</f>
        <v/>
      </c>
    </row>
    <row r="416">
      <c r="A416" s="10" t="inlineStr">
        <is>
          <t>INV-70292</t>
        </is>
      </c>
      <c r="B416" s="18" t="n">
        <v>45795</v>
      </c>
      <c r="C416" s="10" t="inlineStr">
        <is>
          <t>C1083</t>
        </is>
      </c>
      <c r="D416" s="10" t="inlineStr">
        <is>
          <t>loyal</t>
        </is>
      </c>
      <c r="E416" s="10" t="inlineStr">
        <is>
          <t>Tokopedia</t>
        </is>
      </c>
      <c r="F416" s="10" t="inlineStr">
        <is>
          <t>Jabodetabek</t>
        </is>
      </c>
      <c r="G416" s="10" t="inlineStr">
        <is>
          <t>Fashion</t>
        </is>
      </c>
      <c r="H416" s="10" t="inlineStr">
        <is>
          <t>Kemeja Linen</t>
        </is>
      </c>
      <c r="I416" s="19" t="n">
        <v>4</v>
      </c>
      <c r="J416" s="20" t="n">
        <v>185000</v>
      </c>
      <c r="K416" s="20" t="n">
        <v>740000</v>
      </c>
      <c r="L416" s="10">
        <f>IF($B416="","",TEXT($B416,"YYYY-MM"))</f>
        <v/>
      </c>
    </row>
    <row r="417">
      <c r="A417" s="10" t="inlineStr">
        <is>
          <t>INV-70331</t>
        </is>
      </c>
      <c r="B417" s="18" t="n">
        <v>45795</v>
      </c>
      <c r="C417" s="10" t="inlineStr">
        <is>
          <t>C1090</t>
        </is>
      </c>
      <c r="D417" s="10" t="inlineStr">
        <is>
          <t>champion</t>
        </is>
      </c>
      <c r="E417" s="10" t="inlineStr">
        <is>
          <t>Tokopedia</t>
        </is>
      </c>
      <c r="F417" s="10" t="inlineStr">
        <is>
          <t>Jabodetabek</t>
        </is>
      </c>
      <c r="G417" s="10" t="inlineStr">
        <is>
          <t>Fashion</t>
        </is>
      </c>
      <c r="H417" s="10" t="inlineStr">
        <is>
          <t>Celana Chino</t>
        </is>
      </c>
      <c r="I417" s="19" t="n">
        <v>1</v>
      </c>
      <c r="J417" s="20" t="n">
        <v>195000</v>
      </c>
      <c r="K417" s="20" t="n">
        <v>195000</v>
      </c>
      <c r="L417" s="10">
        <f>IF($B417="","",TEXT($B417,"YYYY-MM"))</f>
        <v/>
      </c>
    </row>
    <row r="418">
      <c r="A418" s="10" t="inlineStr">
        <is>
          <t>INV-70974</t>
        </is>
      </c>
      <c r="B418" s="18" t="n">
        <v>45796</v>
      </c>
      <c r="C418" s="10" t="inlineStr">
        <is>
          <t>C1279</t>
        </is>
      </c>
      <c r="D418" s="10" t="inlineStr">
        <is>
          <t>loyal</t>
        </is>
      </c>
      <c r="E418" s="10" t="inlineStr">
        <is>
          <t>TikTok Shop</t>
        </is>
      </c>
      <c r="F418" s="10" t="inlineStr">
        <is>
          <t>Lainnya</t>
        </is>
      </c>
      <c r="G418" s="10" t="inlineStr">
        <is>
          <t>Fashion</t>
        </is>
      </c>
      <c r="H418" s="10" t="inlineStr">
        <is>
          <t>Dress Casual</t>
        </is>
      </c>
      <c r="I418" s="19" t="n">
        <v>1</v>
      </c>
      <c r="J418" s="20" t="n">
        <v>225000</v>
      </c>
      <c r="K418" s="20" t="n">
        <v>225000</v>
      </c>
      <c r="L418" s="10">
        <f>IF($B418="","",TEXT($B418,"YYYY-MM"))</f>
        <v/>
      </c>
    </row>
    <row r="419">
      <c r="A419" s="10" t="inlineStr">
        <is>
          <t>INV-70005</t>
        </is>
      </c>
      <c r="B419" s="18" t="n">
        <v>45796</v>
      </c>
      <c r="C419" s="10" t="inlineStr">
        <is>
          <t>C1001</t>
        </is>
      </c>
      <c r="D419" s="10" t="inlineStr">
        <is>
          <t>occasional</t>
        </is>
      </c>
      <c r="E419" s="10" t="inlineStr">
        <is>
          <t>Shopee</t>
        </is>
      </c>
      <c r="F419" s="10" t="inlineStr">
        <is>
          <t>Jabodetabek</t>
        </is>
      </c>
      <c r="G419" s="10" t="inlineStr">
        <is>
          <t>Elektronik</t>
        </is>
      </c>
      <c r="H419" s="10" t="inlineStr">
        <is>
          <t>Webcam HD</t>
        </is>
      </c>
      <c r="I419" s="19" t="n">
        <v>3</v>
      </c>
      <c r="J419" s="20" t="n">
        <v>210000</v>
      </c>
      <c r="K419" s="20" t="n">
        <v>630000</v>
      </c>
      <c r="L419" s="10">
        <f>IF($B419="","",TEXT($B419,"YYYY-MM"))</f>
        <v/>
      </c>
    </row>
    <row r="420">
      <c r="A420" s="10" t="inlineStr">
        <is>
          <t>INV-71353</t>
        </is>
      </c>
      <c r="B420" s="18" t="n">
        <v>45796</v>
      </c>
      <c r="C420" s="10" t="inlineStr">
        <is>
          <t>C1373</t>
        </is>
      </c>
      <c r="D420" s="10" t="inlineStr">
        <is>
          <t>occasional</t>
        </is>
      </c>
      <c r="E420" s="10" t="inlineStr">
        <is>
          <t>TikTok Shop</t>
        </is>
      </c>
      <c r="F420" s="10" t="inlineStr">
        <is>
          <t>Jabodetabek</t>
        </is>
      </c>
      <c r="G420" s="10" t="inlineStr">
        <is>
          <t>Elektronik</t>
        </is>
      </c>
      <c r="H420" s="10" t="inlineStr">
        <is>
          <t>Smartwatch</t>
        </is>
      </c>
      <c r="I420" s="19" t="n">
        <v>3</v>
      </c>
      <c r="J420" s="20" t="n">
        <v>450000</v>
      </c>
      <c r="K420" s="20" t="n">
        <v>1350000</v>
      </c>
      <c r="L420" s="10">
        <f>IF($B420="","",TEXT($B420,"YYYY-MM"))</f>
        <v/>
      </c>
    </row>
    <row r="421">
      <c r="A421" s="10" t="inlineStr">
        <is>
          <t>INV-70796</t>
        </is>
      </c>
      <c r="B421" s="18" t="n">
        <v>45796</v>
      </c>
      <c r="C421" s="10" t="inlineStr">
        <is>
          <t>C1223</t>
        </is>
      </c>
      <c r="D421" s="10" t="inlineStr">
        <is>
          <t>loyal</t>
        </is>
      </c>
      <c r="E421" s="10" t="inlineStr">
        <is>
          <t>Shopee</t>
        </is>
      </c>
      <c r="F421" s="10" t="inlineStr">
        <is>
          <t>Jawa Barat</t>
        </is>
      </c>
      <c r="G421" s="10" t="inlineStr">
        <is>
          <t>Makanan</t>
        </is>
      </c>
      <c r="H421" s="10" t="inlineStr">
        <is>
          <t>Granola 500g</t>
        </is>
      </c>
      <c r="I421" s="19" t="n">
        <v>4</v>
      </c>
      <c r="J421" s="20" t="n">
        <v>92000</v>
      </c>
      <c r="K421" s="20" t="n">
        <v>368000</v>
      </c>
      <c r="L421" s="10">
        <f>IF($B421="","",TEXT($B421,"YYYY-MM"))</f>
        <v/>
      </c>
    </row>
    <row r="422">
      <c r="A422" s="10" t="inlineStr">
        <is>
          <t>INV-70498</t>
        </is>
      </c>
      <c r="B422" s="18" t="n">
        <v>45796</v>
      </c>
      <c r="C422" s="10" t="inlineStr">
        <is>
          <t>C1140</t>
        </is>
      </c>
      <c r="D422" s="10" t="inlineStr">
        <is>
          <t>onetime</t>
        </is>
      </c>
      <c r="E422" s="10" t="inlineStr">
        <is>
          <t>Offline Store</t>
        </is>
      </c>
      <c r="F422" s="10" t="inlineStr">
        <is>
          <t>Jabodetabek</t>
        </is>
      </c>
      <c r="G422" s="10" t="inlineStr">
        <is>
          <t>Elektronik</t>
        </is>
      </c>
      <c r="H422" s="10" t="inlineStr">
        <is>
          <t>Power Bank 20K</t>
        </is>
      </c>
      <c r="I422" s="19" t="n">
        <v>1</v>
      </c>
      <c r="J422" s="20" t="n">
        <v>185000</v>
      </c>
      <c r="K422" s="20" t="n">
        <v>185000</v>
      </c>
      <c r="L422" s="10">
        <f>IF($B422="","",TEXT($B422,"YYYY-MM"))</f>
        <v/>
      </c>
    </row>
    <row r="423">
      <c r="A423" s="10" t="inlineStr">
        <is>
          <t>INV-70111</t>
        </is>
      </c>
      <c r="B423" s="18" t="n">
        <v>45796</v>
      </c>
      <c r="C423" s="10" t="inlineStr">
        <is>
          <t>C1033</t>
        </is>
      </c>
      <c r="D423" s="10" t="inlineStr">
        <is>
          <t>regular</t>
        </is>
      </c>
      <c r="E423" s="10" t="inlineStr">
        <is>
          <t>TikTok Shop</t>
        </is>
      </c>
      <c r="F423" s="10" t="inlineStr">
        <is>
          <t>Jabodetabek</t>
        </is>
      </c>
      <c r="G423" s="10" t="inlineStr">
        <is>
          <t>Rumah Tangga</t>
        </is>
      </c>
      <c r="H423" s="10" t="inlineStr">
        <is>
          <t>Organizer Laci</t>
        </is>
      </c>
      <c r="I423" s="19" t="n">
        <v>1</v>
      </c>
      <c r="J423" s="20" t="n">
        <v>78000</v>
      </c>
      <c r="K423" s="20" t="n">
        <v>78000</v>
      </c>
      <c r="L423" s="10">
        <f>IF($B423="","",TEXT($B423,"YYYY-MM"))</f>
        <v/>
      </c>
    </row>
    <row r="424">
      <c r="A424" s="10" t="inlineStr">
        <is>
          <t>INV-70164</t>
        </is>
      </c>
      <c r="B424" s="18" t="n">
        <v>45796</v>
      </c>
      <c r="C424" s="10" t="inlineStr">
        <is>
          <t>C1049</t>
        </is>
      </c>
      <c r="D424" s="10" t="inlineStr">
        <is>
          <t>champion</t>
        </is>
      </c>
      <c r="E424" s="10" t="inlineStr">
        <is>
          <t>Shopee</t>
        </is>
      </c>
      <c r="F424" s="10" t="inlineStr">
        <is>
          <t>Jawa Timur</t>
        </is>
      </c>
      <c r="G424" s="10" t="inlineStr">
        <is>
          <t>Makanan</t>
        </is>
      </c>
      <c r="H424" s="10" t="inlineStr">
        <is>
          <t>Granola 500g</t>
        </is>
      </c>
      <c r="I424" s="19" t="n">
        <v>1</v>
      </c>
      <c r="J424" s="20" t="n">
        <v>92000</v>
      </c>
      <c r="K424" s="20" t="n">
        <v>92000</v>
      </c>
      <c r="L424" s="10">
        <f>IF($B424="","",TEXT($B424,"YYYY-MM"))</f>
        <v/>
      </c>
    </row>
    <row r="425">
      <c r="A425" s="10" t="inlineStr">
        <is>
          <t>INV-70304</t>
        </is>
      </c>
      <c r="B425" s="18" t="n">
        <v>45796</v>
      </c>
      <c r="C425" s="10" t="inlineStr">
        <is>
          <t>C1085</t>
        </is>
      </c>
      <c r="D425" s="10" t="inlineStr">
        <is>
          <t>occasional</t>
        </is>
      </c>
      <c r="E425" s="10" t="inlineStr">
        <is>
          <t>Tokopedia</t>
        </is>
      </c>
      <c r="F425" s="10" t="inlineStr">
        <is>
          <t>Jawa Barat</t>
        </is>
      </c>
      <c r="G425" s="10" t="inlineStr">
        <is>
          <t>Rumah Tangga</t>
        </is>
      </c>
      <c r="H425" s="10" t="inlineStr">
        <is>
          <t>Organizer Laci</t>
        </is>
      </c>
      <c r="I425" s="19" t="n">
        <v>4</v>
      </c>
      <c r="J425" s="20" t="n">
        <v>78000</v>
      </c>
      <c r="K425" s="20" t="n">
        <v>312000</v>
      </c>
      <c r="L425" s="10">
        <f>IF($B425="","",TEXT($B425,"YYYY-MM"))</f>
        <v/>
      </c>
    </row>
    <row r="426">
      <c r="A426" s="10" t="inlineStr">
        <is>
          <t>INV-71539</t>
        </is>
      </c>
      <c r="B426" s="18" t="n">
        <v>45796</v>
      </c>
      <c r="C426" s="10" t="inlineStr">
        <is>
          <t>C1424</t>
        </is>
      </c>
      <c r="D426" s="10" t="inlineStr">
        <is>
          <t>loyal</t>
        </is>
      </c>
      <c r="E426" s="10" t="inlineStr">
        <is>
          <t>TikTok Shop</t>
        </is>
      </c>
      <c r="F426" s="10" t="inlineStr">
        <is>
          <t>Jawa Timur</t>
        </is>
      </c>
      <c r="G426" s="10" t="inlineStr">
        <is>
          <t>Rumah Tangga</t>
        </is>
      </c>
      <c r="H426" s="10" t="inlineStr">
        <is>
          <t>Set Wadah Kedap</t>
        </is>
      </c>
      <c r="I426" s="19" t="n">
        <v>1</v>
      </c>
      <c r="J426" s="20" t="n">
        <v>135000</v>
      </c>
      <c r="K426" s="20" t="n">
        <v>135000</v>
      </c>
      <c r="L426" s="10">
        <f>IF($B426="","",TEXT($B426,"YYYY-MM"))</f>
        <v/>
      </c>
    </row>
    <row r="427">
      <c r="A427" s="10" t="inlineStr">
        <is>
          <t>INV-70976</t>
        </is>
      </c>
      <c r="B427" s="18" t="n">
        <v>45797</v>
      </c>
      <c r="C427" s="10" t="inlineStr">
        <is>
          <t>C1279</t>
        </is>
      </c>
      <c r="D427" s="10" t="inlineStr">
        <is>
          <t>loyal</t>
        </is>
      </c>
      <c r="E427" s="10" t="inlineStr">
        <is>
          <t>TikTok Shop</t>
        </is>
      </c>
      <c r="F427" s="10" t="inlineStr">
        <is>
          <t>Jawa Timur</t>
        </is>
      </c>
      <c r="G427" s="10" t="inlineStr">
        <is>
          <t>Rumah Tangga</t>
        </is>
      </c>
      <c r="H427" s="10" t="inlineStr">
        <is>
          <t>Organizer Laci</t>
        </is>
      </c>
      <c r="I427" s="19" t="n">
        <v>2</v>
      </c>
      <c r="J427" s="20" t="n">
        <v>78000</v>
      </c>
      <c r="K427" s="20" t="n">
        <v>156000</v>
      </c>
      <c r="L427" s="10">
        <f>IF($B427="","",TEXT($B427,"YYYY-MM"))</f>
        <v/>
      </c>
    </row>
    <row r="428">
      <c r="A428" s="10" t="inlineStr">
        <is>
          <t>INV-71414</t>
        </is>
      </c>
      <c r="B428" s="18" t="n">
        <v>45797</v>
      </c>
      <c r="C428" s="10" t="inlineStr">
        <is>
          <t>C1392</t>
        </is>
      </c>
      <c r="D428" s="10" t="inlineStr">
        <is>
          <t>loyal</t>
        </is>
      </c>
      <c r="E428" s="10" t="inlineStr">
        <is>
          <t>Shopee</t>
        </is>
      </c>
      <c r="F428" s="10" t="inlineStr">
        <is>
          <t>Jawa Barat</t>
        </is>
      </c>
      <c r="G428" s="10" t="inlineStr">
        <is>
          <t>Makanan</t>
        </is>
      </c>
      <c r="H428" s="10" t="inlineStr">
        <is>
          <t>Granola 500g</t>
        </is>
      </c>
      <c r="I428" s="19" t="n">
        <v>1</v>
      </c>
      <c r="J428" s="20" t="n">
        <v>92000</v>
      </c>
      <c r="K428" s="20" t="n">
        <v>92000</v>
      </c>
      <c r="L428" s="10">
        <f>IF($B428="","",TEXT($B428,"YYYY-MM"))</f>
        <v/>
      </c>
    </row>
    <row r="429">
      <c r="A429" s="10" t="inlineStr">
        <is>
          <t>INV-71424</t>
        </is>
      </c>
      <c r="B429" s="18" t="n">
        <v>45798</v>
      </c>
      <c r="C429" s="10" t="inlineStr">
        <is>
          <t>C1393</t>
        </is>
      </c>
      <c r="D429" s="10" t="inlineStr">
        <is>
          <t>regular</t>
        </is>
      </c>
      <c r="E429" s="10" t="inlineStr">
        <is>
          <t>Shopee</t>
        </is>
      </c>
      <c r="F429" s="10" t="inlineStr">
        <is>
          <t>Jabodetabek</t>
        </is>
      </c>
      <c r="G429" s="10" t="inlineStr">
        <is>
          <t>Elektronik</t>
        </is>
      </c>
      <c r="H429" s="10" t="inlineStr">
        <is>
          <t>Power Bank 20K</t>
        </is>
      </c>
      <c r="I429" s="19" t="n">
        <v>1</v>
      </c>
      <c r="J429" s="20" t="n">
        <v>185000</v>
      </c>
      <c r="K429" s="20" t="n">
        <v>185000</v>
      </c>
      <c r="L429" s="10">
        <f>IF($B429="","",TEXT($B429,"YYYY-MM"))</f>
        <v/>
      </c>
    </row>
    <row r="430">
      <c r="A430" s="10" t="inlineStr">
        <is>
          <t>INV-70105</t>
        </is>
      </c>
      <c r="B430" s="18" t="n">
        <v>45798</v>
      </c>
      <c r="C430" s="10" t="inlineStr">
        <is>
          <t>C1029</t>
        </is>
      </c>
      <c r="D430" s="10" t="inlineStr">
        <is>
          <t>champion</t>
        </is>
      </c>
      <c r="E430" s="10" t="inlineStr">
        <is>
          <t>Offline Store</t>
        </is>
      </c>
      <c r="F430" s="10" t="inlineStr">
        <is>
          <t>Jawa Barat</t>
        </is>
      </c>
      <c r="G430" s="10" t="inlineStr">
        <is>
          <t>Rumah Tangga</t>
        </is>
      </c>
      <c r="H430" s="10" t="inlineStr">
        <is>
          <t>Set Wadah Kedap</t>
        </is>
      </c>
      <c r="I430" s="19" t="n">
        <v>4</v>
      </c>
      <c r="J430" s="20" t="n">
        <v>135000</v>
      </c>
      <c r="K430" s="20" t="n">
        <v>540000</v>
      </c>
      <c r="L430" s="10">
        <f>IF($B430="","",TEXT($B430,"YYYY-MM"))</f>
        <v/>
      </c>
    </row>
    <row r="431">
      <c r="A431" s="10" t="inlineStr">
        <is>
          <t>INV-70201</t>
        </is>
      </c>
      <c r="B431" s="18" t="n">
        <v>45798</v>
      </c>
      <c r="C431" s="10" t="inlineStr">
        <is>
          <t>C1057</t>
        </is>
      </c>
      <c r="D431" s="10" t="inlineStr">
        <is>
          <t>regular</t>
        </is>
      </c>
      <c r="E431" s="10" t="inlineStr">
        <is>
          <t>Shopee</t>
        </is>
      </c>
      <c r="F431" s="10" t="inlineStr">
        <is>
          <t>Lainnya</t>
        </is>
      </c>
      <c r="G431" s="10" t="inlineStr">
        <is>
          <t>Makanan</t>
        </is>
      </c>
      <c r="H431" s="10" t="inlineStr">
        <is>
          <t>Granola 500g</t>
        </is>
      </c>
      <c r="I431" s="19" t="n">
        <v>2</v>
      </c>
      <c r="J431" s="20" t="n">
        <v>92000</v>
      </c>
      <c r="K431" s="20" t="n">
        <v>184000</v>
      </c>
      <c r="L431" s="10">
        <f>IF($B431="","",TEXT($B431,"YYYY-MM"))</f>
        <v/>
      </c>
    </row>
    <row r="432">
      <c r="A432" s="10" t="inlineStr">
        <is>
          <t>INV-71174</t>
        </is>
      </c>
      <c r="B432" s="18" t="n">
        <v>45798</v>
      </c>
      <c r="C432" s="10" t="inlineStr">
        <is>
          <t>C1333</t>
        </is>
      </c>
      <c r="D432" s="10" t="inlineStr">
        <is>
          <t>regular</t>
        </is>
      </c>
      <c r="E432" s="10" t="inlineStr">
        <is>
          <t>Offline Store</t>
        </is>
      </c>
      <c r="F432" s="10" t="inlineStr">
        <is>
          <t>Jawa Tengah</t>
        </is>
      </c>
      <c r="G432" s="10" t="inlineStr">
        <is>
          <t>Elektronik</t>
        </is>
      </c>
      <c r="H432" s="10" t="inlineStr">
        <is>
          <t>Smartwatch</t>
        </is>
      </c>
      <c r="I432" s="19" t="n">
        <v>2</v>
      </c>
      <c r="J432" s="20" t="n">
        <v>450000</v>
      </c>
      <c r="K432" s="20" t="n">
        <v>900000</v>
      </c>
      <c r="L432" s="10">
        <f>IF($B432="","",TEXT($B432,"YYYY-MM"))</f>
        <v/>
      </c>
    </row>
    <row r="433">
      <c r="A433" s="10" t="inlineStr">
        <is>
          <t>INV-70932</t>
        </is>
      </c>
      <c r="B433" s="18" t="n">
        <v>45799</v>
      </c>
      <c r="C433" s="10" t="inlineStr">
        <is>
          <t>C1261</t>
        </is>
      </c>
      <c r="D433" s="10" t="inlineStr">
        <is>
          <t>champion</t>
        </is>
      </c>
      <c r="E433" s="10" t="inlineStr">
        <is>
          <t>Shopee</t>
        </is>
      </c>
      <c r="F433" s="10" t="inlineStr">
        <is>
          <t>Lainnya</t>
        </is>
      </c>
      <c r="G433" s="10" t="inlineStr">
        <is>
          <t>Makanan</t>
        </is>
      </c>
      <c r="H433" s="10" t="inlineStr">
        <is>
          <t>Granola 500g</t>
        </is>
      </c>
      <c r="I433" s="19" t="n">
        <v>2</v>
      </c>
      <c r="J433" s="20" t="n">
        <v>92000</v>
      </c>
      <c r="K433" s="20" t="n">
        <v>184000</v>
      </c>
      <c r="L433" s="10">
        <f>IF($B433="","",TEXT($B433,"YYYY-MM"))</f>
        <v/>
      </c>
    </row>
    <row r="434">
      <c r="A434" s="10" t="inlineStr">
        <is>
          <t>INV-70960</t>
        </is>
      </c>
      <c r="B434" s="18" t="n">
        <v>45799</v>
      </c>
      <c r="C434" s="10" t="inlineStr">
        <is>
          <t>C1273</t>
        </is>
      </c>
      <c r="D434" s="10" t="inlineStr">
        <is>
          <t>loyal</t>
        </is>
      </c>
      <c r="E434" s="10" t="inlineStr">
        <is>
          <t>TikTok Shop</t>
        </is>
      </c>
      <c r="F434" s="10" t="inlineStr">
        <is>
          <t>Jawa Tengah</t>
        </is>
      </c>
      <c r="G434" s="10" t="inlineStr">
        <is>
          <t>Kecantikan</t>
        </is>
      </c>
      <c r="H434" s="10" t="inlineStr">
        <is>
          <t>Masker Wajah (5s)</t>
        </is>
      </c>
      <c r="I434" s="19" t="n">
        <v>4</v>
      </c>
      <c r="J434" s="20" t="n">
        <v>55000</v>
      </c>
      <c r="K434" s="20" t="n">
        <v>220000</v>
      </c>
      <c r="L434" s="10">
        <f>IF($B434="","",TEXT($B434,"YYYY-MM"))</f>
        <v/>
      </c>
    </row>
    <row r="435">
      <c r="A435" s="10" t="inlineStr">
        <is>
          <t>INV-70542</t>
        </is>
      </c>
      <c r="B435" s="18" t="n">
        <v>45800</v>
      </c>
      <c r="C435" s="10" t="inlineStr">
        <is>
          <t>C1150</t>
        </is>
      </c>
      <c r="D435" s="10" t="inlineStr">
        <is>
          <t>champion</t>
        </is>
      </c>
      <c r="E435" s="10" t="inlineStr">
        <is>
          <t>Shopee</t>
        </is>
      </c>
      <c r="F435" s="10" t="inlineStr">
        <is>
          <t>Jabodetabek</t>
        </is>
      </c>
      <c r="G435" s="10" t="inlineStr">
        <is>
          <t>Rumah Tangga</t>
        </is>
      </c>
      <c r="H435" s="10" t="inlineStr">
        <is>
          <t>Set Wadah Kedap</t>
        </is>
      </c>
      <c r="I435" s="19" t="n">
        <v>2</v>
      </c>
      <c r="J435" s="20" t="n">
        <v>135000</v>
      </c>
      <c r="K435" s="20" t="n">
        <v>270000</v>
      </c>
      <c r="L435" s="10">
        <f>IF($B435="","",TEXT($B435,"YYYY-MM"))</f>
        <v/>
      </c>
    </row>
    <row r="436">
      <c r="A436" s="10" t="inlineStr">
        <is>
          <t>INV-70956</t>
        </is>
      </c>
      <c r="B436" s="18" t="n">
        <v>45800</v>
      </c>
      <c r="C436" s="10" t="inlineStr">
        <is>
          <t>C1271</t>
        </is>
      </c>
      <c r="D436" s="10" t="inlineStr">
        <is>
          <t>regular</t>
        </is>
      </c>
      <c r="E436" s="10" t="inlineStr">
        <is>
          <t>TikTok Shop</t>
        </is>
      </c>
      <c r="F436" s="10" t="inlineStr">
        <is>
          <t>Jabodetabek</t>
        </is>
      </c>
      <c r="G436" s="10" t="inlineStr">
        <is>
          <t>Rumah Tangga</t>
        </is>
      </c>
      <c r="H436" s="10" t="inlineStr">
        <is>
          <t>Organizer Laci</t>
        </is>
      </c>
      <c r="I436" s="19" t="n">
        <v>1</v>
      </c>
      <c r="J436" s="20" t="n">
        <v>78000</v>
      </c>
      <c r="K436" s="20" t="n">
        <v>78000</v>
      </c>
      <c r="L436" s="10">
        <f>IF($B436="","",TEXT($B436,"YYYY-MM"))</f>
        <v/>
      </c>
    </row>
    <row r="437">
      <c r="A437" s="10" t="inlineStr">
        <is>
          <t>INV-71261</t>
        </is>
      </c>
      <c r="B437" s="18" t="n">
        <v>45800</v>
      </c>
      <c r="C437" s="10" t="inlineStr">
        <is>
          <t>C1358</t>
        </is>
      </c>
      <c r="D437" s="10" t="inlineStr">
        <is>
          <t>champion</t>
        </is>
      </c>
      <c r="E437" s="10" t="inlineStr">
        <is>
          <t>Shopee</t>
        </is>
      </c>
      <c r="F437" s="10" t="inlineStr">
        <is>
          <t>Jawa Timur</t>
        </is>
      </c>
      <c r="G437" s="10" t="inlineStr">
        <is>
          <t>Rumah Tangga</t>
        </is>
      </c>
      <c r="H437" s="10" t="inlineStr">
        <is>
          <t>Organizer Laci</t>
        </is>
      </c>
      <c r="I437" s="19" t="n">
        <v>1</v>
      </c>
      <c r="J437" s="20" t="n">
        <v>78000</v>
      </c>
      <c r="K437" s="20" t="n">
        <v>78000</v>
      </c>
      <c r="L437" s="10">
        <f>IF($B437="","",TEXT($B437,"YYYY-MM"))</f>
        <v/>
      </c>
    </row>
    <row r="438">
      <c r="A438" s="10" t="inlineStr">
        <is>
          <t>INV-70634</t>
        </is>
      </c>
      <c r="B438" s="18" t="n">
        <v>45800</v>
      </c>
      <c r="C438" s="10" t="inlineStr">
        <is>
          <t>C1173</t>
        </is>
      </c>
      <c r="D438" s="10" t="inlineStr">
        <is>
          <t>loyal</t>
        </is>
      </c>
      <c r="E438" s="10" t="inlineStr">
        <is>
          <t>Shopee</t>
        </is>
      </c>
      <c r="F438" s="10" t="inlineStr">
        <is>
          <t>Jawa Tengah</t>
        </is>
      </c>
      <c r="G438" s="10" t="inlineStr">
        <is>
          <t>Rumah Tangga</t>
        </is>
      </c>
      <c r="H438" s="10" t="inlineStr">
        <is>
          <t>Set Wadah Kedap</t>
        </is>
      </c>
      <c r="I438" s="19" t="n">
        <v>3</v>
      </c>
      <c r="J438" s="20" t="n">
        <v>135000</v>
      </c>
      <c r="K438" s="20" t="n">
        <v>405000</v>
      </c>
      <c r="L438" s="10">
        <f>IF($B438="","",TEXT($B438,"YYYY-MM"))</f>
        <v/>
      </c>
    </row>
    <row r="439">
      <c r="A439" s="10" t="inlineStr">
        <is>
          <t>INV-70781</t>
        </is>
      </c>
      <c r="B439" s="18" t="n">
        <v>45800</v>
      </c>
      <c r="C439" s="10" t="inlineStr">
        <is>
          <t>C1220</t>
        </is>
      </c>
      <c r="D439" s="10" t="inlineStr">
        <is>
          <t>loyal</t>
        </is>
      </c>
      <c r="E439" s="10" t="inlineStr">
        <is>
          <t>Offline Store</t>
        </is>
      </c>
      <c r="F439" s="10" t="inlineStr">
        <is>
          <t>Jawa Tengah</t>
        </is>
      </c>
      <c r="G439" s="10" t="inlineStr">
        <is>
          <t>Fashion</t>
        </is>
      </c>
      <c r="H439" s="10" t="inlineStr">
        <is>
          <t>Dress Casual</t>
        </is>
      </c>
      <c r="I439" s="19" t="n">
        <v>4</v>
      </c>
      <c r="J439" s="20" t="n">
        <v>225000</v>
      </c>
      <c r="K439" s="20" t="n">
        <v>900000</v>
      </c>
      <c r="L439" s="10">
        <f>IF($B439="","",TEXT($B439,"YYYY-MM"))</f>
        <v/>
      </c>
    </row>
    <row r="440">
      <c r="A440" s="10" t="inlineStr">
        <is>
          <t>INV-70391</t>
        </is>
      </c>
      <c r="B440" s="18" t="n">
        <v>45800</v>
      </c>
      <c r="C440" s="10" t="inlineStr">
        <is>
          <t>C1111</t>
        </is>
      </c>
      <c r="D440" s="10" t="inlineStr">
        <is>
          <t>champion</t>
        </is>
      </c>
      <c r="E440" s="10" t="inlineStr">
        <is>
          <t>Offline Store</t>
        </is>
      </c>
      <c r="F440" s="10" t="inlineStr">
        <is>
          <t>Jawa Timur</t>
        </is>
      </c>
      <c r="G440" s="10" t="inlineStr">
        <is>
          <t>Rumah Tangga</t>
        </is>
      </c>
      <c r="H440" s="10" t="inlineStr">
        <is>
          <t>Set Wadah Kedap</t>
        </is>
      </c>
      <c r="I440" s="19" t="n">
        <v>1</v>
      </c>
      <c r="J440" s="20" t="n">
        <v>135000</v>
      </c>
      <c r="K440" s="20" t="n">
        <v>135000</v>
      </c>
      <c r="L440" s="10">
        <f>IF($B440="","",TEXT($B440,"YYYY-MM"))</f>
        <v/>
      </c>
    </row>
    <row r="441">
      <c r="A441" s="10" t="inlineStr">
        <is>
          <t>INV-70170</t>
        </is>
      </c>
      <c r="B441" s="18" t="n">
        <v>45800</v>
      </c>
      <c r="C441" s="10" t="inlineStr">
        <is>
          <t>C1049</t>
        </is>
      </c>
      <c r="D441" s="10" t="inlineStr">
        <is>
          <t>champion</t>
        </is>
      </c>
      <c r="E441" s="10" t="inlineStr">
        <is>
          <t>Tokopedia</t>
        </is>
      </c>
      <c r="F441" s="10" t="inlineStr">
        <is>
          <t>Jabodetabek</t>
        </is>
      </c>
      <c r="G441" s="10" t="inlineStr">
        <is>
          <t>Elektronik</t>
        </is>
      </c>
      <c r="H441" s="10" t="inlineStr">
        <is>
          <t>Power Bank 20K</t>
        </is>
      </c>
      <c r="I441" s="19" t="n">
        <v>1</v>
      </c>
      <c r="J441" s="20" t="n">
        <v>185000</v>
      </c>
      <c r="K441" s="20" t="n">
        <v>185000</v>
      </c>
      <c r="L441" s="10">
        <f>IF($B441="","",TEXT($B441,"YYYY-MM"))</f>
        <v/>
      </c>
    </row>
    <row r="442">
      <c r="A442" s="10" t="inlineStr">
        <is>
          <t>INV-71122</t>
        </is>
      </c>
      <c r="B442" s="18" t="n">
        <v>45801</v>
      </c>
      <c r="C442" s="10" t="inlineStr">
        <is>
          <t>C1315</t>
        </is>
      </c>
      <c r="D442" s="10" t="inlineStr">
        <is>
          <t>regular</t>
        </is>
      </c>
      <c r="E442" s="10" t="inlineStr">
        <is>
          <t>TikTok Shop</t>
        </is>
      </c>
      <c r="F442" s="10" t="inlineStr">
        <is>
          <t>Jawa Barat</t>
        </is>
      </c>
      <c r="G442" s="10" t="inlineStr">
        <is>
          <t>Elektronik</t>
        </is>
      </c>
      <c r="H442" s="10" t="inlineStr">
        <is>
          <t>Power Bank 20K</t>
        </is>
      </c>
      <c r="I442" s="19" t="n">
        <v>1</v>
      </c>
      <c r="J442" s="20" t="n">
        <v>185000</v>
      </c>
      <c r="K442" s="20" t="n">
        <v>185000</v>
      </c>
      <c r="L442" s="10">
        <f>IF($B442="","",TEXT($B442,"YYYY-MM"))</f>
        <v/>
      </c>
    </row>
    <row r="443">
      <c r="A443" s="10" t="inlineStr">
        <is>
          <t>INV-70856</t>
        </is>
      </c>
      <c r="B443" s="18" t="n">
        <v>45801</v>
      </c>
      <c r="C443" s="10" t="inlineStr">
        <is>
          <t>C1240</t>
        </is>
      </c>
      <c r="D443" s="10" t="inlineStr">
        <is>
          <t>loyal</t>
        </is>
      </c>
      <c r="E443" s="10" t="inlineStr">
        <is>
          <t>TikTok Shop</t>
        </is>
      </c>
      <c r="F443" s="10" t="inlineStr">
        <is>
          <t>Jawa Tengah</t>
        </is>
      </c>
      <c r="G443" s="10" t="inlineStr">
        <is>
          <t>Makanan</t>
        </is>
      </c>
      <c r="H443" s="10" t="inlineStr">
        <is>
          <t>Granola 500g</t>
        </is>
      </c>
      <c r="I443" s="19" t="n">
        <v>2</v>
      </c>
      <c r="J443" s="20" t="n">
        <v>92000</v>
      </c>
      <c r="K443" s="20" t="n">
        <v>184000</v>
      </c>
      <c r="L443" s="10">
        <f>IF($B443="","",TEXT($B443,"YYYY-MM"))</f>
        <v/>
      </c>
    </row>
    <row r="444">
      <c r="A444" s="10" t="inlineStr">
        <is>
          <t>INV-70280</t>
        </is>
      </c>
      <c r="B444" s="18" t="n">
        <v>45801</v>
      </c>
      <c r="C444" s="10" t="inlineStr">
        <is>
          <t>C1079</t>
        </is>
      </c>
      <c r="D444" s="10" t="inlineStr">
        <is>
          <t>regular</t>
        </is>
      </c>
      <c r="E444" s="10" t="inlineStr">
        <is>
          <t>Shopee</t>
        </is>
      </c>
      <c r="F444" s="10" t="inlineStr">
        <is>
          <t>Jabodetabek</t>
        </is>
      </c>
      <c r="G444" s="10" t="inlineStr">
        <is>
          <t>Rumah Tangga</t>
        </is>
      </c>
      <c r="H444" s="10" t="inlineStr">
        <is>
          <t>Set Wadah Kedap</t>
        </is>
      </c>
      <c r="I444" s="19" t="n">
        <v>1</v>
      </c>
      <c r="J444" s="20" t="n">
        <v>135000</v>
      </c>
      <c r="K444" s="20" t="n">
        <v>135000</v>
      </c>
      <c r="L444" s="10">
        <f>IF($B444="","",TEXT($B444,"YYYY-MM"))</f>
        <v/>
      </c>
    </row>
    <row r="445">
      <c r="A445" s="10" t="inlineStr">
        <is>
          <t>INV-70379</t>
        </is>
      </c>
      <c r="B445" s="18" t="n">
        <v>45802</v>
      </c>
      <c r="C445" s="10" t="inlineStr">
        <is>
          <t>C1110</t>
        </is>
      </c>
      <c r="D445" s="10" t="inlineStr">
        <is>
          <t>loyal</t>
        </is>
      </c>
      <c r="E445" s="10" t="inlineStr">
        <is>
          <t>TikTok Shop</t>
        </is>
      </c>
      <c r="F445" s="10" t="inlineStr">
        <is>
          <t>Sumatera</t>
        </is>
      </c>
      <c r="G445" s="10" t="inlineStr">
        <is>
          <t>Rumah Tangga</t>
        </is>
      </c>
      <c r="H445" s="10" t="inlineStr">
        <is>
          <t>Organizer Laci</t>
        </is>
      </c>
      <c r="I445" s="19" t="n">
        <v>1</v>
      </c>
      <c r="J445" s="20" t="n">
        <v>78000</v>
      </c>
      <c r="K445" s="20" t="n">
        <v>78000</v>
      </c>
      <c r="L445" s="10">
        <f>IF($B445="","",TEXT($B445,"YYYY-MM"))</f>
        <v/>
      </c>
    </row>
    <row r="446">
      <c r="A446" s="10" t="inlineStr">
        <is>
          <t>INV-70799</t>
        </is>
      </c>
      <c r="B446" s="18" t="n">
        <v>45802</v>
      </c>
      <c r="C446" s="10" t="inlineStr">
        <is>
          <t>C1224</t>
        </is>
      </c>
      <c r="D446" s="10" t="inlineStr">
        <is>
          <t>regular</t>
        </is>
      </c>
      <c r="E446" s="10" t="inlineStr">
        <is>
          <t>Offline Store</t>
        </is>
      </c>
      <c r="F446" s="10" t="inlineStr">
        <is>
          <t>Jawa Tengah</t>
        </is>
      </c>
      <c r="G446" s="10" t="inlineStr">
        <is>
          <t>Rumah Tangga</t>
        </is>
      </c>
      <c r="H446" s="10" t="inlineStr">
        <is>
          <t>Set Wadah Kedap</t>
        </is>
      </c>
      <c r="I446" s="19" t="n">
        <v>4</v>
      </c>
      <c r="J446" s="20" t="n">
        <v>135000</v>
      </c>
      <c r="K446" s="20" t="n">
        <v>540000</v>
      </c>
      <c r="L446" s="10">
        <f>IF($B446="","",TEXT($B446,"YYYY-MM"))</f>
        <v/>
      </c>
    </row>
    <row r="447">
      <c r="A447" s="10" t="inlineStr">
        <is>
          <t>INV-70185</t>
        </is>
      </c>
      <c r="B447" s="18" t="n">
        <v>45802</v>
      </c>
      <c r="C447" s="10" t="inlineStr">
        <is>
          <t>C1052</t>
        </is>
      </c>
      <c r="D447" s="10" t="inlineStr">
        <is>
          <t>regular</t>
        </is>
      </c>
      <c r="E447" s="10" t="inlineStr">
        <is>
          <t>Shopee</t>
        </is>
      </c>
      <c r="F447" s="10" t="inlineStr">
        <is>
          <t>Jawa Barat</t>
        </is>
      </c>
      <c r="G447" s="10" t="inlineStr">
        <is>
          <t>Rumah Tangga</t>
        </is>
      </c>
      <c r="H447" s="10" t="inlineStr">
        <is>
          <t>Set Wadah Kedap</t>
        </is>
      </c>
      <c r="I447" s="19" t="n">
        <v>2</v>
      </c>
      <c r="J447" s="20" t="n">
        <v>135000</v>
      </c>
      <c r="K447" s="20" t="n">
        <v>270000</v>
      </c>
      <c r="L447" s="10">
        <f>IF($B447="","",TEXT($B447,"YYYY-MM"))</f>
        <v/>
      </c>
    </row>
    <row r="448">
      <c r="A448" s="10" t="inlineStr">
        <is>
          <t>INV-71433</t>
        </is>
      </c>
      <c r="B448" s="18" t="n">
        <v>45802</v>
      </c>
      <c r="C448" s="10" t="inlineStr">
        <is>
          <t>C1394</t>
        </is>
      </c>
      <c r="D448" s="10" t="inlineStr">
        <is>
          <t>loyal</t>
        </is>
      </c>
      <c r="E448" s="10" t="inlineStr">
        <is>
          <t>TikTok Shop</t>
        </is>
      </c>
      <c r="F448" s="10" t="inlineStr">
        <is>
          <t>Lainnya</t>
        </is>
      </c>
      <c r="G448" s="10" t="inlineStr">
        <is>
          <t>Elektronik</t>
        </is>
      </c>
      <c r="H448" s="10" t="inlineStr">
        <is>
          <t>Power Bank 20K</t>
        </is>
      </c>
      <c r="I448" s="19" t="n">
        <v>1</v>
      </c>
      <c r="J448" s="20" t="n">
        <v>185000</v>
      </c>
      <c r="K448" s="20" t="n">
        <v>185000</v>
      </c>
      <c r="L448" s="10">
        <f>IF($B448="","",TEXT($B448,"YYYY-MM"))</f>
        <v/>
      </c>
    </row>
    <row r="449">
      <c r="A449" s="10" t="inlineStr">
        <is>
          <t>INV-71188</t>
        </is>
      </c>
      <c r="B449" s="18" t="n">
        <v>45802</v>
      </c>
      <c r="C449" s="10" t="inlineStr">
        <is>
          <t>C1334</t>
        </is>
      </c>
      <c r="D449" s="10" t="inlineStr">
        <is>
          <t>champion</t>
        </is>
      </c>
      <c r="E449" s="10" t="inlineStr">
        <is>
          <t>Shopee</t>
        </is>
      </c>
      <c r="F449" s="10" t="inlineStr">
        <is>
          <t>Jabodetabek</t>
        </is>
      </c>
      <c r="G449" s="10" t="inlineStr">
        <is>
          <t>Kecantikan</t>
        </is>
      </c>
      <c r="H449" s="10" t="inlineStr">
        <is>
          <t>Masker Wajah (5s)</t>
        </is>
      </c>
      <c r="I449" s="19" t="n">
        <v>1</v>
      </c>
      <c r="J449" s="20" t="n">
        <v>55000</v>
      </c>
      <c r="K449" s="20" t="n">
        <v>55000</v>
      </c>
      <c r="L449" s="10">
        <f>IF($B449="","",TEXT($B449,"YYYY-MM"))</f>
        <v/>
      </c>
    </row>
    <row r="450">
      <c r="A450" s="10" t="inlineStr">
        <is>
          <t>INV-70907</t>
        </is>
      </c>
      <c r="B450" s="18" t="n">
        <v>45802</v>
      </c>
      <c r="C450" s="10" t="inlineStr">
        <is>
          <t>C1256</t>
        </is>
      </c>
      <c r="D450" s="10" t="inlineStr">
        <is>
          <t>loyal</t>
        </is>
      </c>
      <c r="E450" s="10" t="inlineStr">
        <is>
          <t>Tokopedia</t>
        </is>
      </c>
      <c r="F450" s="10" t="inlineStr">
        <is>
          <t>Jawa Tengah</t>
        </is>
      </c>
      <c r="G450" s="10" t="inlineStr">
        <is>
          <t>Fashion</t>
        </is>
      </c>
      <c r="H450" s="10" t="inlineStr">
        <is>
          <t>Celana Chino</t>
        </is>
      </c>
      <c r="I450" s="19" t="n">
        <v>2</v>
      </c>
      <c r="J450" s="20" t="n">
        <v>195000</v>
      </c>
      <c r="K450" s="20" t="n">
        <v>390000</v>
      </c>
      <c r="L450" s="10">
        <f>IF($B450="","",TEXT($B450,"YYYY-MM"))</f>
        <v/>
      </c>
    </row>
    <row r="451">
      <c r="A451" s="10" t="inlineStr">
        <is>
          <t>INV-70161</t>
        </is>
      </c>
      <c r="B451" s="18" t="n">
        <v>45802</v>
      </c>
      <c r="C451" s="10" t="inlineStr">
        <is>
          <t>C1048</t>
        </is>
      </c>
      <c r="D451" s="10" t="inlineStr">
        <is>
          <t>occasional</t>
        </is>
      </c>
      <c r="E451" s="10" t="inlineStr">
        <is>
          <t>Offline Store</t>
        </is>
      </c>
      <c r="F451" s="10" t="inlineStr">
        <is>
          <t>Sumatera</t>
        </is>
      </c>
      <c r="G451" s="10" t="inlineStr">
        <is>
          <t>Kecantikan</t>
        </is>
      </c>
      <c r="H451" s="10" t="inlineStr">
        <is>
          <t>Serum Vit C</t>
        </is>
      </c>
      <c r="I451" s="19" t="n">
        <v>1</v>
      </c>
      <c r="J451" s="20" t="n">
        <v>145000</v>
      </c>
      <c r="K451" s="20" t="n">
        <v>145000</v>
      </c>
      <c r="L451" s="10">
        <f>IF($B451="","",TEXT($B451,"YYYY-MM"))</f>
        <v/>
      </c>
    </row>
    <row r="452">
      <c r="A452" s="10" t="inlineStr">
        <is>
          <t>INV-70878</t>
        </is>
      </c>
      <c r="B452" s="18" t="n">
        <v>45803</v>
      </c>
      <c r="C452" s="10" t="inlineStr">
        <is>
          <t>C1246</t>
        </is>
      </c>
      <c r="D452" s="10" t="inlineStr">
        <is>
          <t>champion</t>
        </is>
      </c>
      <c r="E452" s="10" t="inlineStr">
        <is>
          <t>Offline Store</t>
        </is>
      </c>
      <c r="F452" s="10" t="inlineStr">
        <is>
          <t>Lainnya</t>
        </is>
      </c>
      <c r="G452" s="10" t="inlineStr">
        <is>
          <t>Fashion</t>
        </is>
      </c>
      <c r="H452" s="10" t="inlineStr">
        <is>
          <t>Celana Chino</t>
        </is>
      </c>
      <c r="I452" s="19" t="n">
        <v>3</v>
      </c>
      <c r="J452" s="20" t="n">
        <v>195000</v>
      </c>
      <c r="K452" s="20" t="n">
        <v>585000</v>
      </c>
      <c r="L452" s="10">
        <f>IF($B452="","",TEXT($B452,"YYYY-MM"))</f>
        <v/>
      </c>
    </row>
    <row r="453">
      <c r="A453" s="10" t="inlineStr">
        <is>
          <t>INV-71473</t>
        </is>
      </c>
      <c r="B453" s="18" t="n">
        <v>45804</v>
      </c>
      <c r="C453" s="10" t="inlineStr">
        <is>
          <t>C1406</t>
        </is>
      </c>
      <c r="D453" s="10" t="inlineStr">
        <is>
          <t>regular</t>
        </is>
      </c>
      <c r="E453" s="10" t="inlineStr">
        <is>
          <t>Offline Store</t>
        </is>
      </c>
      <c r="F453" s="10" t="inlineStr">
        <is>
          <t>Jawa Barat</t>
        </is>
      </c>
      <c r="G453" s="10" t="inlineStr">
        <is>
          <t>Elektronik</t>
        </is>
      </c>
      <c r="H453" s="10" t="inlineStr">
        <is>
          <t>Webcam HD</t>
        </is>
      </c>
      <c r="I453" s="19" t="n">
        <v>1</v>
      </c>
      <c r="J453" s="20" t="n">
        <v>210000</v>
      </c>
      <c r="K453" s="20" t="n">
        <v>210000</v>
      </c>
      <c r="L453" s="10">
        <f>IF($B453="","",TEXT($B453,"YYYY-MM"))</f>
        <v/>
      </c>
    </row>
    <row r="454">
      <c r="A454" s="10" t="inlineStr">
        <is>
          <t>INV-70444</t>
        </is>
      </c>
      <c r="B454" s="18" t="n">
        <v>45804</v>
      </c>
      <c r="C454" s="10" t="inlineStr">
        <is>
          <t>C1125</t>
        </is>
      </c>
      <c r="D454" s="10" t="inlineStr">
        <is>
          <t>regular</t>
        </is>
      </c>
      <c r="E454" s="10" t="inlineStr">
        <is>
          <t>Shopee</t>
        </is>
      </c>
      <c r="F454" s="10" t="inlineStr">
        <is>
          <t>Jabodetabek</t>
        </is>
      </c>
      <c r="G454" s="10" t="inlineStr">
        <is>
          <t>Kecantikan</t>
        </is>
      </c>
      <c r="H454" s="10" t="inlineStr">
        <is>
          <t>Toner Glow</t>
        </is>
      </c>
      <c r="I454" s="19" t="n">
        <v>1</v>
      </c>
      <c r="J454" s="20" t="n">
        <v>88000</v>
      </c>
      <c r="K454" s="20" t="n">
        <v>88000</v>
      </c>
      <c r="L454" s="10">
        <f>IF($B454="","",TEXT($B454,"YYYY-MM"))</f>
        <v/>
      </c>
    </row>
    <row r="455">
      <c r="A455" s="10" t="inlineStr">
        <is>
          <t>INV-70375</t>
        </is>
      </c>
      <c r="B455" s="18" t="n">
        <v>45804</v>
      </c>
      <c r="C455" s="10" t="inlineStr">
        <is>
          <t>C1109</t>
        </is>
      </c>
      <c r="D455" s="10" t="inlineStr">
        <is>
          <t>occasional</t>
        </is>
      </c>
      <c r="E455" s="10" t="inlineStr">
        <is>
          <t>Tokopedia</t>
        </is>
      </c>
      <c r="F455" s="10" t="inlineStr">
        <is>
          <t>Sumatera</t>
        </is>
      </c>
      <c r="G455" s="10" t="inlineStr">
        <is>
          <t>Kecantikan</t>
        </is>
      </c>
      <c r="H455" s="10" t="inlineStr">
        <is>
          <t>Masker Wajah (5s)</t>
        </is>
      </c>
      <c r="I455" s="19" t="n">
        <v>1</v>
      </c>
      <c r="J455" s="20" t="n">
        <v>55000</v>
      </c>
      <c r="K455" s="20" t="n">
        <v>55000</v>
      </c>
      <c r="L455" s="10">
        <f>IF($B455="","",TEXT($B455,"YYYY-MM"))</f>
        <v/>
      </c>
    </row>
    <row r="456">
      <c r="A456" s="10" t="inlineStr">
        <is>
          <t>INV-71129</t>
        </is>
      </c>
      <c r="B456" s="18" t="n">
        <v>45804</v>
      </c>
      <c r="C456" s="10" t="inlineStr">
        <is>
          <t>C1320</t>
        </is>
      </c>
      <c r="D456" s="10" t="inlineStr">
        <is>
          <t>occasional</t>
        </is>
      </c>
      <c r="E456" s="10" t="inlineStr">
        <is>
          <t>TikTok Shop</t>
        </is>
      </c>
      <c r="F456" s="10" t="inlineStr">
        <is>
          <t>Jawa Timur</t>
        </is>
      </c>
      <c r="G456" s="10" t="inlineStr">
        <is>
          <t>Kecantikan</t>
        </is>
      </c>
      <c r="H456" s="10" t="inlineStr">
        <is>
          <t>Masker Wajah (5s)</t>
        </is>
      </c>
      <c r="I456" s="19" t="n">
        <v>1</v>
      </c>
      <c r="J456" s="20" t="n">
        <v>55000</v>
      </c>
      <c r="K456" s="20" t="n">
        <v>55000</v>
      </c>
      <c r="L456" s="10">
        <f>IF($B456="","",TEXT($B456,"YYYY-MM"))</f>
        <v/>
      </c>
    </row>
    <row r="457">
      <c r="A457" s="10" t="inlineStr">
        <is>
          <t>INV-70672</t>
        </is>
      </c>
      <c r="B457" s="18" t="n">
        <v>45804</v>
      </c>
      <c r="C457" s="10" t="inlineStr">
        <is>
          <t>C1184</t>
        </is>
      </c>
      <c r="D457" s="10" t="inlineStr">
        <is>
          <t>loyal</t>
        </is>
      </c>
      <c r="E457" s="10" t="inlineStr">
        <is>
          <t>Offline Store</t>
        </is>
      </c>
      <c r="F457" s="10" t="inlineStr">
        <is>
          <t>Jawa Timur</t>
        </is>
      </c>
      <c r="G457" s="10" t="inlineStr">
        <is>
          <t>Makanan</t>
        </is>
      </c>
      <c r="H457" s="10" t="inlineStr">
        <is>
          <t>Granola 500g</t>
        </is>
      </c>
      <c r="I457" s="19" t="n">
        <v>4</v>
      </c>
      <c r="J457" s="20" t="n">
        <v>92000</v>
      </c>
      <c r="K457" s="20" t="n">
        <v>368000</v>
      </c>
      <c r="L457" s="10">
        <f>IF($B457="","",TEXT($B457,"YYYY-MM"))</f>
        <v/>
      </c>
    </row>
    <row r="458">
      <c r="A458" s="10" t="inlineStr">
        <is>
          <t>INV-70620</t>
        </is>
      </c>
      <c r="B458" s="18" t="n">
        <v>45804</v>
      </c>
      <c r="C458" s="10" t="inlineStr">
        <is>
          <t>C1170</t>
        </is>
      </c>
      <c r="D458" s="10" t="inlineStr">
        <is>
          <t>champion</t>
        </is>
      </c>
      <c r="E458" s="10" t="inlineStr">
        <is>
          <t>TikTok Shop</t>
        </is>
      </c>
      <c r="F458" s="10" t="inlineStr">
        <is>
          <t>Jabodetabek</t>
        </is>
      </c>
      <c r="G458" s="10" t="inlineStr">
        <is>
          <t>Rumah Tangga</t>
        </is>
      </c>
      <c r="H458" s="10" t="inlineStr">
        <is>
          <t>Set Wadah Kedap</t>
        </is>
      </c>
      <c r="I458" s="19" t="n">
        <v>2</v>
      </c>
      <c r="J458" s="20" t="n">
        <v>135000</v>
      </c>
      <c r="K458" s="20" t="n">
        <v>270000</v>
      </c>
      <c r="L458" s="10">
        <f>IF($B458="","",TEXT($B458,"YYYY-MM"))</f>
        <v/>
      </c>
    </row>
    <row r="459">
      <c r="A459" s="10" t="inlineStr">
        <is>
          <t>INV-70458</t>
        </is>
      </c>
      <c r="B459" s="18" t="n">
        <v>45809</v>
      </c>
      <c r="C459" s="10" t="inlineStr">
        <is>
          <t>C1130</t>
        </is>
      </c>
      <c r="D459" s="10" t="inlineStr">
        <is>
          <t>loyal</t>
        </is>
      </c>
      <c r="E459" s="10" t="inlineStr">
        <is>
          <t>Tokopedia</t>
        </is>
      </c>
      <c r="F459" s="10" t="inlineStr">
        <is>
          <t>Jabodetabek</t>
        </is>
      </c>
      <c r="G459" s="10" t="inlineStr">
        <is>
          <t>Kecantikan</t>
        </is>
      </c>
      <c r="H459" s="10" t="inlineStr">
        <is>
          <t>Masker Wajah (5s)</t>
        </is>
      </c>
      <c r="I459" s="19" t="n">
        <v>3</v>
      </c>
      <c r="J459" s="20" t="n">
        <v>55000</v>
      </c>
      <c r="K459" s="20" t="n">
        <v>165000</v>
      </c>
      <c r="L459" s="10">
        <f>IF($B459="","",TEXT($B459,"YYYY-MM"))</f>
        <v/>
      </c>
    </row>
    <row r="460">
      <c r="A460" s="10" t="inlineStr">
        <is>
          <t>INV-70098</t>
        </is>
      </c>
      <c r="B460" s="18" t="n">
        <v>45809</v>
      </c>
      <c r="C460" s="10" t="inlineStr">
        <is>
          <t>C1029</t>
        </is>
      </c>
      <c r="D460" s="10" t="inlineStr">
        <is>
          <t>champion</t>
        </is>
      </c>
      <c r="E460" s="10" t="inlineStr">
        <is>
          <t>TikTok Shop</t>
        </is>
      </c>
      <c r="F460" s="10" t="inlineStr">
        <is>
          <t>Jawa Barat</t>
        </is>
      </c>
      <c r="G460" s="10" t="inlineStr">
        <is>
          <t>Rumah Tangga</t>
        </is>
      </c>
      <c r="H460" s="10" t="inlineStr">
        <is>
          <t>Karpet Bulu</t>
        </is>
      </c>
      <c r="I460" s="19" t="n">
        <v>4</v>
      </c>
      <c r="J460" s="20" t="n">
        <v>240000</v>
      </c>
      <c r="K460" s="20" t="n">
        <v>960000</v>
      </c>
      <c r="L460" s="10">
        <f>IF($B460="","",TEXT($B460,"YYYY-MM"))</f>
        <v/>
      </c>
    </row>
    <row r="461">
      <c r="A461" s="10" t="inlineStr">
        <is>
          <t>INV-70052</t>
        </is>
      </c>
      <c r="B461" s="18" t="n">
        <v>45809</v>
      </c>
      <c r="C461" s="10" t="inlineStr">
        <is>
          <t>C1012</t>
        </is>
      </c>
      <c r="D461" s="10" t="inlineStr">
        <is>
          <t>loyal</t>
        </is>
      </c>
      <c r="E461" s="10" t="inlineStr">
        <is>
          <t>Shopee</t>
        </is>
      </c>
      <c r="F461" s="10" t="inlineStr">
        <is>
          <t>Jawa Timur</t>
        </is>
      </c>
      <c r="G461" s="10" t="inlineStr">
        <is>
          <t>Kecantikan</t>
        </is>
      </c>
      <c r="H461" s="10" t="inlineStr">
        <is>
          <t>Masker Wajah (5s)</t>
        </is>
      </c>
      <c r="I461" s="19" t="n">
        <v>1</v>
      </c>
      <c r="J461" s="20" t="n">
        <v>55000</v>
      </c>
      <c r="K461" s="20" t="n">
        <v>55000</v>
      </c>
      <c r="L461" s="10">
        <f>IF($B461="","",TEXT($B461,"YYYY-MM"))</f>
        <v/>
      </c>
    </row>
    <row r="462">
      <c r="A462" s="10" t="inlineStr">
        <is>
          <t>INV-70136</t>
        </is>
      </c>
      <c r="B462" s="18" t="n">
        <v>45809</v>
      </c>
      <c r="C462" s="10" t="inlineStr">
        <is>
          <t>C1039</t>
        </is>
      </c>
      <c r="D462" s="10" t="inlineStr">
        <is>
          <t>loyal</t>
        </is>
      </c>
      <c r="E462" s="10" t="inlineStr">
        <is>
          <t>Tokopedia</t>
        </is>
      </c>
      <c r="F462" s="10" t="inlineStr">
        <is>
          <t>Jabodetabek</t>
        </is>
      </c>
      <c r="G462" s="10" t="inlineStr">
        <is>
          <t>Rumah Tangga</t>
        </is>
      </c>
      <c r="H462" s="10" t="inlineStr">
        <is>
          <t>Organizer Laci</t>
        </is>
      </c>
      <c r="I462" s="19" t="n">
        <v>4</v>
      </c>
      <c r="J462" s="20" t="n">
        <v>78000</v>
      </c>
      <c r="K462" s="20" t="n">
        <v>312000</v>
      </c>
      <c r="L462" s="10">
        <f>IF($B462="","",TEXT($B462,"YYYY-MM"))</f>
        <v/>
      </c>
    </row>
    <row r="463">
      <c r="A463" s="10" t="inlineStr">
        <is>
          <t>INV-71227</t>
        </is>
      </c>
      <c r="B463" s="18" t="n">
        <v>45810</v>
      </c>
      <c r="C463" s="10" t="inlineStr">
        <is>
          <t>C1348</t>
        </is>
      </c>
      <c r="D463" s="10" t="inlineStr">
        <is>
          <t>loyal</t>
        </is>
      </c>
      <c r="E463" s="10" t="inlineStr">
        <is>
          <t>Tokopedia</t>
        </is>
      </c>
      <c r="F463" s="10" t="inlineStr">
        <is>
          <t>Jabodetabek</t>
        </is>
      </c>
      <c r="G463" s="10" t="inlineStr">
        <is>
          <t>Rumah Tangga</t>
        </is>
      </c>
      <c r="H463" s="10" t="inlineStr">
        <is>
          <t>Set Wadah Kedap</t>
        </is>
      </c>
      <c r="I463" s="19" t="n">
        <v>1</v>
      </c>
      <c r="J463" s="20" t="n">
        <v>135000</v>
      </c>
      <c r="K463" s="20" t="n">
        <v>135000</v>
      </c>
      <c r="L463" s="10">
        <f>IF($B463="","",TEXT($B463,"YYYY-MM"))</f>
        <v/>
      </c>
    </row>
    <row r="464">
      <c r="A464" s="10" t="inlineStr">
        <is>
          <t>INV-71100</t>
        </is>
      </c>
      <c r="B464" s="18" t="n">
        <v>45811</v>
      </c>
      <c r="C464" s="10" t="inlineStr">
        <is>
          <t>C1309</t>
        </is>
      </c>
      <c r="D464" s="10" t="inlineStr">
        <is>
          <t>regular</t>
        </is>
      </c>
      <c r="E464" s="10" t="inlineStr">
        <is>
          <t>TikTok Shop</t>
        </is>
      </c>
      <c r="F464" s="10" t="inlineStr">
        <is>
          <t>Jawa Barat</t>
        </is>
      </c>
      <c r="G464" s="10" t="inlineStr">
        <is>
          <t>Fashion</t>
        </is>
      </c>
      <c r="H464" s="10" t="inlineStr">
        <is>
          <t>Dress Casual</t>
        </is>
      </c>
      <c r="I464" s="19" t="n">
        <v>1</v>
      </c>
      <c r="J464" s="20" t="n">
        <v>225000</v>
      </c>
      <c r="K464" s="20" t="n">
        <v>225000</v>
      </c>
      <c r="L464" s="10">
        <f>IF($B464="","",TEXT($B464,"YYYY-MM"))</f>
        <v/>
      </c>
    </row>
    <row r="465">
      <c r="A465" s="10" t="inlineStr">
        <is>
          <t>INV-70011</t>
        </is>
      </c>
      <c r="B465" s="18" t="n">
        <v>45811</v>
      </c>
      <c r="C465" s="10" t="inlineStr">
        <is>
          <t>C1002</t>
        </is>
      </c>
      <c r="D465" s="10" t="inlineStr">
        <is>
          <t>loyal</t>
        </is>
      </c>
      <c r="E465" s="10" t="inlineStr">
        <is>
          <t>TikTok Shop</t>
        </is>
      </c>
      <c r="F465" s="10" t="inlineStr">
        <is>
          <t>Jabodetabek</t>
        </is>
      </c>
      <c r="G465" s="10" t="inlineStr">
        <is>
          <t>Elektronik</t>
        </is>
      </c>
      <c r="H465" s="10" t="inlineStr">
        <is>
          <t>Webcam HD</t>
        </is>
      </c>
      <c r="I465" s="19" t="n">
        <v>2</v>
      </c>
      <c r="J465" s="20" t="n">
        <v>210000</v>
      </c>
      <c r="K465" s="20" t="n">
        <v>420000</v>
      </c>
      <c r="L465" s="10">
        <f>IF($B465="","",TEXT($B465,"YYYY-MM"))</f>
        <v/>
      </c>
    </row>
    <row r="466">
      <c r="A466" s="10" t="inlineStr">
        <is>
          <t>INV-70701</t>
        </is>
      </c>
      <c r="B466" s="18" t="n">
        <v>45811</v>
      </c>
      <c r="C466" s="10" t="inlineStr">
        <is>
          <t>C1195</t>
        </is>
      </c>
      <c r="D466" s="10" t="inlineStr">
        <is>
          <t>champion</t>
        </is>
      </c>
      <c r="E466" s="10" t="inlineStr">
        <is>
          <t>Shopee</t>
        </is>
      </c>
      <c r="F466" s="10" t="inlineStr">
        <is>
          <t>Jawa Barat</t>
        </is>
      </c>
      <c r="G466" s="10" t="inlineStr">
        <is>
          <t>Fashion</t>
        </is>
      </c>
      <c r="H466" s="10" t="inlineStr">
        <is>
          <t>Celana Chino</t>
        </is>
      </c>
      <c r="I466" s="19" t="n">
        <v>4</v>
      </c>
      <c r="J466" s="20" t="n">
        <v>195000</v>
      </c>
      <c r="K466" s="20" t="n">
        <v>780000</v>
      </c>
      <c r="L466" s="10">
        <f>IF($B466="","",TEXT($B466,"YYYY-MM"))</f>
        <v/>
      </c>
    </row>
    <row r="467">
      <c r="A467" s="10" t="inlineStr">
        <is>
          <t>INV-70121</t>
        </is>
      </c>
      <c r="B467" s="18" t="n">
        <v>45812</v>
      </c>
      <c r="C467" s="10" t="inlineStr">
        <is>
          <t>C1038</t>
        </is>
      </c>
      <c r="D467" s="10" t="inlineStr">
        <is>
          <t>champion</t>
        </is>
      </c>
      <c r="E467" s="10" t="inlineStr">
        <is>
          <t>Shopee</t>
        </is>
      </c>
      <c r="F467" s="10" t="inlineStr">
        <is>
          <t>Jawa Barat</t>
        </is>
      </c>
      <c r="G467" s="10" t="inlineStr">
        <is>
          <t>Rumah Tangga</t>
        </is>
      </c>
      <c r="H467" s="10" t="inlineStr">
        <is>
          <t>Organizer Laci</t>
        </is>
      </c>
      <c r="I467" s="19" t="n">
        <v>2</v>
      </c>
      <c r="J467" s="20" t="n">
        <v>78000</v>
      </c>
      <c r="K467" s="20" t="n">
        <v>156000</v>
      </c>
      <c r="L467" s="10">
        <f>IF($B467="","",TEXT($B467,"YYYY-MM"))</f>
        <v/>
      </c>
    </row>
    <row r="468">
      <c r="A468" s="10" t="inlineStr">
        <is>
          <t>INV-70183</t>
        </is>
      </c>
      <c r="B468" s="18" t="n">
        <v>45812</v>
      </c>
      <c r="C468" s="10" t="inlineStr">
        <is>
          <t>C1052</t>
        </is>
      </c>
      <c r="D468" s="10" t="inlineStr">
        <is>
          <t>regular</t>
        </is>
      </c>
      <c r="E468" s="10" t="inlineStr">
        <is>
          <t>Shopee</t>
        </is>
      </c>
      <c r="F468" s="10" t="inlineStr">
        <is>
          <t>Jabodetabek</t>
        </is>
      </c>
      <c r="G468" s="10" t="inlineStr">
        <is>
          <t>Rumah Tangga</t>
        </is>
      </c>
      <c r="H468" s="10" t="inlineStr">
        <is>
          <t>Set Wadah Kedap</t>
        </is>
      </c>
      <c r="I468" s="19" t="n">
        <v>1</v>
      </c>
      <c r="J468" s="20" t="n">
        <v>135000</v>
      </c>
      <c r="K468" s="20" t="n">
        <v>135000</v>
      </c>
      <c r="L468" s="10">
        <f>IF($B468="","",TEXT($B468,"YYYY-MM"))</f>
        <v/>
      </c>
    </row>
    <row r="469">
      <c r="A469" s="10" t="inlineStr">
        <is>
          <t>INV-70431</t>
        </is>
      </c>
      <c r="B469" s="18" t="n">
        <v>45813</v>
      </c>
      <c r="C469" s="10" t="inlineStr">
        <is>
          <t>C1122</t>
        </is>
      </c>
      <c r="D469" s="10" t="inlineStr">
        <is>
          <t>loyal</t>
        </is>
      </c>
      <c r="E469" s="10" t="inlineStr">
        <is>
          <t>Shopee</t>
        </is>
      </c>
      <c r="F469" s="10" t="inlineStr">
        <is>
          <t>Jabodetabek</t>
        </is>
      </c>
      <c r="G469" s="10" t="inlineStr">
        <is>
          <t>Rumah Tangga</t>
        </is>
      </c>
      <c r="H469" s="10" t="inlineStr">
        <is>
          <t>Diffuser Aroma</t>
        </is>
      </c>
      <c r="I469" s="19" t="n">
        <v>2</v>
      </c>
      <c r="J469" s="20" t="n">
        <v>195000</v>
      </c>
      <c r="K469" s="20" t="n">
        <v>390000</v>
      </c>
      <c r="L469" s="10">
        <f>IF($B469="","",TEXT($B469,"YYYY-MM"))</f>
        <v/>
      </c>
    </row>
    <row r="470">
      <c r="A470" s="10" t="inlineStr">
        <is>
          <t>INV-70568</t>
        </is>
      </c>
      <c r="B470" s="18" t="n">
        <v>45813</v>
      </c>
      <c r="C470" s="10" t="inlineStr">
        <is>
          <t>C1156</t>
        </is>
      </c>
      <c r="D470" s="10" t="inlineStr">
        <is>
          <t>champion</t>
        </is>
      </c>
      <c r="E470" s="10" t="inlineStr">
        <is>
          <t>TikTok Shop</t>
        </is>
      </c>
      <c r="F470" s="10" t="inlineStr">
        <is>
          <t>Jawa Tengah</t>
        </is>
      </c>
      <c r="G470" s="10" t="inlineStr">
        <is>
          <t>Kecantikan</t>
        </is>
      </c>
      <c r="H470" s="10" t="inlineStr">
        <is>
          <t>Lip Tint</t>
        </is>
      </c>
      <c r="I470" s="19" t="n">
        <v>1</v>
      </c>
      <c r="J470" s="20" t="n">
        <v>65000</v>
      </c>
      <c r="K470" s="20" t="n">
        <v>65000</v>
      </c>
      <c r="L470" s="10">
        <f>IF($B470="","",TEXT($B470,"YYYY-MM"))</f>
        <v/>
      </c>
    </row>
    <row r="471">
      <c r="A471" s="10" t="inlineStr">
        <is>
          <t>INV-70225</t>
        </is>
      </c>
      <c r="B471" s="18" t="n">
        <v>45813</v>
      </c>
      <c r="C471" s="10" t="inlineStr">
        <is>
          <t>C1064</t>
        </is>
      </c>
      <c r="D471" s="10" t="inlineStr">
        <is>
          <t>loyal</t>
        </is>
      </c>
      <c r="E471" s="10" t="inlineStr">
        <is>
          <t>Shopee</t>
        </is>
      </c>
      <c r="F471" s="10" t="inlineStr">
        <is>
          <t>Jabodetabek</t>
        </is>
      </c>
      <c r="G471" s="10" t="inlineStr">
        <is>
          <t>Rumah Tangga</t>
        </is>
      </c>
      <c r="H471" s="10" t="inlineStr">
        <is>
          <t>Organizer Laci</t>
        </is>
      </c>
      <c r="I471" s="19" t="n">
        <v>1</v>
      </c>
      <c r="J471" s="20" t="n">
        <v>78000</v>
      </c>
      <c r="K471" s="20" t="n">
        <v>78000</v>
      </c>
      <c r="L471" s="10">
        <f>IF($B471="","",TEXT($B471,"YYYY-MM"))</f>
        <v/>
      </c>
    </row>
    <row r="472">
      <c r="A472" s="10" t="inlineStr">
        <is>
          <t>INV-71075</t>
        </is>
      </c>
      <c r="B472" s="18" t="n">
        <v>45813</v>
      </c>
      <c r="C472" s="10" t="inlineStr">
        <is>
          <t>C1302</t>
        </is>
      </c>
      <c r="D472" s="10" t="inlineStr">
        <is>
          <t>champion</t>
        </is>
      </c>
      <c r="E472" s="10" t="inlineStr">
        <is>
          <t>Offline Store</t>
        </is>
      </c>
      <c r="F472" s="10" t="inlineStr">
        <is>
          <t>Jabodetabek</t>
        </is>
      </c>
      <c r="G472" s="10" t="inlineStr">
        <is>
          <t>Fashion</t>
        </is>
      </c>
      <c r="H472" s="10" t="inlineStr">
        <is>
          <t>Dress Casual</t>
        </is>
      </c>
      <c r="I472" s="19" t="n">
        <v>1</v>
      </c>
      <c r="J472" s="20" t="n">
        <v>225000</v>
      </c>
      <c r="K472" s="20" t="n">
        <v>225000</v>
      </c>
      <c r="L472" s="10">
        <f>IF($B472="","",TEXT($B472,"YYYY-MM"))</f>
        <v/>
      </c>
    </row>
    <row r="473">
      <c r="A473" s="10" t="inlineStr">
        <is>
          <t>INV-70429</t>
        </is>
      </c>
      <c r="B473" s="18" t="n">
        <v>45814</v>
      </c>
      <c r="C473" s="10" t="inlineStr">
        <is>
          <t>C1122</t>
        </is>
      </c>
      <c r="D473" s="10" t="inlineStr">
        <is>
          <t>loyal</t>
        </is>
      </c>
      <c r="E473" s="10" t="inlineStr">
        <is>
          <t>Offline Store</t>
        </is>
      </c>
      <c r="F473" s="10" t="inlineStr">
        <is>
          <t>Jawa Barat</t>
        </is>
      </c>
      <c r="G473" s="10" t="inlineStr">
        <is>
          <t>Fashion</t>
        </is>
      </c>
      <c r="H473" s="10" t="inlineStr">
        <is>
          <t>Celana Chino</t>
        </is>
      </c>
      <c r="I473" s="19" t="n">
        <v>1</v>
      </c>
      <c r="J473" s="20" t="n">
        <v>195000</v>
      </c>
      <c r="K473" s="20" t="n">
        <v>195000</v>
      </c>
      <c r="L473" s="10">
        <f>IF($B473="","",TEXT($B473,"YYYY-MM"))</f>
        <v/>
      </c>
    </row>
    <row r="474">
      <c r="A474" s="10" t="inlineStr">
        <is>
          <t>INV-70001</t>
        </is>
      </c>
      <c r="B474" s="18" t="n">
        <v>45814</v>
      </c>
      <c r="C474" s="10" t="inlineStr">
        <is>
          <t>C1000</t>
        </is>
      </c>
      <c r="D474" s="10" t="inlineStr">
        <is>
          <t>loyal</t>
        </is>
      </c>
      <c r="E474" s="10" t="inlineStr">
        <is>
          <t>Tokopedia</t>
        </is>
      </c>
      <c r="F474" s="10" t="inlineStr">
        <is>
          <t>Jawa Barat</t>
        </is>
      </c>
      <c r="G474" s="10" t="inlineStr">
        <is>
          <t>Elektronik</t>
        </is>
      </c>
      <c r="H474" s="10" t="inlineStr">
        <is>
          <t>Power Bank 20K</t>
        </is>
      </c>
      <c r="I474" s="19" t="n">
        <v>4</v>
      </c>
      <c r="J474" s="20" t="n">
        <v>185000</v>
      </c>
      <c r="K474" s="20" t="n">
        <v>740000</v>
      </c>
      <c r="L474" s="10">
        <f>IF($B474="","",TEXT($B474,"YYYY-MM"))</f>
        <v/>
      </c>
    </row>
    <row r="475">
      <c r="A475" s="10" t="inlineStr">
        <is>
          <t>INV-70699</t>
        </is>
      </c>
      <c r="B475" s="18" t="n">
        <v>45814</v>
      </c>
      <c r="C475" s="10" t="inlineStr">
        <is>
          <t>C1194</t>
        </is>
      </c>
      <c r="D475" s="10" t="inlineStr">
        <is>
          <t>onetime</t>
        </is>
      </c>
      <c r="E475" s="10" t="inlineStr">
        <is>
          <t>Shopee</t>
        </is>
      </c>
      <c r="F475" s="10" t="inlineStr">
        <is>
          <t>Sumatera</t>
        </is>
      </c>
      <c r="G475" s="10" t="inlineStr">
        <is>
          <t>Kecantikan</t>
        </is>
      </c>
      <c r="H475" s="10" t="inlineStr">
        <is>
          <t>Lip Tint</t>
        </is>
      </c>
      <c r="I475" s="19" t="n">
        <v>1</v>
      </c>
      <c r="J475" s="20" t="n">
        <v>65000</v>
      </c>
      <c r="K475" s="20" t="n">
        <v>65000</v>
      </c>
      <c r="L475" s="10">
        <f>IF($B475="","",TEXT($B475,"YYYY-MM"))</f>
        <v/>
      </c>
    </row>
    <row r="476">
      <c r="A476" s="10" t="inlineStr">
        <is>
          <t>INV-71476</t>
        </is>
      </c>
      <c r="B476" s="18" t="n">
        <v>45815</v>
      </c>
      <c r="C476" s="10" t="inlineStr">
        <is>
          <t>C1408</t>
        </is>
      </c>
      <c r="D476" s="10" t="inlineStr">
        <is>
          <t>regular</t>
        </is>
      </c>
      <c r="E476" s="10" t="inlineStr">
        <is>
          <t>Shopee</t>
        </is>
      </c>
      <c r="F476" s="10" t="inlineStr">
        <is>
          <t>Lainnya</t>
        </is>
      </c>
      <c r="G476" s="10" t="inlineStr">
        <is>
          <t>Elektronik</t>
        </is>
      </c>
      <c r="H476" s="10" t="inlineStr">
        <is>
          <t>Smartwatch</t>
        </is>
      </c>
      <c r="I476" s="19" t="n">
        <v>2</v>
      </c>
      <c r="J476" s="20" t="n">
        <v>450000</v>
      </c>
      <c r="K476" s="20" t="n">
        <v>900000</v>
      </c>
      <c r="L476" s="10">
        <f>IF($B476="","",TEXT($B476,"YYYY-MM"))</f>
        <v/>
      </c>
    </row>
    <row r="477">
      <c r="A477" s="10" t="inlineStr">
        <is>
          <t>INV-70226</t>
        </is>
      </c>
      <c r="B477" s="18" t="n">
        <v>45815</v>
      </c>
      <c r="C477" s="10" t="inlineStr">
        <is>
          <t>C1064</t>
        </is>
      </c>
      <c r="D477" s="10" t="inlineStr">
        <is>
          <t>loyal</t>
        </is>
      </c>
      <c r="E477" s="10" t="inlineStr">
        <is>
          <t>TikTok Shop</t>
        </is>
      </c>
      <c r="F477" s="10" t="inlineStr">
        <is>
          <t>Jabodetabek</t>
        </is>
      </c>
      <c r="G477" s="10" t="inlineStr">
        <is>
          <t>Kecantikan</t>
        </is>
      </c>
      <c r="H477" s="10" t="inlineStr">
        <is>
          <t>Masker Wajah (5s)</t>
        </is>
      </c>
      <c r="I477" s="19" t="n">
        <v>4</v>
      </c>
      <c r="J477" s="20" t="n">
        <v>55000</v>
      </c>
      <c r="K477" s="20" t="n">
        <v>220000</v>
      </c>
      <c r="L477" s="10">
        <f>IF($B477="","",TEXT($B477,"YYYY-MM"))</f>
        <v/>
      </c>
    </row>
    <row r="478">
      <c r="A478" s="10" t="inlineStr">
        <is>
          <t>INV-70290</t>
        </is>
      </c>
      <c r="B478" s="18" t="n">
        <v>45815</v>
      </c>
      <c r="C478" s="10" t="inlineStr">
        <is>
          <t>C1083</t>
        </is>
      </c>
      <c r="D478" s="10" t="inlineStr">
        <is>
          <t>loyal</t>
        </is>
      </c>
      <c r="E478" s="10" t="inlineStr">
        <is>
          <t>Offline Store</t>
        </is>
      </c>
      <c r="F478" s="10" t="inlineStr">
        <is>
          <t>Jawa Timur</t>
        </is>
      </c>
      <c r="G478" s="10" t="inlineStr">
        <is>
          <t>Rumah Tangga</t>
        </is>
      </c>
      <c r="H478" s="10" t="inlineStr">
        <is>
          <t>Set Wadah Kedap</t>
        </is>
      </c>
      <c r="I478" s="19" t="n">
        <v>1</v>
      </c>
      <c r="J478" s="20" t="n">
        <v>135000</v>
      </c>
      <c r="K478" s="20" t="n">
        <v>135000</v>
      </c>
      <c r="L478" s="10">
        <f>IF($B478="","",TEXT($B478,"YYYY-MM"))</f>
        <v/>
      </c>
    </row>
    <row r="479">
      <c r="A479" s="10" t="inlineStr">
        <is>
          <t>INV-71005</t>
        </is>
      </c>
      <c r="B479" s="18" t="n">
        <v>45815</v>
      </c>
      <c r="C479" s="10" t="inlineStr">
        <is>
          <t>C1287</t>
        </is>
      </c>
      <c r="D479" s="10" t="inlineStr">
        <is>
          <t>champion</t>
        </is>
      </c>
      <c r="E479" s="10" t="inlineStr">
        <is>
          <t>Shopee</t>
        </is>
      </c>
      <c r="F479" s="10" t="inlineStr">
        <is>
          <t>Jawa Barat</t>
        </is>
      </c>
      <c r="G479" s="10" t="inlineStr">
        <is>
          <t>Rumah Tangga</t>
        </is>
      </c>
      <c r="H479" s="10" t="inlineStr">
        <is>
          <t>Set Wadah Kedap</t>
        </is>
      </c>
      <c r="I479" s="19" t="n">
        <v>1</v>
      </c>
      <c r="J479" s="20" t="n">
        <v>135000</v>
      </c>
      <c r="K479" s="20" t="n">
        <v>135000</v>
      </c>
      <c r="L479" s="10">
        <f>IF($B479="","",TEXT($B479,"YYYY-MM"))</f>
        <v/>
      </c>
    </row>
    <row r="480">
      <c r="A480" s="10" t="inlineStr">
        <is>
          <t>INV-70493</t>
        </is>
      </c>
      <c r="B480" s="18" t="n">
        <v>45815</v>
      </c>
      <c r="C480" s="10" t="inlineStr">
        <is>
          <t>C1139</t>
        </is>
      </c>
      <c r="D480" s="10" t="inlineStr">
        <is>
          <t>champion</t>
        </is>
      </c>
      <c r="E480" s="10" t="inlineStr">
        <is>
          <t>TikTok Shop</t>
        </is>
      </c>
      <c r="F480" s="10" t="inlineStr">
        <is>
          <t>Jabodetabek</t>
        </is>
      </c>
      <c r="G480" s="10" t="inlineStr">
        <is>
          <t>Rumah Tangga</t>
        </is>
      </c>
      <c r="H480" s="10" t="inlineStr">
        <is>
          <t>Set Wadah Kedap</t>
        </is>
      </c>
      <c r="I480" s="19" t="n">
        <v>1</v>
      </c>
      <c r="J480" s="20" t="n">
        <v>135000</v>
      </c>
      <c r="K480" s="20" t="n">
        <v>135000</v>
      </c>
      <c r="L480" s="10">
        <f>IF($B480="","",TEXT($B480,"YYYY-MM"))</f>
        <v/>
      </c>
    </row>
    <row r="481">
      <c r="A481" s="10" t="inlineStr">
        <is>
          <t>INV-70101</t>
        </is>
      </c>
      <c r="B481" s="18" t="n">
        <v>45816</v>
      </c>
      <c r="C481" s="10" t="inlineStr">
        <is>
          <t>C1029</t>
        </is>
      </c>
      <c r="D481" s="10" t="inlineStr">
        <is>
          <t>champion</t>
        </is>
      </c>
      <c r="E481" s="10" t="inlineStr">
        <is>
          <t>Tokopedia</t>
        </is>
      </c>
      <c r="F481" s="10" t="inlineStr">
        <is>
          <t>Jawa Timur</t>
        </is>
      </c>
      <c r="G481" s="10" t="inlineStr">
        <is>
          <t>Rumah Tangga</t>
        </is>
      </c>
      <c r="H481" s="10" t="inlineStr">
        <is>
          <t>Set Wadah Kedap</t>
        </is>
      </c>
      <c r="I481" s="19" t="n">
        <v>1</v>
      </c>
      <c r="J481" s="20" t="n">
        <v>135000</v>
      </c>
      <c r="K481" s="20" t="n">
        <v>135000</v>
      </c>
      <c r="L481" s="10">
        <f>IF($B481="","",TEXT($B481,"YYYY-MM"))</f>
        <v/>
      </c>
    </row>
    <row r="482">
      <c r="A482" s="10" t="inlineStr">
        <is>
          <t>INV-70859</t>
        </is>
      </c>
      <c r="B482" s="18" t="n">
        <v>45816</v>
      </c>
      <c r="C482" s="10" t="inlineStr">
        <is>
          <t>C1241</t>
        </is>
      </c>
      <c r="D482" s="10" t="inlineStr">
        <is>
          <t>occasional</t>
        </is>
      </c>
      <c r="E482" s="10" t="inlineStr">
        <is>
          <t>TikTok Shop</t>
        </is>
      </c>
      <c r="F482" s="10" t="inlineStr">
        <is>
          <t>Sumatera</t>
        </is>
      </c>
      <c r="G482" s="10" t="inlineStr">
        <is>
          <t>Elektronik</t>
        </is>
      </c>
      <c r="H482" s="10" t="inlineStr">
        <is>
          <t>Webcam HD</t>
        </is>
      </c>
      <c r="I482" s="19" t="n">
        <v>1</v>
      </c>
      <c r="J482" s="20" t="n">
        <v>210000</v>
      </c>
      <c r="K482" s="20" t="n">
        <v>210000</v>
      </c>
      <c r="L482" s="10">
        <f>IF($B482="","",TEXT($B482,"YYYY-MM"))</f>
        <v/>
      </c>
    </row>
    <row r="483">
      <c r="A483" s="10" t="inlineStr">
        <is>
          <t>INV-71502</t>
        </is>
      </c>
      <c r="B483" s="18" t="n">
        <v>45816</v>
      </c>
      <c r="C483" s="10" t="inlineStr">
        <is>
          <t>C1412</t>
        </is>
      </c>
      <c r="D483" s="10" t="inlineStr">
        <is>
          <t>champion</t>
        </is>
      </c>
      <c r="E483" s="10" t="inlineStr">
        <is>
          <t>TikTok Shop</t>
        </is>
      </c>
      <c r="F483" s="10" t="inlineStr">
        <is>
          <t>Jabodetabek</t>
        </is>
      </c>
      <c r="G483" s="10" t="inlineStr">
        <is>
          <t>Makanan</t>
        </is>
      </c>
      <c r="H483" s="10" t="inlineStr">
        <is>
          <t>Madu Hutan 250ml</t>
        </is>
      </c>
      <c r="I483" s="19" t="n">
        <v>3</v>
      </c>
      <c r="J483" s="20" t="n">
        <v>110000</v>
      </c>
      <c r="K483" s="20" t="n">
        <v>330000</v>
      </c>
      <c r="L483" s="10">
        <f>IF($B483="","",TEXT($B483,"YYYY-MM"))</f>
        <v/>
      </c>
    </row>
    <row r="484">
      <c r="A484" s="10" t="inlineStr">
        <is>
          <t>INV-70200</t>
        </is>
      </c>
      <c r="B484" s="18" t="n">
        <v>45817</v>
      </c>
      <c r="C484" s="10" t="inlineStr">
        <is>
          <t>C1057</t>
        </is>
      </c>
      <c r="D484" s="10" t="inlineStr">
        <is>
          <t>regular</t>
        </is>
      </c>
      <c r="E484" s="10" t="inlineStr">
        <is>
          <t>Offline Store</t>
        </is>
      </c>
      <c r="F484" s="10" t="inlineStr">
        <is>
          <t>Jawa Timur</t>
        </is>
      </c>
      <c r="G484" s="10" t="inlineStr">
        <is>
          <t>Elektronik</t>
        </is>
      </c>
      <c r="H484" s="10" t="inlineStr">
        <is>
          <t>Webcam HD</t>
        </is>
      </c>
      <c r="I484" s="19" t="n">
        <v>3</v>
      </c>
      <c r="J484" s="20" t="n">
        <v>210000</v>
      </c>
      <c r="K484" s="20" t="n">
        <v>630000</v>
      </c>
      <c r="L484" s="10">
        <f>IF($B484="","",TEXT($B484,"YYYY-MM"))</f>
        <v/>
      </c>
    </row>
    <row r="485">
      <c r="A485" s="10" t="inlineStr">
        <is>
          <t>INV-70321</t>
        </is>
      </c>
      <c r="B485" s="18" t="n">
        <v>45818</v>
      </c>
      <c r="C485" s="10" t="inlineStr">
        <is>
          <t>C1089</t>
        </is>
      </c>
      <c r="D485" s="10" t="inlineStr">
        <is>
          <t>onetime</t>
        </is>
      </c>
      <c r="E485" s="10" t="inlineStr">
        <is>
          <t>Shopee</t>
        </is>
      </c>
      <c r="F485" s="10" t="inlineStr">
        <is>
          <t>Jabodetabek</t>
        </is>
      </c>
      <c r="G485" s="10" t="inlineStr">
        <is>
          <t>Rumah Tangga</t>
        </is>
      </c>
      <c r="H485" s="10" t="inlineStr">
        <is>
          <t>Diffuser Aroma</t>
        </is>
      </c>
      <c r="I485" s="19" t="n">
        <v>1</v>
      </c>
      <c r="J485" s="20" t="n">
        <v>195000</v>
      </c>
      <c r="K485" s="20" t="n">
        <v>195000</v>
      </c>
      <c r="L485" s="10">
        <f>IF($B485="","",TEXT($B485,"YYYY-MM"))</f>
        <v/>
      </c>
    </row>
    <row r="486">
      <c r="A486" s="10" t="inlineStr">
        <is>
          <t>INV-70700</t>
        </is>
      </c>
      <c r="B486" s="18" t="n">
        <v>45818</v>
      </c>
      <c r="C486" s="10" t="inlineStr">
        <is>
          <t>C1195</t>
        </is>
      </c>
      <c r="D486" s="10" t="inlineStr">
        <is>
          <t>champion</t>
        </is>
      </c>
      <c r="E486" s="10" t="inlineStr">
        <is>
          <t>Tokopedia</t>
        </is>
      </c>
      <c r="F486" s="10" t="inlineStr">
        <is>
          <t>Jabodetabek</t>
        </is>
      </c>
      <c r="G486" s="10" t="inlineStr">
        <is>
          <t>Kecantikan</t>
        </is>
      </c>
      <c r="H486" s="10" t="inlineStr">
        <is>
          <t>Masker Wajah (5s)</t>
        </is>
      </c>
      <c r="I486" s="19" t="n">
        <v>1</v>
      </c>
      <c r="J486" s="20" t="n">
        <v>55000</v>
      </c>
      <c r="K486" s="20" t="n">
        <v>55000</v>
      </c>
      <c r="L486" s="10">
        <f>IF($B486="","",TEXT($B486,"YYYY-MM"))</f>
        <v/>
      </c>
    </row>
    <row r="487">
      <c r="A487" s="10" t="inlineStr">
        <is>
          <t>INV-71294</t>
        </is>
      </c>
      <c r="B487" s="18" t="n">
        <v>45818</v>
      </c>
      <c r="C487" s="10" t="inlineStr">
        <is>
          <t>C1359</t>
        </is>
      </c>
      <c r="D487" s="10" t="inlineStr">
        <is>
          <t>champion</t>
        </is>
      </c>
      <c r="E487" s="10" t="inlineStr">
        <is>
          <t>TikTok Shop</t>
        </is>
      </c>
      <c r="F487" s="10" t="inlineStr">
        <is>
          <t>Sumatera</t>
        </is>
      </c>
      <c r="G487" s="10" t="inlineStr">
        <is>
          <t>Rumah Tangga</t>
        </is>
      </c>
      <c r="H487" s="10" t="inlineStr">
        <is>
          <t>Set Wadah Kedap</t>
        </is>
      </c>
      <c r="I487" s="19" t="n">
        <v>4</v>
      </c>
      <c r="J487" s="20" t="n">
        <v>135000</v>
      </c>
      <c r="K487" s="20" t="n">
        <v>540000</v>
      </c>
      <c r="L487" s="10">
        <f>IF($B487="","",TEXT($B487,"YYYY-MM"))</f>
        <v/>
      </c>
    </row>
    <row r="488">
      <c r="A488" s="10" t="inlineStr">
        <is>
          <t>INV-70254</t>
        </is>
      </c>
      <c r="B488" s="18" t="n">
        <v>45819</v>
      </c>
      <c r="C488" s="10" t="inlineStr">
        <is>
          <t>C1072</t>
        </is>
      </c>
      <c r="D488" s="10" t="inlineStr">
        <is>
          <t>champion</t>
        </is>
      </c>
      <c r="E488" s="10" t="inlineStr">
        <is>
          <t>Tokopedia</t>
        </is>
      </c>
      <c r="F488" s="10" t="inlineStr">
        <is>
          <t>Jawa Timur</t>
        </is>
      </c>
      <c r="G488" s="10" t="inlineStr">
        <is>
          <t>Fashion</t>
        </is>
      </c>
      <c r="H488" s="10" t="inlineStr">
        <is>
          <t>Dress Casual</t>
        </is>
      </c>
      <c r="I488" s="19" t="n">
        <v>1</v>
      </c>
      <c r="J488" s="20" t="n">
        <v>225000</v>
      </c>
      <c r="K488" s="20" t="n">
        <v>225000</v>
      </c>
      <c r="L488" s="10">
        <f>IF($B488="","",TEXT($B488,"YYYY-MM"))</f>
        <v/>
      </c>
    </row>
    <row r="489">
      <c r="A489" s="10" t="inlineStr">
        <is>
          <t>INV-71389</t>
        </is>
      </c>
      <c r="B489" s="18" t="n">
        <v>45819</v>
      </c>
      <c r="C489" s="10" t="inlineStr">
        <is>
          <t>C1384</t>
        </is>
      </c>
      <c r="D489" s="10" t="inlineStr">
        <is>
          <t>regular</t>
        </is>
      </c>
      <c r="E489" s="10" t="inlineStr">
        <is>
          <t>Tokopedia</t>
        </is>
      </c>
      <c r="F489" s="10" t="inlineStr">
        <is>
          <t>Sumatera</t>
        </is>
      </c>
      <c r="G489" s="10" t="inlineStr">
        <is>
          <t>Rumah Tangga</t>
        </is>
      </c>
      <c r="H489" s="10" t="inlineStr">
        <is>
          <t>Set Wadah Kedap</t>
        </is>
      </c>
      <c r="I489" s="19" t="n">
        <v>4</v>
      </c>
      <c r="J489" s="20" t="n">
        <v>135000</v>
      </c>
      <c r="K489" s="20" t="n">
        <v>540000</v>
      </c>
      <c r="L489" s="10">
        <f>IF($B489="","",TEXT($B489,"YYYY-MM"))</f>
        <v/>
      </c>
    </row>
    <row r="490">
      <c r="A490" s="10" t="inlineStr">
        <is>
          <t>INV-70069</t>
        </is>
      </c>
      <c r="B490" s="18" t="n">
        <v>45819</v>
      </c>
      <c r="C490" s="10" t="inlineStr">
        <is>
          <t>C1021</t>
        </is>
      </c>
      <c r="D490" s="10" t="inlineStr">
        <is>
          <t>loyal</t>
        </is>
      </c>
      <c r="E490" s="10" t="inlineStr">
        <is>
          <t>Shopee</t>
        </is>
      </c>
      <c r="F490" s="10" t="inlineStr">
        <is>
          <t>Jabodetabek</t>
        </is>
      </c>
      <c r="G490" s="10" t="inlineStr">
        <is>
          <t>Kecantikan</t>
        </is>
      </c>
      <c r="H490" s="10" t="inlineStr">
        <is>
          <t>Serum Vit C</t>
        </is>
      </c>
      <c r="I490" s="19" t="n">
        <v>1</v>
      </c>
      <c r="J490" s="20" t="n">
        <v>145000</v>
      </c>
      <c r="K490" s="20" t="n">
        <v>145000</v>
      </c>
      <c r="L490" s="10">
        <f>IF($B490="","",TEXT($B490,"YYYY-MM"))</f>
        <v/>
      </c>
    </row>
    <row r="491">
      <c r="A491" s="10" t="inlineStr">
        <is>
          <t>INV-70307</t>
        </is>
      </c>
      <c r="B491" s="18" t="n">
        <v>45819</v>
      </c>
      <c r="C491" s="10" t="inlineStr">
        <is>
          <t>C1086</t>
        </is>
      </c>
      <c r="D491" s="10" t="inlineStr">
        <is>
          <t>onetime</t>
        </is>
      </c>
      <c r="E491" s="10" t="inlineStr">
        <is>
          <t>Offline Store</t>
        </is>
      </c>
      <c r="F491" s="10" t="inlineStr">
        <is>
          <t>Jawa Barat</t>
        </is>
      </c>
      <c r="G491" s="10" t="inlineStr">
        <is>
          <t>Rumah Tangga</t>
        </is>
      </c>
      <c r="H491" s="10" t="inlineStr">
        <is>
          <t>Set Wadah Kedap</t>
        </is>
      </c>
      <c r="I491" s="19" t="n">
        <v>3</v>
      </c>
      <c r="J491" s="20" t="n">
        <v>135000</v>
      </c>
      <c r="K491" s="20" t="n">
        <v>405000</v>
      </c>
      <c r="L491" s="10">
        <f>IF($B491="","",TEXT($B491,"YYYY-MM"))</f>
        <v/>
      </c>
    </row>
    <row r="492">
      <c r="A492" s="10" t="inlineStr">
        <is>
          <t>INV-71461</t>
        </is>
      </c>
      <c r="B492" s="18" t="n">
        <v>45820</v>
      </c>
      <c r="C492" s="10" t="inlineStr">
        <is>
          <t>C1404</t>
        </is>
      </c>
      <c r="D492" s="10" t="inlineStr">
        <is>
          <t>loyal</t>
        </is>
      </c>
      <c r="E492" s="10" t="inlineStr">
        <is>
          <t>Offline Store</t>
        </is>
      </c>
      <c r="F492" s="10" t="inlineStr">
        <is>
          <t>Jawa Timur</t>
        </is>
      </c>
      <c r="G492" s="10" t="inlineStr">
        <is>
          <t>Rumah Tangga</t>
        </is>
      </c>
      <c r="H492" s="10" t="inlineStr">
        <is>
          <t>Set Wadah Kedap</t>
        </is>
      </c>
      <c r="I492" s="19" t="n">
        <v>1</v>
      </c>
      <c r="J492" s="20" t="n">
        <v>135000</v>
      </c>
      <c r="K492" s="20" t="n">
        <v>135000</v>
      </c>
      <c r="L492" s="10">
        <f>IF($B492="","",TEXT($B492,"YYYY-MM"))</f>
        <v/>
      </c>
    </row>
    <row r="493">
      <c r="A493" s="10" t="inlineStr">
        <is>
          <t>INV-70519</t>
        </is>
      </c>
      <c r="B493" s="18" t="n">
        <v>45820</v>
      </c>
      <c r="C493" s="10" t="inlineStr">
        <is>
          <t>C1142</t>
        </is>
      </c>
      <c r="D493" s="10" t="inlineStr">
        <is>
          <t>champion</t>
        </is>
      </c>
      <c r="E493" s="10" t="inlineStr">
        <is>
          <t>Offline Store</t>
        </is>
      </c>
      <c r="F493" s="10" t="inlineStr">
        <is>
          <t>Lainnya</t>
        </is>
      </c>
      <c r="G493" s="10" t="inlineStr">
        <is>
          <t>Elektronik</t>
        </is>
      </c>
      <c r="H493" s="10" t="inlineStr">
        <is>
          <t>Power Bank 20K</t>
        </is>
      </c>
      <c r="I493" s="19" t="n">
        <v>1</v>
      </c>
      <c r="J493" s="20" t="n">
        <v>185000</v>
      </c>
      <c r="K493" s="20" t="n">
        <v>185000</v>
      </c>
      <c r="L493" s="10">
        <f>IF($B493="","",TEXT($B493,"YYYY-MM"))</f>
        <v/>
      </c>
    </row>
    <row r="494">
      <c r="A494" s="10" t="inlineStr">
        <is>
          <t>INV-71506</t>
        </is>
      </c>
      <c r="B494" s="18" t="n">
        <v>45820</v>
      </c>
      <c r="C494" s="10" t="inlineStr">
        <is>
          <t>C1413</t>
        </is>
      </c>
      <c r="D494" s="10" t="inlineStr">
        <is>
          <t>occasional</t>
        </is>
      </c>
      <c r="E494" s="10" t="inlineStr">
        <is>
          <t>Shopee</t>
        </is>
      </c>
      <c r="F494" s="10" t="inlineStr">
        <is>
          <t>Jabodetabek</t>
        </is>
      </c>
      <c r="G494" s="10" t="inlineStr">
        <is>
          <t>Elektronik</t>
        </is>
      </c>
      <c r="H494" s="10" t="inlineStr">
        <is>
          <t>Webcam HD</t>
        </is>
      </c>
      <c r="I494" s="19" t="n">
        <v>4</v>
      </c>
      <c r="J494" s="20" t="n">
        <v>210000</v>
      </c>
      <c r="K494" s="20" t="n">
        <v>840000</v>
      </c>
      <c r="L494" s="10">
        <f>IF($B494="","",TEXT($B494,"YYYY-MM"))</f>
        <v/>
      </c>
    </row>
    <row r="495">
      <c r="A495" s="10" t="inlineStr">
        <is>
          <t>INV-70426</t>
        </is>
      </c>
      <c r="B495" s="18" t="n">
        <v>45820</v>
      </c>
      <c r="C495" s="10" t="inlineStr">
        <is>
          <t>C1120</t>
        </is>
      </c>
      <c r="D495" s="10" t="inlineStr">
        <is>
          <t>occasional</t>
        </is>
      </c>
      <c r="E495" s="10" t="inlineStr">
        <is>
          <t>Offline Store</t>
        </is>
      </c>
      <c r="F495" s="10" t="inlineStr">
        <is>
          <t>Lainnya</t>
        </is>
      </c>
      <c r="G495" s="10" t="inlineStr">
        <is>
          <t>Kecantikan</t>
        </is>
      </c>
      <c r="H495" s="10" t="inlineStr">
        <is>
          <t>Masker Wajah (5s)</t>
        </is>
      </c>
      <c r="I495" s="19" t="n">
        <v>1</v>
      </c>
      <c r="J495" s="20" t="n">
        <v>55000</v>
      </c>
      <c r="K495" s="20" t="n">
        <v>55000</v>
      </c>
      <c r="L495" s="10">
        <f>IF($B495="","",TEXT($B495,"YYYY-MM"))</f>
        <v/>
      </c>
    </row>
    <row r="496">
      <c r="A496" s="10" t="inlineStr">
        <is>
          <t>INV-70708</t>
        </is>
      </c>
      <c r="B496" s="18" t="n">
        <v>45821</v>
      </c>
      <c r="C496" s="10" t="inlineStr">
        <is>
          <t>C1195</t>
        </is>
      </c>
      <c r="D496" s="10" t="inlineStr">
        <is>
          <t>champion</t>
        </is>
      </c>
      <c r="E496" s="10" t="inlineStr">
        <is>
          <t>TikTok Shop</t>
        </is>
      </c>
      <c r="F496" s="10" t="inlineStr">
        <is>
          <t>Jabodetabek</t>
        </is>
      </c>
      <c r="G496" s="10" t="inlineStr">
        <is>
          <t>Fashion</t>
        </is>
      </c>
      <c r="H496" s="10" t="inlineStr">
        <is>
          <t>Celana Chino</t>
        </is>
      </c>
      <c r="I496" s="19" t="n">
        <v>1</v>
      </c>
      <c r="J496" s="20" t="n">
        <v>195000</v>
      </c>
      <c r="K496" s="20" t="n">
        <v>195000</v>
      </c>
      <c r="L496" s="10">
        <f>IF($B496="","",TEXT($B496,"YYYY-MM"))</f>
        <v/>
      </c>
    </row>
    <row r="497">
      <c r="A497" s="10" t="inlineStr">
        <is>
          <t>INV-70112</t>
        </is>
      </c>
      <c r="B497" s="18" t="n">
        <v>45821</v>
      </c>
      <c r="C497" s="10" t="inlineStr">
        <is>
          <t>C1033</t>
        </is>
      </c>
      <c r="D497" s="10" t="inlineStr">
        <is>
          <t>regular</t>
        </is>
      </c>
      <c r="E497" s="10" t="inlineStr">
        <is>
          <t>Offline Store</t>
        </is>
      </c>
      <c r="F497" s="10" t="inlineStr">
        <is>
          <t>Jabodetabek</t>
        </is>
      </c>
      <c r="G497" s="10" t="inlineStr">
        <is>
          <t>Rumah Tangga</t>
        </is>
      </c>
      <c r="H497" s="10" t="inlineStr">
        <is>
          <t>Set Wadah Kedap</t>
        </is>
      </c>
      <c r="I497" s="19" t="n">
        <v>1</v>
      </c>
      <c r="J497" s="20" t="n">
        <v>135000</v>
      </c>
      <c r="K497" s="20" t="n">
        <v>135000</v>
      </c>
      <c r="L497" s="10">
        <f>IF($B497="","",TEXT($B497,"YYYY-MM"))</f>
        <v/>
      </c>
    </row>
    <row r="498">
      <c r="A498" s="10" t="inlineStr">
        <is>
          <t>INV-70587</t>
        </is>
      </c>
      <c r="B498" s="18" t="n">
        <v>45822</v>
      </c>
      <c r="C498" s="10" t="inlineStr">
        <is>
          <t>C1159</t>
        </is>
      </c>
      <c r="D498" s="10" t="inlineStr">
        <is>
          <t>regular</t>
        </is>
      </c>
      <c r="E498" s="10" t="inlineStr">
        <is>
          <t>Shopee</t>
        </is>
      </c>
      <c r="F498" s="10" t="inlineStr">
        <is>
          <t>Jawa Timur</t>
        </is>
      </c>
      <c r="G498" s="10" t="inlineStr">
        <is>
          <t>Rumah Tangga</t>
        </is>
      </c>
      <c r="H498" s="10" t="inlineStr">
        <is>
          <t>Diffuser Aroma</t>
        </is>
      </c>
      <c r="I498" s="19" t="n">
        <v>1</v>
      </c>
      <c r="J498" s="20" t="n">
        <v>195000</v>
      </c>
      <c r="K498" s="20" t="n">
        <v>195000</v>
      </c>
      <c r="L498" s="10">
        <f>IF($B498="","",TEXT($B498,"YYYY-MM"))</f>
        <v/>
      </c>
    </row>
    <row r="499">
      <c r="A499" s="10" t="inlineStr">
        <is>
          <t>INV-70050</t>
        </is>
      </c>
      <c r="B499" s="18" t="n">
        <v>45822</v>
      </c>
      <c r="C499" s="10" t="inlineStr">
        <is>
          <t>C1012</t>
        </is>
      </c>
      <c r="D499" s="10" t="inlineStr">
        <is>
          <t>loyal</t>
        </is>
      </c>
      <c r="E499" s="10" t="inlineStr">
        <is>
          <t>Offline Store</t>
        </is>
      </c>
      <c r="F499" s="10" t="inlineStr">
        <is>
          <t>Jawa Tengah</t>
        </is>
      </c>
      <c r="G499" s="10" t="inlineStr">
        <is>
          <t>Elektronik</t>
        </is>
      </c>
      <c r="H499" s="10" t="inlineStr">
        <is>
          <t>Earbuds TWS</t>
        </is>
      </c>
      <c r="I499" s="19" t="n">
        <v>1</v>
      </c>
      <c r="J499" s="20" t="n">
        <v>265000</v>
      </c>
      <c r="K499" s="20" t="n">
        <v>265000</v>
      </c>
      <c r="L499" s="10">
        <f>IF($B499="","",TEXT($B499,"YYYY-MM"))</f>
        <v/>
      </c>
    </row>
    <row r="500">
      <c r="A500" s="10" t="inlineStr">
        <is>
          <t>INV-70065</t>
        </is>
      </c>
      <c r="B500" s="18" t="n">
        <v>45822</v>
      </c>
      <c r="C500" s="10" t="inlineStr">
        <is>
          <t>C1019</t>
        </is>
      </c>
      <c r="D500" s="10" t="inlineStr">
        <is>
          <t>occasional</t>
        </is>
      </c>
      <c r="E500" s="10" t="inlineStr">
        <is>
          <t>Offline Store</t>
        </is>
      </c>
      <c r="F500" s="10" t="inlineStr">
        <is>
          <t>Jawa Timur</t>
        </is>
      </c>
      <c r="G500" s="10" t="inlineStr">
        <is>
          <t>Rumah Tangga</t>
        </is>
      </c>
      <c r="H500" s="10" t="inlineStr">
        <is>
          <t>Set Wadah Kedap</t>
        </is>
      </c>
      <c r="I500" s="19" t="n">
        <v>1</v>
      </c>
      <c r="J500" s="20" t="n">
        <v>135000</v>
      </c>
      <c r="K500" s="20" t="n">
        <v>135000</v>
      </c>
      <c r="L500" s="10">
        <f>IF($B500="","",TEXT($B500,"YYYY-MM"))</f>
        <v/>
      </c>
    </row>
    <row r="501">
      <c r="A501" s="10" t="inlineStr">
        <is>
          <t>INV-71232</t>
        </is>
      </c>
      <c r="B501" s="18" t="n">
        <v>45822</v>
      </c>
      <c r="C501" s="10" t="inlineStr">
        <is>
          <t>C1349</t>
        </is>
      </c>
      <c r="D501" s="10" t="inlineStr">
        <is>
          <t>champion</t>
        </is>
      </c>
      <c r="E501" s="10" t="inlineStr">
        <is>
          <t>Offline Store</t>
        </is>
      </c>
      <c r="F501" s="10" t="inlineStr">
        <is>
          <t>Jabodetabek</t>
        </is>
      </c>
      <c r="G501" s="10" t="inlineStr">
        <is>
          <t>Kecantikan</t>
        </is>
      </c>
      <c r="H501" s="10" t="inlineStr">
        <is>
          <t>Masker Wajah (5s)</t>
        </is>
      </c>
      <c r="I501" s="19" t="n">
        <v>2</v>
      </c>
      <c r="J501" s="20" t="n">
        <v>55000</v>
      </c>
      <c r="K501" s="20" t="n">
        <v>110000</v>
      </c>
      <c r="L501" s="10">
        <f>IF($B501="","",TEXT($B501,"YYYY-MM"))</f>
        <v/>
      </c>
    </row>
    <row r="502">
      <c r="A502" s="10" t="inlineStr">
        <is>
          <t>INV-70009</t>
        </is>
      </c>
      <c r="B502" s="18" t="n">
        <v>45822</v>
      </c>
      <c r="C502" s="10" t="inlineStr">
        <is>
          <t>C1002</t>
        </is>
      </c>
      <c r="D502" s="10" t="inlineStr">
        <is>
          <t>loyal</t>
        </is>
      </c>
      <c r="E502" s="10" t="inlineStr">
        <is>
          <t>TikTok Shop</t>
        </is>
      </c>
      <c r="F502" s="10" t="inlineStr">
        <is>
          <t>Jabodetabek</t>
        </is>
      </c>
      <c r="G502" s="10" t="inlineStr">
        <is>
          <t>Kecantikan</t>
        </is>
      </c>
      <c r="H502" s="10" t="inlineStr">
        <is>
          <t>Masker Wajah (5s)</t>
        </is>
      </c>
      <c r="I502" s="19" t="n">
        <v>2</v>
      </c>
      <c r="J502" s="20" t="n">
        <v>55000</v>
      </c>
      <c r="K502" s="20" t="n">
        <v>110000</v>
      </c>
      <c r="L502" s="10">
        <f>IF($B502="","",TEXT($B502,"YYYY-MM"))</f>
        <v/>
      </c>
    </row>
    <row r="503">
      <c r="A503" s="10" t="inlineStr">
        <is>
          <t>INV-70180</t>
        </is>
      </c>
      <c r="B503" s="18" t="n">
        <v>45822</v>
      </c>
      <c r="C503" s="10" t="inlineStr">
        <is>
          <t>C1050</t>
        </is>
      </c>
      <c r="D503" s="10" t="inlineStr">
        <is>
          <t>regular</t>
        </is>
      </c>
      <c r="E503" s="10" t="inlineStr">
        <is>
          <t>TikTok Shop</t>
        </is>
      </c>
      <c r="F503" s="10" t="inlineStr">
        <is>
          <t>Jabodetabek</t>
        </is>
      </c>
      <c r="G503" s="10" t="inlineStr">
        <is>
          <t>Fashion</t>
        </is>
      </c>
      <c r="H503" s="10" t="inlineStr">
        <is>
          <t>Celana Chino</t>
        </is>
      </c>
      <c r="I503" s="19" t="n">
        <v>3</v>
      </c>
      <c r="J503" s="20" t="n">
        <v>195000</v>
      </c>
      <c r="K503" s="20" t="n">
        <v>585000</v>
      </c>
      <c r="L503" s="10">
        <f>IF($B503="","",TEXT($B503,"YYYY-MM"))</f>
        <v/>
      </c>
    </row>
    <row r="504">
      <c r="A504" s="10" t="inlineStr">
        <is>
          <t>INV-71017</t>
        </is>
      </c>
      <c r="B504" s="18" t="n">
        <v>45823</v>
      </c>
      <c r="C504" s="10" t="inlineStr">
        <is>
          <t>C1290</t>
        </is>
      </c>
      <c r="D504" s="10" t="inlineStr">
        <is>
          <t>loyal</t>
        </is>
      </c>
      <c r="E504" s="10" t="inlineStr">
        <is>
          <t>Shopee</t>
        </is>
      </c>
      <c r="F504" s="10" t="inlineStr">
        <is>
          <t>Jawa Tengah</t>
        </is>
      </c>
      <c r="G504" s="10" t="inlineStr">
        <is>
          <t>Kecantikan</t>
        </is>
      </c>
      <c r="H504" s="10" t="inlineStr">
        <is>
          <t>Masker Wajah (5s)</t>
        </is>
      </c>
      <c r="I504" s="19" t="n">
        <v>1</v>
      </c>
      <c r="J504" s="20" t="n">
        <v>55000</v>
      </c>
      <c r="K504" s="20" t="n">
        <v>55000</v>
      </c>
      <c r="L504" s="10">
        <f>IF($B504="","",TEXT($B504,"YYYY-MM"))</f>
        <v/>
      </c>
    </row>
    <row r="505">
      <c r="A505" s="10" t="inlineStr">
        <is>
          <t>INV-71495</t>
        </is>
      </c>
      <c r="B505" s="18" t="n">
        <v>45823</v>
      </c>
      <c r="C505" s="10" t="inlineStr">
        <is>
          <t>C1412</t>
        </is>
      </c>
      <c r="D505" s="10" t="inlineStr">
        <is>
          <t>champion</t>
        </is>
      </c>
      <c r="E505" s="10" t="inlineStr">
        <is>
          <t>TikTok Shop</t>
        </is>
      </c>
      <c r="F505" s="10" t="inlineStr">
        <is>
          <t>Sumatera</t>
        </is>
      </c>
      <c r="G505" s="10" t="inlineStr">
        <is>
          <t>Rumah Tangga</t>
        </is>
      </c>
      <c r="H505" s="10" t="inlineStr">
        <is>
          <t>Organizer Laci</t>
        </is>
      </c>
      <c r="I505" s="19" t="n">
        <v>2</v>
      </c>
      <c r="J505" s="20" t="n">
        <v>78000</v>
      </c>
      <c r="K505" s="20" t="n">
        <v>156000</v>
      </c>
      <c r="L505" s="10">
        <f>IF($B505="","",TEXT($B505,"YYYY-MM"))</f>
        <v/>
      </c>
    </row>
    <row r="506">
      <c r="A506" s="10" t="inlineStr">
        <is>
          <t>INV-70205</t>
        </is>
      </c>
      <c r="B506" s="18" t="n">
        <v>45823</v>
      </c>
      <c r="C506" s="10" t="inlineStr">
        <is>
          <t>C1058</t>
        </is>
      </c>
      <c r="D506" s="10" t="inlineStr">
        <is>
          <t>regular</t>
        </is>
      </c>
      <c r="E506" s="10" t="inlineStr">
        <is>
          <t>Shopee</t>
        </is>
      </c>
      <c r="F506" s="10" t="inlineStr">
        <is>
          <t>Jawa Tengah</t>
        </is>
      </c>
      <c r="G506" s="10" t="inlineStr">
        <is>
          <t>Kecantikan</t>
        </is>
      </c>
      <c r="H506" s="10" t="inlineStr">
        <is>
          <t>Serum Vit C</t>
        </is>
      </c>
      <c r="I506" s="19" t="n">
        <v>2</v>
      </c>
      <c r="J506" s="20" t="n">
        <v>145000</v>
      </c>
      <c r="K506" s="20" t="n">
        <v>290000</v>
      </c>
      <c r="L506" s="10">
        <f>IF($B506="","",TEXT($B506,"YYYY-MM"))</f>
        <v/>
      </c>
    </row>
    <row r="507">
      <c r="A507" s="10" t="inlineStr">
        <is>
          <t>INV-71249</t>
        </is>
      </c>
      <c r="B507" s="18" t="n">
        <v>45824</v>
      </c>
      <c r="C507" s="10" t="inlineStr">
        <is>
          <t>C1352</t>
        </is>
      </c>
      <c r="D507" s="10" t="inlineStr">
        <is>
          <t>loyal</t>
        </is>
      </c>
      <c r="E507" s="10" t="inlineStr">
        <is>
          <t>Tokopedia</t>
        </is>
      </c>
      <c r="F507" s="10" t="inlineStr">
        <is>
          <t>Lainnya</t>
        </is>
      </c>
      <c r="G507" s="10" t="inlineStr">
        <is>
          <t>Makanan</t>
        </is>
      </c>
      <c r="H507" s="10" t="inlineStr">
        <is>
          <t>Madu Hutan 250ml</t>
        </is>
      </c>
      <c r="I507" s="19" t="n">
        <v>1</v>
      </c>
      <c r="J507" s="20" t="n">
        <v>110000</v>
      </c>
      <c r="K507" s="20" t="n">
        <v>110000</v>
      </c>
      <c r="L507" s="10">
        <f>IF($B507="","",TEXT($B507,"YYYY-MM"))</f>
        <v/>
      </c>
    </row>
    <row r="508">
      <c r="A508" s="10" t="inlineStr">
        <is>
          <t>INV-70227</t>
        </is>
      </c>
      <c r="B508" s="18" t="n">
        <v>45824</v>
      </c>
      <c r="C508" s="10" t="inlineStr">
        <is>
          <t>C1064</t>
        </is>
      </c>
      <c r="D508" s="10" t="inlineStr">
        <is>
          <t>loyal</t>
        </is>
      </c>
      <c r="E508" s="10" t="inlineStr">
        <is>
          <t>TikTok Shop</t>
        </is>
      </c>
      <c r="F508" s="10" t="inlineStr">
        <is>
          <t>Lainnya</t>
        </is>
      </c>
      <c r="G508" s="10" t="inlineStr">
        <is>
          <t>Rumah Tangga</t>
        </is>
      </c>
      <c r="H508" s="10" t="inlineStr">
        <is>
          <t>Organizer Laci</t>
        </is>
      </c>
      <c r="I508" s="19" t="n">
        <v>4</v>
      </c>
      <c r="J508" s="20" t="n">
        <v>78000</v>
      </c>
      <c r="K508" s="20" t="n">
        <v>312000</v>
      </c>
      <c r="L508" s="10">
        <f>IF($B508="","",TEXT($B508,"YYYY-MM"))</f>
        <v/>
      </c>
    </row>
    <row r="509">
      <c r="A509" s="10" t="inlineStr">
        <is>
          <t>INV-70707</t>
        </is>
      </c>
      <c r="B509" s="18" t="n">
        <v>45825</v>
      </c>
      <c r="C509" s="10" t="inlineStr">
        <is>
          <t>C1195</t>
        </is>
      </c>
      <c r="D509" s="10" t="inlineStr">
        <is>
          <t>champion</t>
        </is>
      </c>
      <c r="E509" s="10" t="inlineStr">
        <is>
          <t>TikTok Shop</t>
        </is>
      </c>
      <c r="F509" s="10" t="inlineStr">
        <is>
          <t>Sumatera</t>
        </is>
      </c>
      <c r="G509" s="10" t="inlineStr">
        <is>
          <t>Rumah Tangga</t>
        </is>
      </c>
      <c r="H509" s="10" t="inlineStr">
        <is>
          <t>Set Wadah Kedap</t>
        </is>
      </c>
      <c r="I509" s="19" t="n">
        <v>3</v>
      </c>
      <c r="J509" s="20" t="n">
        <v>135000</v>
      </c>
      <c r="K509" s="20" t="n">
        <v>405000</v>
      </c>
      <c r="L509" s="10">
        <f>IF($B509="","",TEXT($B509,"YYYY-MM"))</f>
        <v/>
      </c>
    </row>
    <row r="510">
      <c r="A510" s="10" t="inlineStr">
        <is>
          <t>INV-71151</t>
        </is>
      </c>
      <c r="B510" s="18" t="n">
        <v>45826</v>
      </c>
      <c r="C510" s="10" t="inlineStr">
        <is>
          <t>C1326</t>
        </is>
      </c>
      <c r="D510" s="10" t="inlineStr">
        <is>
          <t>loyal</t>
        </is>
      </c>
      <c r="E510" s="10" t="inlineStr">
        <is>
          <t>TikTok Shop</t>
        </is>
      </c>
      <c r="F510" s="10" t="inlineStr">
        <is>
          <t>Jawa Timur</t>
        </is>
      </c>
      <c r="G510" s="10" t="inlineStr">
        <is>
          <t>Rumah Tangga</t>
        </is>
      </c>
      <c r="H510" s="10" t="inlineStr">
        <is>
          <t>Set Wadah Kedap</t>
        </is>
      </c>
      <c r="I510" s="19" t="n">
        <v>2</v>
      </c>
      <c r="J510" s="20" t="n">
        <v>135000</v>
      </c>
      <c r="K510" s="20" t="n">
        <v>270000</v>
      </c>
      <c r="L510" s="10">
        <f>IF($B510="","",TEXT($B510,"YYYY-MM"))</f>
        <v/>
      </c>
    </row>
    <row r="511">
      <c r="A511" s="10" t="inlineStr">
        <is>
          <t>INV-71444</t>
        </is>
      </c>
      <c r="B511" s="18" t="n">
        <v>45826</v>
      </c>
      <c r="C511" s="10" t="inlineStr">
        <is>
          <t>C1398</t>
        </is>
      </c>
      <c r="D511" s="10" t="inlineStr">
        <is>
          <t>regular</t>
        </is>
      </c>
      <c r="E511" s="10" t="inlineStr">
        <is>
          <t>Offline Store</t>
        </is>
      </c>
      <c r="F511" s="10" t="inlineStr">
        <is>
          <t>Jawa Barat</t>
        </is>
      </c>
      <c r="G511" s="10" t="inlineStr">
        <is>
          <t>Elektronik</t>
        </is>
      </c>
      <c r="H511" s="10" t="inlineStr">
        <is>
          <t>Webcam HD</t>
        </is>
      </c>
      <c r="I511" s="19" t="n">
        <v>4</v>
      </c>
      <c r="J511" s="20" t="n">
        <v>210000</v>
      </c>
      <c r="K511" s="20" t="n">
        <v>840000</v>
      </c>
      <c r="L511" s="10">
        <f>IF($B511="","",TEXT($B511,"YYYY-MM"))</f>
        <v/>
      </c>
    </row>
    <row r="512">
      <c r="A512" s="10" t="inlineStr">
        <is>
          <t>INV-70635</t>
        </is>
      </c>
      <c r="B512" s="18" t="n">
        <v>45826</v>
      </c>
      <c r="C512" s="10" t="inlineStr">
        <is>
          <t>C1173</t>
        </is>
      </c>
      <c r="D512" s="10" t="inlineStr">
        <is>
          <t>loyal</t>
        </is>
      </c>
      <c r="E512" s="10" t="inlineStr">
        <is>
          <t>Offline Store</t>
        </is>
      </c>
      <c r="F512" s="10" t="inlineStr">
        <is>
          <t>Jabodetabek</t>
        </is>
      </c>
      <c r="G512" s="10" t="inlineStr">
        <is>
          <t>Rumah Tangga</t>
        </is>
      </c>
      <c r="H512" s="10" t="inlineStr">
        <is>
          <t>Set Wadah Kedap</t>
        </is>
      </c>
      <c r="I512" s="19" t="n">
        <v>1</v>
      </c>
      <c r="J512" s="20" t="n">
        <v>135000</v>
      </c>
      <c r="K512" s="20" t="n">
        <v>135000</v>
      </c>
      <c r="L512" s="10">
        <f>IF($B512="","",TEXT($B512,"YYYY-MM"))</f>
        <v/>
      </c>
    </row>
    <row r="513">
      <c r="A513" s="10" t="inlineStr">
        <is>
          <t>INV-71244</t>
        </is>
      </c>
      <c r="B513" s="18" t="n">
        <v>45826</v>
      </c>
      <c r="C513" s="10" t="inlineStr">
        <is>
          <t>C1351</t>
        </is>
      </c>
      <c r="D513" s="10" t="inlineStr">
        <is>
          <t>loyal</t>
        </is>
      </c>
      <c r="E513" s="10" t="inlineStr">
        <is>
          <t>Offline Store</t>
        </is>
      </c>
      <c r="F513" s="10" t="inlineStr">
        <is>
          <t>Jawa Timur</t>
        </is>
      </c>
      <c r="G513" s="10" t="inlineStr">
        <is>
          <t>Rumah Tangga</t>
        </is>
      </c>
      <c r="H513" s="10" t="inlineStr">
        <is>
          <t>Set Wadah Kedap</t>
        </is>
      </c>
      <c r="I513" s="19" t="n">
        <v>1</v>
      </c>
      <c r="J513" s="20" t="n">
        <v>135000</v>
      </c>
      <c r="K513" s="20" t="n">
        <v>135000</v>
      </c>
      <c r="L513" s="10">
        <f>IF($B513="","",TEXT($B513,"YYYY-MM"))</f>
        <v/>
      </c>
    </row>
    <row r="514">
      <c r="A514" s="10" t="inlineStr">
        <is>
          <t>INV-70333</t>
        </is>
      </c>
      <c r="B514" s="18" t="n">
        <v>45826</v>
      </c>
      <c r="C514" s="10" t="inlineStr">
        <is>
          <t>C1090</t>
        </is>
      </c>
      <c r="D514" s="10" t="inlineStr">
        <is>
          <t>champion</t>
        </is>
      </c>
      <c r="E514" s="10" t="inlineStr">
        <is>
          <t>Shopee</t>
        </is>
      </c>
      <c r="F514" s="10" t="inlineStr">
        <is>
          <t>Sumatera</t>
        </is>
      </c>
      <c r="G514" s="10" t="inlineStr">
        <is>
          <t>Elektronik</t>
        </is>
      </c>
      <c r="H514" s="10" t="inlineStr">
        <is>
          <t>Power Bank 20K</t>
        </is>
      </c>
      <c r="I514" s="19" t="n">
        <v>1</v>
      </c>
      <c r="J514" s="20" t="n">
        <v>185000</v>
      </c>
      <c r="K514" s="20" t="n">
        <v>185000</v>
      </c>
      <c r="L514" s="10">
        <f>IF($B514="","",TEXT($B514,"YYYY-MM"))</f>
        <v/>
      </c>
    </row>
    <row r="515">
      <c r="A515" s="10" t="inlineStr">
        <is>
          <t>INV-71025</t>
        </is>
      </c>
      <c r="B515" s="18" t="n">
        <v>45826</v>
      </c>
      <c r="C515" s="10" t="inlineStr">
        <is>
          <t>C1291</t>
        </is>
      </c>
      <c r="D515" s="10" t="inlineStr">
        <is>
          <t>regular</t>
        </is>
      </c>
      <c r="E515" s="10" t="inlineStr">
        <is>
          <t>Tokopedia</t>
        </is>
      </c>
      <c r="F515" s="10" t="inlineStr">
        <is>
          <t>Jabodetabek</t>
        </is>
      </c>
      <c r="G515" s="10" t="inlineStr">
        <is>
          <t>Rumah Tangga</t>
        </is>
      </c>
      <c r="H515" s="10" t="inlineStr">
        <is>
          <t>Organizer Laci</t>
        </is>
      </c>
      <c r="I515" s="19" t="n">
        <v>1</v>
      </c>
      <c r="J515" s="20" t="n">
        <v>78000</v>
      </c>
      <c r="K515" s="20" t="n">
        <v>78000</v>
      </c>
      <c r="L515" s="10">
        <f>IF($B515="","",TEXT($B515,"YYYY-MM"))</f>
        <v/>
      </c>
    </row>
    <row r="516">
      <c r="A516" s="10" t="inlineStr">
        <is>
          <t>INV-71214</t>
        </is>
      </c>
      <c r="B516" s="18" t="n">
        <v>45826</v>
      </c>
      <c r="C516" s="10" t="inlineStr">
        <is>
          <t>C1345</t>
        </is>
      </c>
      <c r="D516" s="10" t="inlineStr">
        <is>
          <t>onetime</t>
        </is>
      </c>
      <c r="E516" s="10" t="inlineStr">
        <is>
          <t>TikTok Shop</t>
        </is>
      </c>
      <c r="F516" s="10" t="inlineStr">
        <is>
          <t>Jabodetabek</t>
        </is>
      </c>
      <c r="G516" s="10" t="inlineStr">
        <is>
          <t>Rumah Tangga</t>
        </is>
      </c>
      <c r="H516" s="10" t="inlineStr">
        <is>
          <t>Set Wadah Kedap</t>
        </is>
      </c>
      <c r="I516" s="19" t="n">
        <v>3</v>
      </c>
      <c r="J516" s="20" t="n">
        <v>135000</v>
      </c>
      <c r="K516" s="20" t="n">
        <v>405000</v>
      </c>
      <c r="L516" s="10">
        <f>IF($B516="","",TEXT($B516,"YYYY-MM"))</f>
        <v/>
      </c>
    </row>
    <row r="517">
      <c r="A517" s="10" t="inlineStr">
        <is>
          <t>INV-70071</t>
        </is>
      </c>
      <c r="B517" s="18" t="n">
        <v>45827</v>
      </c>
      <c r="C517" s="10" t="inlineStr">
        <is>
          <t>C1021</t>
        </is>
      </c>
      <c r="D517" s="10" t="inlineStr">
        <is>
          <t>loyal</t>
        </is>
      </c>
      <c r="E517" s="10" t="inlineStr">
        <is>
          <t>TikTok Shop</t>
        </is>
      </c>
      <c r="F517" s="10" t="inlineStr">
        <is>
          <t>Jabodetabek</t>
        </is>
      </c>
      <c r="G517" s="10" t="inlineStr">
        <is>
          <t>Rumah Tangga</t>
        </is>
      </c>
      <c r="H517" s="10" t="inlineStr">
        <is>
          <t>Diffuser Aroma</t>
        </is>
      </c>
      <c r="I517" s="19" t="n">
        <v>3</v>
      </c>
      <c r="J517" s="20" t="n">
        <v>195000</v>
      </c>
      <c r="K517" s="20" t="n">
        <v>585000</v>
      </c>
      <c r="L517" s="10">
        <f>IF($B517="","",TEXT($B517,"YYYY-MM"))</f>
        <v/>
      </c>
    </row>
    <row r="518">
      <c r="A518" s="10" t="inlineStr">
        <is>
          <t>INV-71011</t>
        </is>
      </c>
      <c r="B518" s="18" t="n">
        <v>45827</v>
      </c>
      <c r="C518" s="10" t="inlineStr">
        <is>
          <t>C1287</t>
        </is>
      </c>
      <c r="D518" s="10" t="inlineStr">
        <is>
          <t>champion</t>
        </is>
      </c>
      <c r="E518" s="10" t="inlineStr">
        <is>
          <t>Shopee</t>
        </is>
      </c>
      <c r="F518" s="10" t="inlineStr">
        <is>
          <t>Jawa Barat</t>
        </is>
      </c>
      <c r="G518" s="10" t="inlineStr">
        <is>
          <t>Elektronik</t>
        </is>
      </c>
      <c r="H518" s="10" t="inlineStr">
        <is>
          <t>Webcam HD</t>
        </is>
      </c>
      <c r="I518" s="19" t="n">
        <v>1</v>
      </c>
      <c r="J518" s="20" t="n">
        <v>210000</v>
      </c>
      <c r="K518" s="20" t="n">
        <v>210000</v>
      </c>
      <c r="L518" s="10">
        <f>IF($B518="","",TEXT($B518,"YYYY-MM"))</f>
        <v/>
      </c>
    </row>
    <row r="519">
      <c r="A519" s="10" t="inlineStr">
        <is>
          <t>INV-70256</t>
        </is>
      </c>
      <c r="B519" s="18" t="n">
        <v>45829</v>
      </c>
      <c r="C519" s="10" t="inlineStr">
        <is>
          <t>C1072</t>
        </is>
      </c>
      <c r="D519" s="10" t="inlineStr">
        <is>
          <t>champion</t>
        </is>
      </c>
      <c r="E519" s="10" t="inlineStr">
        <is>
          <t>Offline Store</t>
        </is>
      </c>
      <c r="F519" s="10" t="inlineStr">
        <is>
          <t>Jawa Barat</t>
        </is>
      </c>
      <c r="G519" s="10" t="inlineStr">
        <is>
          <t>Rumah Tangga</t>
        </is>
      </c>
      <c r="H519" s="10" t="inlineStr">
        <is>
          <t>Set Wadah Kedap</t>
        </is>
      </c>
      <c r="I519" s="19" t="n">
        <v>2</v>
      </c>
      <c r="J519" s="20" t="n">
        <v>135000</v>
      </c>
      <c r="K519" s="20" t="n">
        <v>270000</v>
      </c>
      <c r="L519" s="10">
        <f>IF($B519="","",TEXT($B519,"YYYY-MM"))</f>
        <v/>
      </c>
    </row>
    <row r="520">
      <c r="A520" s="10" t="inlineStr">
        <is>
          <t>INV-71198</t>
        </is>
      </c>
      <c r="B520" s="18" t="n">
        <v>45829</v>
      </c>
      <c r="C520" s="10" t="inlineStr">
        <is>
          <t>C1338</t>
        </is>
      </c>
      <c r="D520" s="10" t="inlineStr">
        <is>
          <t>regular</t>
        </is>
      </c>
      <c r="E520" s="10" t="inlineStr">
        <is>
          <t>Offline Store</t>
        </is>
      </c>
      <c r="F520" s="10" t="inlineStr">
        <is>
          <t>Jabodetabek</t>
        </is>
      </c>
      <c r="G520" s="10" t="inlineStr">
        <is>
          <t>Elektronik</t>
        </is>
      </c>
      <c r="H520" s="10" t="inlineStr">
        <is>
          <t>Power Bank 20K</t>
        </is>
      </c>
      <c r="I520" s="19" t="n">
        <v>4</v>
      </c>
      <c r="J520" s="20" t="n">
        <v>185000</v>
      </c>
      <c r="K520" s="20" t="n">
        <v>740000</v>
      </c>
      <c r="L520" s="10">
        <f>IF($B520="","",TEXT($B520,"YYYY-MM"))</f>
        <v/>
      </c>
    </row>
    <row r="521">
      <c r="A521" s="10" t="inlineStr">
        <is>
          <t>INV-70671</t>
        </is>
      </c>
      <c r="B521" s="18" t="n">
        <v>45829</v>
      </c>
      <c r="C521" s="10" t="inlineStr">
        <is>
          <t>C1184</t>
        </is>
      </c>
      <c r="D521" s="10" t="inlineStr">
        <is>
          <t>loyal</t>
        </is>
      </c>
      <c r="E521" s="10" t="inlineStr">
        <is>
          <t>Shopee</t>
        </is>
      </c>
      <c r="F521" s="10" t="inlineStr">
        <is>
          <t>Jabodetabek</t>
        </is>
      </c>
      <c r="G521" s="10" t="inlineStr">
        <is>
          <t>Rumah Tangga</t>
        </is>
      </c>
      <c r="H521" s="10" t="inlineStr">
        <is>
          <t>Set Wadah Kedap</t>
        </is>
      </c>
      <c r="I521" s="19" t="n">
        <v>1</v>
      </c>
      <c r="J521" s="20" t="n">
        <v>135000</v>
      </c>
      <c r="K521" s="20" t="n">
        <v>135000</v>
      </c>
      <c r="L521" s="10">
        <f>IF($B521="","",TEXT($B521,"YYYY-MM"))</f>
        <v/>
      </c>
    </row>
    <row r="522">
      <c r="A522" s="10" t="inlineStr">
        <is>
          <t>INV-70617</t>
        </is>
      </c>
      <c r="B522" s="18" t="n">
        <v>45829</v>
      </c>
      <c r="C522" s="10" t="inlineStr">
        <is>
          <t>C1167</t>
        </is>
      </c>
      <c r="D522" s="10" t="inlineStr">
        <is>
          <t>occasional</t>
        </is>
      </c>
      <c r="E522" s="10" t="inlineStr">
        <is>
          <t>Tokopedia</t>
        </is>
      </c>
      <c r="F522" s="10" t="inlineStr">
        <is>
          <t>Sumatera</t>
        </is>
      </c>
      <c r="G522" s="10" t="inlineStr">
        <is>
          <t>Elektronik</t>
        </is>
      </c>
      <c r="H522" s="10" t="inlineStr">
        <is>
          <t>Webcam HD</t>
        </is>
      </c>
      <c r="I522" s="19" t="n">
        <v>1</v>
      </c>
      <c r="J522" s="20" t="n">
        <v>210000</v>
      </c>
      <c r="K522" s="20" t="n">
        <v>210000</v>
      </c>
      <c r="L522" s="10">
        <f>IF($B522="","",TEXT($B522,"YYYY-MM"))</f>
        <v/>
      </c>
    </row>
    <row r="523">
      <c r="A523" s="10" t="inlineStr">
        <is>
          <t>INV-70463</t>
        </is>
      </c>
      <c r="B523" s="18" t="n">
        <v>45830</v>
      </c>
      <c r="C523" s="10" t="inlineStr">
        <is>
          <t>C1132</t>
        </is>
      </c>
      <c r="D523" s="10" t="inlineStr">
        <is>
          <t>regular</t>
        </is>
      </c>
      <c r="E523" s="10" t="inlineStr">
        <is>
          <t>TikTok Shop</t>
        </is>
      </c>
      <c r="F523" s="10" t="inlineStr">
        <is>
          <t>Lainnya</t>
        </is>
      </c>
      <c r="G523" s="10" t="inlineStr">
        <is>
          <t>Kecantikan</t>
        </is>
      </c>
      <c r="H523" s="10" t="inlineStr">
        <is>
          <t>Masker Wajah (5s)</t>
        </is>
      </c>
      <c r="I523" s="19" t="n">
        <v>1</v>
      </c>
      <c r="J523" s="20" t="n">
        <v>55000</v>
      </c>
      <c r="K523" s="20" t="n">
        <v>55000</v>
      </c>
      <c r="L523" s="10">
        <f>IF($B523="","",TEXT($B523,"YYYY-MM"))</f>
        <v/>
      </c>
    </row>
    <row r="524">
      <c r="A524" s="10" t="inlineStr">
        <is>
          <t>INV-70345</t>
        </is>
      </c>
      <c r="B524" s="18" t="n">
        <v>45830</v>
      </c>
      <c r="C524" s="10" t="inlineStr">
        <is>
          <t>C1093</t>
        </is>
      </c>
      <c r="D524" s="10" t="inlineStr">
        <is>
          <t>champion</t>
        </is>
      </c>
      <c r="E524" s="10" t="inlineStr">
        <is>
          <t>Shopee</t>
        </is>
      </c>
      <c r="F524" s="10" t="inlineStr">
        <is>
          <t>Jawa Timur</t>
        </is>
      </c>
      <c r="G524" s="10" t="inlineStr">
        <is>
          <t>Fashion</t>
        </is>
      </c>
      <c r="H524" s="10" t="inlineStr">
        <is>
          <t>Dress Casual</t>
        </is>
      </c>
      <c r="I524" s="19" t="n">
        <v>4</v>
      </c>
      <c r="J524" s="20" t="n">
        <v>225000</v>
      </c>
      <c r="K524" s="20" t="n">
        <v>900000</v>
      </c>
      <c r="L524" s="10">
        <f>IF($B524="","",TEXT($B524,"YYYY-MM"))</f>
        <v/>
      </c>
    </row>
    <row r="525">
      <c r="A525" s="10" t="inlineStr">
        <is>
          <t>INV-70531</t>
        </is>
      </c>
      <c r="B525" s="18" t="n">
        <v>45831</v>
      </c>
      <c r="C525" s="10" t="inlineStr">
        <is>
          <t>C1147</t>
        </is>
      </c>
      <c r="D525" s="10" t="inlineStr">
        <is>
          <t>regular</t>
        </is>
      </c>
      <c r="E525" s="10" t="inlineStr">
        <is>
          <t>Shopee</t>
        </is>
      </c>
      <c r="F525" s="10" t="inlineStr">
        <is>
          <t>Jawa Tengah</t>
        </is>
      </c>
      <c r="G525" s="10" t="inlineStr">
        <is>
          <t>Rumah Tangga</t>
        </is>
      </c>
      <c r="H525" s="10" t="inlineStr">
        <is>
          <t>Set Wadah Kedap</t>
        </is>
      </c>
      <c r="I525" s="19" t="n">
        <v>4</v>
      </c>
      <c r="J525" s="20" t="n">
        <v>135000</v>
      </c>
      <c r="K525" s="20" t="n">
        <v>540000</v>
      </c>
      <c r="L525" s="10">
        <f>IF($B525="","",TEXT($B525,"YYYY-MM"))</f>
        <v/>
      </c>
    </row>
    <row r="526">
      <c r="A526" s="10" t="inlineStr">
        <is>
          <t>INV-70228</t>
        </is>
      </c>
      <c r="B526" s="18" t="n">
        <v>45831</v>
      </c>
      <c r="C526" s="10" t="inlineStr">
        <is>
          <t>C1064</t>
        </is>
      </c>
      <c r="D526" s="10" t="inlineStr">
        <is>
          <t>loyal</t>
        </is>
      </c>
      <c r="E526" s="10" t="inlineStr">
        <is>
          <t>Tokopedia</t>
        </is>
      </c>
      <c r="F526" s="10" t="inlineStr">
        <is>
          <t>Jawa Timur</t>
        </is>
      </c>
      <c r="G526" s="10" t="inlineStr">
        <is>
          <t>Kecantikan</t>
        </is>
      </c>
      <c r="H526" s="10" t="inlineStr">
        <is>
          <t>Serum Vit C</t>
        </is>
      </c>
      <c r="I526" s="19" t="n">
        <v>3</v>
      </c>
      <c r="J526" s="20" t="n">
        <v>145000</v>
      </c>
      <c r="K526" s="20" t="n">
        <v>435000</v>
      </c>
      <c r="L526" s="10">
        <f>IF($B526="","",TEXT($B526,"YYYY-MM"))</f>
        <v/>
      </c>
    </row>
    <row r="527">
      <c r="A527" s="10" t="inlineStr">
        <is>
          <t>INV-70848</t>
        </is>
      </c>
      <c r="B527" s="18" t="n">
        <v>45831</v>
      </c>
      <c r="C527" s="10" t="inlineStr">
        <is>
          <t>C1237</t>
        </is>
      </c>
      <c r="D527" s="10" t="inlineStr">
        <is>
          <t>champion</t>
        </is>
      </c>
      <c r="E527" s="10" t="inlineStr">
        <is>
          <t>Tokopedia</t>
        </is>
      </c>
      <c r="F527" s="10" t="inlineStr">
        <is>
          <t>Jawa Tengah</t>
        </is>
      </c>
      <c r="G527" s="10" t="inlineStr">
        <is>
          <t>Rumah Tangga</t>
        </is>
      </c>
      <c r="H527" s="10" t="inlineStr">
        <is>
          <t>Set Wadah Kedap</t>
        </is>
      </c>
      <c r="I527" s="19" t="n">
        <v>1</v>
      </c>
      <c r="J527" s="20" t="n">
        <v>135000</v>
      </c>
      <c r="K527" s="20" t="n">
        <v>135000</v>
      </c>
      <c r="L527" s="10">
        <f>IF($B527="","",TEXT($B527,"YYYY-MM"))</f>
        <v/>
      </c>
    </row>
    <row r="528">
      <c r="A528" s="10" t="inlineStr">
        <is>
          <t>INV-70473</t>
        </is>
      </c>
      <c r="B528" s="18" t="n">
        <v>45831</v>
      </c>
      <c r="C528" s="10" t="inlineStr">
        <is>
          <t>C1136</t>
        </is>
      </c>
      <c r="D528" s="10" t="inlineStr">
        <is>
          <t>occasional</t>
        </is>
      </c>
      <c r="E528" s="10" t="inlineStr">
        <is>
          <t>TikTok Shop</t>
        </is>
      </c>
      <c r="F528" s="10" t="inlineStr">
        <is>
          <t>Jawa Barat</t>
        </is>
      </c>
      <c r="G528" s="10" t="inlineStr">
        <is>
          <t>Elektronik</t>
        </is>
      </c>
      <c r="H528" s="10" t="inlineStr">
        <is>
          <t>Webcam HD</t>
        </is>
      </c>
      <c r="I528" s="19" t="n">
        <v>4</v>
      </c>
      <c r="J528" s="20" t="n">
        <v>210000</v>
      </c>
      <c r="K528" s="20" t="n">
        <v>840000</v>
      </c>
      <c r="L528" s="10">
        <f>IF($B528="","",TEXT($B528,"YYYY-MM"))</f>
        <v/>
      </c>
    </row>
    <row r="529">
      <c r="A529" s="10" t="inlineStr">
        <is>
          <t>INV-70997</t>
        </is>
      </c>
      <c r="B529" s="18" t="n">
        <v>45832</v>
      </c>
      <c r="C529" s="10" t="inlineStr">
        <is>
          <t>C1287</t>
        </is>
      </c>
      <c r="D529" s="10" t="inlineStr">
        <is>
          <t>champion</t>
        </is>
      </c>
      <c r="E529" s="10" t="inlineStr">
        <is>
          <t>Shopee</t>
        </is>
      </c>
      <c r="F529" s="10" t="inlineStr">
        <is>
          <t>Sumatera</t>
        </is>
      </c>
      <c r="G529" s="10" t="inlineStr">
        <is>
          <t>Rumah Tangga</t>
        </is>
      </c>
      <c r="H529" s="10" t="inlineStr">
        <is>
          <t>Set Wadah Kedap</t>
        </is>
      </c>
      <c r="I529" s="19" t="n">
        <v>1</v>
      </c>
      <c r="J529" s="20" t="n">
        <v>135000</v>
      </c>
      <c r="K529" s="20" t="n">
        <v>135000</v>
      </c>
      <c r="L529" s="10">
        <f>IF($B529="","",TEXT($B529,"YYYY-MM"))</f>
        <v/>
      </c>
    </row>
    <row r="530">
      <c r="A530" s="10" t="inlineStr">
        <is>
          <t>INV-70258</t>
        </is>
      </c>
      <c r="B530" s="18" t="n">
        <v>45832</v>
      </c>
      <c r="C530" s="10" t="inlineStr">
        <is>
          <t>C1072</t>
        </is>
      </c>
      <c r="D530" s="10" t="inlineStr">
        <is>
          <t>champion</t>
        </is>
      </c>
      <c r="E530" s="10" t="inlineStr">
        <is>
          <t>TikTok Shop</t>
        </is>
      </c>
      <c r="F530" s="10" t="inlineStr">
        <is>
          <t>Jawa Tengah</t>
        </is>
      </c>
      <c r="G530" s="10" t="inlineStr">
        <is>
          <t>Makanan</t>
        </is>
      </c>
      <c r="H530" s="10" t="inlineStr">
        <is>
          <t>Granola 500g</t>
        </is>
      </c>
      <c r="I530" s="19" t="n">
        <v>2</v>
      </c>
      <c r="J530" s="20" t="n">
        <v>92000</v>
      </c>
      <c r="K530" s="20" t="n">
        <v>184000</v>
      </c>
      <c r="L530" s="10">
        <f>IF($B530="","",TEXT($B530,"YYYY-MM"))</f>
        <v/>
      </c>
    </row>
    <row r="531">
      <c r="A531" s="10" t="inlineStr">
        <is>
          <t>INV-70729</t>
        </is>
      </c>
      <c r="B531" s="18" t="n">
        <v>45832</v>
      </c>
      <c r="C531" s="10" t="inlineStr">
        <is>
          <t>C1206</t>
        </is>
      </c>
      <c r="D531" s="10" t="inlineStr">
        <is>
          <t>regular</t>
        </is>
      </c>
      <c r="E531" s="10" t="inlineStr">
        <is>
          <t>TikTok Shop</t>
        </is>
      </c>
      <c r="F531" s="10" t="inlineStr">
        <is>
          <t>Jabodetabek</t>
        </is>
      </c>
      <c r="G531" s="10" t="inlineStr">
        <is>
          <t>Makanan</t>
        </is>
      </c>
      <c r="H531" s="10" t="inlineStr">
        <is>
          <t>Granola 500g</t>
        </is>
      </c>
      <c r="I531" s="19" t="n">
        <v>1</v>
      </c>
      <c r="J531" s="20" t="n">
        <v>92000</v>
      </c>
      <c r="K531" s="20" t="n">
        <v>92000</v>
      </c>
      <c r="L531" s="10">
        <f>IF($B531="","",TEXT($B531,"YYYY-MM"))</f>
        <v/>
      </c>
    </row>
    <row r="532">
      <c r="A532" s="10" t="inlineStr">
        <is>
          <t>INV-70081</t>
        </is>
      </c>
      <c r="B532" s="18" t="n">
        <v>45832</v>
      </c>
      <c r="C532" s="10" t="inlineStr">
        <is>
          <t>C1025</t>
        </is>
      </c>
      <c r="D532" s="10" t="inlineStr">
        <is>
          <t>loyal</t>
        </is>
      </c>
      <c r="E532" s="10" t="inlineStr">
        <is>
          <t>Offline Store</t>
        </is>
      </c>
      <c r="F532" s="10" t="inlineStr">
        <is>
          <t>Jabodetabek</t>
        </is>
      </c>
      <c r="G532" s="10" t="inlineStr">
        <is>
          <t>Elektronik</t>
        </is>
      </c>
      <c r="H532" s="10" t="inlineStr">
        <is>
          <t>Power Bank 20K</t>
        </is>
      </c>
      <c r="I532" s="19" t="n">
        <v>3</v>
      </c>
      <c r="J532" s="20" t="n">
        <v>185000</v>
      </c>
      <c r="K532" s="20" t="n">
        <v>555000</v>
      </c>
      <c r="L532" s="10">
        <f>IF($B532="","",TEXT($B532,"YYYY-MM"))</f>
        <v/>
      </c>
    </row>
    <row r="533">
      <c r="A533" s="10" t="inlineStr">
        <is>
          <t>INV-71169</t>
        </is>
      </c>
      <c r="B533" s="18" t="n">
        <v>45833</v>
      </c>
      <c r="C533" s="10" t="inlineStr">
        <is>
          <t>C1331</t>
        </is>
      </c>
      <c r="D533" s="10" t="inlineStr">
        <is>
          <t>regular</t>
        </is>
      </c>
      <c r="E533" s="10" t="inlineStr">
        <is>
          <t>TikTok Shop</t>
        </is>
      </c>
      <c r="F533" s="10" t="inlineStr">
        <is>
          <t>Lainnya</t>
        </is>
      </c>
      <c r="G533" s="10" t="inlineStr">
        <is>
          <t>Rumah Tangga</t>
        </is>
      </c>
      <c r="H533" s="10" t="inlineStr">
        <is>
          <t>Set Wadah Kedap</t>
        </is>
      </c>
      <c r="I533" s="19" t="n">
        <v>2</v>
      </c>
      <c r="J533" s="20" t="n">
        <v>135000</v>
      </c>
      <c r="K533" s="20" t="n">
        <v>270000</v>
      </c>
      <c r="L533" s="10">
        <f>IF($B533="","",TEXT($B533,"YYYY-MM"))</f>
        <v/>
      </c>
    </row>
    <row r="534">
      <c r="A534" s="10" t="inlineStr">
        <is>
          <t>INV-70709</t>
        </is>
      </c>
      <c r="B534" s="18" t="n">
        <v>45833</v>
      </c>
      <c r="C534" s="10" t="inlineStr">
        <is>
          <t>C1196</t>
        </is>
      </c>
      <c r="D534" s="10" t="inlineStr">
        <is>
          <t>occasional</t>
        </is>
      </c>
      <c r="E534" s="10" t="inlineStr">
        <is>
          <t>Offline Store</t>
        </is>
      </c>
      <c r="F534" s="10" t="inlineStr">
        <is>
          <t>Jawa Tengah</t>
        </is>
      </c>
      <c r="G534" s="10" t="inlineStr">
        <is>
          <t>Rumah Tangga</t>
        </is>
      </c>
      <c r="H534" s="10" t="inlineStr">
        <is>
          <t>Set Wadah Kedap</t>
        </is>
      </c>
      <c r="I534" s="19" t="n">
        <v>3</v>
      </c>
      <c r="J534" s="20" t="n">
        <v>135000</v>
      </c>
      <c r="K534" s="20" t="n">
        <v>405000</v>
      </c>
      <c r="L534" s="10">
        <f>IF($B534="","",TEXT($B534,"YYYY-MM"))</f>
        <v/>
      </c>
    </row>
    <row r="535">
      <c r="A535" s="10" t="inlineStr">
        <is>
          <t>INV-70262</t>
        </is>
      </c>
      <c r="B535" s="18" t="n">
        <v>45833</v>
      </c>
      <c r="C535" s="10" t="inlineStr">
        <is>
          <t>C1074</t>
        </is>
      </c>
      <c r="D535" s="10" t="inlineStr">
        <is>
          <t>regular</t>
        </is>
      </c>
      <c r="E535" s="10" t="inlineStr">
        <is>
          <t>TikTok Shop</t>
        </is>
      </c>
      <c r="F535" s="10" t="inlineStr">
        <is>
          <t>Jabodetabek</t>
        </is>
      </c>
      <c r="G535" s="10" t="inlineStr">
        <is>
          <t>Elektronik</t>
        </is>
      </c>
      <c r="H535" s="10" t="inlineStr">
        <is>
          <t>Webcam HD</t>
        </is>
      </c>
      <c r="I535" s="19" t="n">
        <v>4</v>
      </c>
      <c r="J535" s="20" t="n">
        <v>210000</v>
      </c>
      <c r="K535" s="20" t="n">
        <v>840000</v>
      </c>
      <c r="L535" s="10">
        <f>IF($B535="","",TEXT($B535,"YYYY-MM"))</f>
        <v/>
      </c>
    </row>
    <row r="536">
      <c r="A536" s="10" t="inlineStr">
        <is>
          <t>INV-70223</t>
        </is>
      </c>
      <c r="B536" s="18" t="n">
        <v>45833</v>
      </c>
      <c r="C536" s="10" t="inlineStr">
        <is>
          <t>C1062</t>
        </is>
      </c>
      <c r="D536" s="10" t="inlineStr">
        <is>
          <t>occasional</t>
        </is>
      </c>
      <c r="E536" s="10" t="inlineStr">
        <is>
          <t>Shopee</t>
        </is>
      </c>
      <c r="F536" s="10" t="inlineStr">
        <is>
          <t>Jawa Barat</t>
        </is>
      </c>
      <c r="G536" s="10" t="inlineStr">
        <is>
          <t>Makanan</t>
        </is>
      </c>
      <c r="H536" s="10" t="inlineStr">
        <is>
          <t>Granola 500g</t>
        </is>
      </c>
      <c r="I536" s="19" t="n">
        <v>3</v>
      </c>
      <c r="J536" s="20" t="n">
        <v>92000</v>
      </c>
      <c r="K536" s="20" t="n">
        <v>276000</v>
      </c>
      <c r="L536" s="10">
        <f>IF($B536="","",TEXT($B536,"YYYY-MM"))</f>
        <v/>
      </c>
    </row>
    <row r="537">
      <c r="A537" s="10" t="inlineStr">
        <is>
          <t>INV-70524</t>
        </is>
      </c>
      <c r="B537" s="18" t="n">
        <v>45833</v>
      </c>
      <c r="C537" s="10" t="inlineStr">
        <is>
          <t>C1145</t>
        </is>
      </c>
      <c r="D537" s="10" t="inlineStr">
        <is>
          <t>occasional</t>
        </is>
      </c>
      <c r="E537" s="10" t="inlineStr">
        <is>
          <t>Shopee</t>
        </is>
      </c>
      <c r="F537" s="10" t="inlineStr">
        <is>
          <t>Jabodetabek</t>
        </is>
      </c>
      <c r="G537" s="10" t="inlineStr">
        <is>
          <t>Kecantikan</t>
        </is>
      </c>
      <c r="H537" s="10" t="inlineStr">
        <is>
          <t>Serum Vit C</t>
        </is>
      </c>
      <c r="I537" s="19" t="n">
        <v>1</v>
      </c>
      <c r="J537" s="20" t="n">
        <v>145000</v>
      </c>
      <c r="K537" s="20" t="n">
        <v>145000</v>
      </c>
      <c r="L537" s="10">
        <f>IF($B537="","",TEXT($B537,"YYYY-MM"))</f>
        <v/>
      </c>
    </row>
    <row r="538">
      <c r="A538" s="10" t="inlineStr">
        <is>
          <t>INV-70389</t>
        </is>
      </c>
      <c r="B538" s="18" t="n">
        <v>45833</v>
      </c>
      <c r="C538" s="10" t="inlineStr">
        <is>
          <t>C1111</t>
        </is>
      </c>
      <c r="D538" s="10" t="inlineStr">
        <is>
          <t>champion</t>
        </is>
      </c>
      <c r="E538" s="10" t="inlineStr">
        <is>
          <t>Offline Store</t>
        </is>
      </c>
      <c r="F538" s="10" t="inlineStr">
        <is>
          <t>Jabodetabek</t>
        </is>
      </c>
      <c r="G538" s="10" t="inlineStr">
        <is>
          <t>Rumah Tangga</t>
        </is>
      </c>
      <c r="H538" s="10" t="inlineStr">
        <is>
          <t>Set Wadah Kedap</t>
        </is>
      </c>
      <c r="I538" s="19" t="n">
        <v>1</v>
      </c>
      <c r="J538" s="20" t="n">
        <v>135000</v>
      </c>
      <c r="K538" s="20" t="n">
        <v>135000</v>
      </c>
      <c r="L538" s="10">
        <f>IF($B538="","",TEXT($B538,"YYYY-MM"))</f>
        <v/>
      </c>
    </row>
    <row r="539">
      <c r="A539" s="10" t="inlineStr">
        <is>
          <t>INV-70399</t>
        </is>
      </c>
      <c r="B539" s="18" t="n">
        <v>45834</v>
      </c>
      <c r="C539" s="10" t="inlineStr">
        <is>
          <t>C1112</t>
        </is>
      </c>
      <c r="D539" s="10" t="inlineStr">
        <is>
          <t>loyal</t>
        </is>
      </c>
      <c r="E539" s="10" t="inlineStr">
        <is>
          <t>Tokopedia</t>
        </is>
      </c>
      <c r="F539" s="10" t="inlineStr">
        <is>
          <t>Jabodetabek</t>
        </is>
      </c>
      <c r="G539" s="10" t="inlineStr">
        <is>
          <t>Elektronik</t>
        </is>
      </c>
      <c r="H539" s="10" t="inlineStr">
        <is>
          <t>Power Bank 20K</t>
        </is>
      </c>
      <c r="I539" s="19" t="n">
        <v>2</v>
      </c>
      <c r="J539" s="20" t="n">
        <v>185000</v>
      </c>
      <c r="K539" s="20" t="n">
        <v>370000</v>
      </c>
      <c r="L539" s="10">
        <f>IF($B539="","",TEXT($B539,"YYYY-MM"))</f>
        <v/>
      </c>
    </row>
    <row r="540">
      <c r="A540" s="10" t="inlineStr">
        <is>
          <t>INV-71428</t>
        </is>
      </c>
      <c r="B540" s="18" t="n">
        <v>45834</v>
      </c>
      <c r="C540" s="10" t="inlineStr">
        <is>
          <t>C1394</t>
        </is>
      </c>
      <c r="D540" s="10" t="inlineStr">
        <is>
          <t>loyal</t>
        </is>
      </c>
      <c r="E540" s="10" t="inlineStr">
        <is>
          <t>TikTok Shop</t>
        </is>
      </c>
      <c r="F540" s="10" t="inlineStr">
        <is>
          <t>Sumatera</t>
        </is>
      </c>
      <c r="G540" s="10" t="inlineStr">
        <is>
          <t>Rumah Tangga</t>
        </is>
      </c>
      <c r="H540" s="10" t="inlineStr">
        <is>
          <t>Set Wadah Kedap</t>
        </is>
      </c>
      <c r="I540" s="19" t="n">
        <v>4</v>
      </c>
      <c r="J540" s="20" t="n">
        <v>135000</v>
      </c>
      <c r="K540" s="20" t="n">
        <v>540000</v>
      </c>
      <c r="L540" s="10">
        <f>IF($B540="","",TEXT($B540,"YYYY-MM"))</f>
        <v/>
      </c>
    </row>
    <row r="541">
      <c r="A541" s="10" t="inlineStr">
        <is>
          <t>INV-70407</t>
        </is>
      </c>
      <c r="B541" s="18" t="n">
        <v>45834</v>
      </c>
      <c r="C541" s="10" t="inlineStr">
        <is>
          <t>C1113</t>
        </is>
      </c>
      <c r="D541" s="10" t="inlineStr">
        <is>
          <t>loyal</t>
        </is>
      </c>
      <c r="E541" s="10" t="inlineStr">
        <is>
          <t>Shopee</t>
        </is>
      </c>
      <c r="F541" s="10" t="inlineStr">
        <is>
          <t>Jawa Tengah</t>
        </is>
      </c>
      <c r="G541" s="10" t="inlineStr">
        <is>
          <t>Elektronik</t>
        </is>
      </c>
      <c r="H541" s="10" t="inlineStr">
        <is>
          <t>Keyboard Mekanik</t>
        </is>
      </c>
      <c r="I541" s="19" t="n">
        <v>2</v>
      </c>
      <c r="J541" s="20" t="n">
        <v>380000</v>
      </c>
      <c r="K541" s="20" t="n">
        <v>760000</v>
      </c>
      <c r="L541" s="10">
        <f>IF($B541="","",TEXT($B541,"YYYY-MM"))</f>
        <v/>
      </c>
    </row>
    <row r="542">
      <c r="A542" s="10" t="inlineStr">
        <is>
          <t>INV-70019</t>
        </is>
      </c>
      <c r="B542" s="18" t="n">
        <v>45835</v>
      </c>
      <c r="C542" s="10" t="inlineStr">
        <is>
          <t>C1003</t>
        </is>
      </c>
      <c r="D542" s="10" t="inlineStr">
        <is>
          <t>regular</t>
        </is>
      </c>
      <c r="E542" s="10" t="inlineStr">
        <is>
          <t>TikTok Shop</t>
        </is>
      </c>
      <c r="F542" s="10" t="inlineStr">
        <is>
          <t>Jawa Tengah</t>
        </is>
      </c>
      <c r="G542" s="10" t="inlineStr">
        <is>
          <t>Rumah Tangga</t>
        </is>
      </c>
      <c r="H542" s="10" t="inlineStr">
        <is>
          <t>Set Wadah Kedap</t>
        </is>
      </c>
      <c r="I542" s="19" t="n">
        <v>1</v>
      </c>
      <c r="J542" s="20" t="n">
        <v>135000</v>
      </c>
      <c r="K542" s="20" t="n">
        <v>135000</v>
      </c>
      <c r="L542" s="10">
        <f>IF($B542="","",TEXT($B542,"YYYY-MM"))</f>
        <v/>
      </c>
    </row>
    <row r="543">
      <c r="A543" s="10" t="inlineStr">
        <is>
          <t>INV-71487</t>
        </is>
      </c>
      <c r="B543" s="18" t="n">
        <v>45835</v>
      </c>
      <c r="C543" s="10" t="inlineStr">
        <is>
          <t>C1409</t>
        </is>
      </c>
      <c r="D543" s="10" t="inlineStr">
        <is>
          <t>loyal</t>
        </is>
      </c>
      <c r="E543" s="10" t="inlineStr">
        <is>
          <t>Offline Store</t>
        </is>
      </c>
      <c r="F543" s="10" t="inlineStr">
        <is>
          <t>Jabodetabek</t>
        </is>
      </c>
      <c r="G543" s="10" t="inlineStr">
        <is>
          <t>Rumah Tangga</t>
        </is>
      </c>
      <c r="H543" s="10" t="inlineStr">
        <is>
          <t>Karpet Bulu</t>
        </is>
      </c>
      <c r="I543" s="19" t="n">
        <v>1</v>
      </c>
      <c r="J543" s="20" t="n">
        <v>240000</v>
      </c>
      <c r="K543" s="20" t="n">
        <v>240000</v>
      </c>
      <c r="L543" s="10">
        <f>IF($B543="","",TEXT($B543,"YYYY-MM"))</f>
        <v/>
      </c>
    </row>
    <row r="544">
      <c r="A544" s="10" t="inlineStr">
        <is>
          <t>INV-70768</t>
        </is>
      </c>
      <c r="B544" s="18" t="n">
        <v>45835</v>
      </c>
      <c r="C544" s="10" t="inlineStr">
        <is>
          <t>C1215</t>
        </is>
      </c>
      <c r="D544" s="10" t="inlineStr">
        <is>
          <t>loyal</t>
        </is>
      </c>
      <c r="E544" s="10" t="inlineStr">
        <is>
          <t>Shopee</t>
        </is>
      </c>
      <c r="F544" s="10" t="inlineStr">
        <is>
          <t>Jabodetabek</t>
        </is>
      </c>
      <c r="G544" s="10" t="inlineStr">
        <is>
          <t>Elektronik</t>
        </is>
      </c>
      <c r="H544" s="10" t="inlineStr">
        <is>
          <t>Earbuds TWS</t>
        </is>
      </c>
      <c r="I544" s="19" t="n">
        <v>1</v>
      </c>
      <c r="J544" s="20" t="n">
        <v>265000</v>
      </c>
      <c r="K544" s="20" t="n">
        <v>265000</v>
      </c>
      <c r="L544" s="10">
        <f>IF($B544="","",TEXT($B544,"YYYY-MM"))</f>
        <v/>
      </c>
    </row>
    <row r="545">
      <c r="A545" s="10" t="inlineStr">
        <is>
          <t>INV-70798</t>
        </is>
      </c>
      <c r="B545" s="18" t="n">
        <v>45835</v>
      </c>
      <c r="C545" s="10" t="inlineStr">
        <is>
          <t>C1224</t>
        </is>
      </c>
      <c r="D545" s="10" t="inlineStr">
        <is>
          <t>regular</t>
        </is>
      </c>
      <c r="E545" s="10" t="inlineStr">
        <is>
          <t>Tokopedia</t>
        </is>
      </c>
      <c r="F545" s="10" t="inlineStr">
        <is>
          <t>Jabodetabek</t>
        </is>
      </c>
      <c r="G545" s="10" t="inlineStr">
        <is>
          <t>Fashion</t>
        </is>
      </c>
      <c r="H545" s="10" t="inlineStr">
        <is>
          <t>Celana Chino</t>
        </is>
      </c>
      <c r="I545" s="19" t="n">
        <v>1</v>
      </c>
      <c r="J545" s="20" t="n">
        <v>195000</v>
      </c>
      <c r="K545" s="20" t="n">
        <v>195000</v>
      </c>
      <c r="L545" s="10">
        <f>IF($B545="","",TEXT($B545,"YYYY-MM"))</f>
        <v/>
      </c>
    </row>
    <row r="546">
      <c r="A546" s="10" t="inlineStr">
        <is>
          <t>INV-71182</t>
        </is>
      </c>
      <c r="B546" s="18" t="n">
        <v>45835</v>
      </c>
      <c r="C546" s="10" t="inlineStr">
        <is>
          <t>C1334</t>
        </is>
      </c>
      <c r="D546" s="10" t="inlineStr">
        <is>
          <t>champion</t>
        </is>
      </c>
      <c r="E546" s="10" t="inlineStr">
        <is>
          <t>TikTok Shop</t>
        </is>
      </c>
      <c r="F546" s="10" t="inlineStr">
        <is>
          <t>Jabodetabek</t>
        </is>
      </c>
      <c r="G546" s="10" t="inlineStr">
        <is>
          <t>Fashion</t>
        </is>
      </c>
      <c r="H546" s="10" t="inlineStr">
        <is>
          <t>Celana Chino</t>
        </is>
      </c>
      <c r="I546" s="19" t="n">
        <v>2</v>
      </c>
      <c r="J546" s="20" t="n">
        <v>195000</v>
      </c>
      <c r="K546" s="20" t="n">
        <v>390000</v>
      </c>
      <c r="L546" s="10">
        <f>IF($B546="","",TEXT($B546,"YYYY-MM"))</f>
        <v/>
      </c>
    </row>
    <row r="547">
      <c r="A547" s="10" t="inlineStr">
        <is>
          <t>INV-70439</t>
        </is>
      </c>
      <c r="B547" s="18" t="n">
        <v>45835</v>
      </c>
      <c r="C547" s="10" t="inlineStr">
        <is>
          <t>C1123</t>
        </is>
      </c>
      <c r="D547" s="10" t="inlineStr">
        <is>
          <t>regular</t>
        </is>
      </c>
      <c r="E547" s="10" t="inlineStr">
        <is>
          <t>Shopee</t>
        </is>
      </c>
      <c r="F547" s="10" t="inlineStr">
        <is>
          <t>Jawa Barat</t>
        </is>
      </c>
      <c r="G547" s="10" t="inlineStr">
        <is>
          <t>Elektronik</t>
        </is>
      </c>
      <c r="H547" s="10" t="inlineStr">
        <is>
          <t>Webcam HD</t>
        </is>
      </c>
      <c r="I547" s="19" t="n">
        <v>2</v>
      </c>
      <c r="J547" s="20" t="n">
        <v>210000</v>
      </c>
      <c r="K547" s="20" t="n">
        <v>420000</v>
      </c>
      <c r="L547" s="10">
        <f>IF($B547="","",TEXT($B547,"YYYY-MM"))</f>
        <v/>
      </c>
    </row>
    <row r="548">
      <c r="A548" s="10" t="inlineStr">
        <is>
          <t>INV-70397</t>
        </is>
      </c>
      <c r="B548" s="18" t="n">
        <v>45835</v>
      </c>
      <c r="C548" s="10" t="inlineStr">
        <is>
          <t>C1112</t>
        </is>
      </c>
      <c r="D548" s="10" t="inlineStr">
        <is>
          <t>loyal</t>
        </is>
      </c>
      <c r="E548" s="10" t="inlineStr">
        <is>
          <t>Shopee</t>
        </is>
      </c>
      <c r="F548" s="10" t="inlineStr">
        <is>
          <t>Jawa Barat</t>
        </is>
      </c>
      <c r="G548" s="10" t="inlineStr">
        <is>
          <t>Rumah Tangga</t>
        </is>
      </c>
      <c r="H548" s="10" t="inlineStr">
        <is>
          <t>Set Wadah Kedap</t>
        </is>
      </c>
      <c r="I548" s="19" t="n">
        <v>1</v>
      </c>
      <c r="J548" s="20" t="n">
        <v>135000</v>
      </c>
      <c r="K548" s="20" t="n">
        <v>135000</v>
      </c>
      <c r="L548" s="10">
        <f>IF($B548="","",TEXT($B548,"YYYY-MM"))</f>
        <v/>
      </c>
    </row>
    <row r="549">
      <c r="A549" s="10" t="inlineStr">
        <is>
          <t>INV-70666</t>
        </is>
      </c>
      <c r="B549" s="18" t="n">
        <v>45839</v>
      </c>
      <c r="C549" s="10" t="inlineStr">
        <is>
          <t>C1183</t>
        </is>
      </c>
      <c r="D549" s="10" t="inlineStr">
        <is>
          <t>regular</t>
        </is>
      </c>
      <c r="E549" s="10" t="inlineStr">
        <is>
          <t>TikTok Shop</t>
        </is>
      </c>
      <c r="F549" s="10" t="inlineStr">
        <is>
          <t>Jabodetabek</t>
        </is>
      </c>
      <c r="G549" s="10" t="inlineStr">
        <is>
          <t>Rumah Tangga</t>
        </is>
      </c>
      <c r="H549" s="10" t="inlineStr">
        <is>
          <t>Set Wadah Kedap</t>
        </is>
      </c>
      <c r="I549" s="19" t="n">
        <v>2</v>
      </c>
      <c r="J549" s="20" t="n">
        <v>135000</v>
      </c>
      <c r="K549" s="20" t="n">
        <v>270000</v>
      </c>
      <c r="L549" s="10">
        <f>IF($B549="","",TEXT($B549,"YYYY-MM"))</f>
        <v/>
      </c>
    </row>
    <row r="550">
      <c r="A550" s="10" t="inlineStr">
        <is>
          <t>INV-70834</t>
        </is>
      </c>
      <c r="B550" s="18" t="n">
        <v>45839</v>
      </c>
      <c r="C550" s="10" t="inlineStr">
        <is>
          <t>C1235</t>
        </is>
      </c>
      <c r="D550" s="10" t="inlineStr">
        <is>
          <t>regular</t>
        </is>
      </c>
      <c r="E550" s="10" t="inlineStr">
        <is>
          <t>Offline Store</t>
        </is>
      </c>
      <c r="F550" s="10" t="inlineStr">
        <is>
          <t>Jawa Timur</t>
        </is>
      </c>
      <c r="G550" s="10" t="inlineStr">
        <is>
          <t>Fashion</t>
        </is>
      </c>
      <c r="H550" s="10" t="inlineStr">
        <is>
          <t>Celana Chino</t>
        </is>
      </c>
      <c r="I550" s="19" t="n">
        <v>1</v>
      </c>
      <c r="J550" s="20" t="n">
        <v>195000</v>
      </c>
      <c r="K550" s="20" t="n">
        <v>195000</v>
      </c>
      <c r="L550" s="10">
        <f>IF($B550="","",TEXT($B550,"YYYY-MM"))</f>
        <v/>
      </c>
    </row>
    <row r="551">
      <c r="A551" s="10" t="inlineStr">
        <is>
          <t>INV-70478</t>
        </is>
      </c>
      <c r="B551" s="18" t="n">
        <v>45839</v>
      </c>
      <c r="C551" s="10" t="inlineStr">
        <is>
          <t>C1137</t>
        </is>
      </c>
      <c r="D551" s="10" t="inlineStr">
        <is>
          <t>loyal</t>
        </is>
      </c>
      <c r="E551" s="10" t="inlineStr">
        <is>
          <t>TikTok Shop</t>
        </is>
      </c>
      <c r="F551" s="10" t="inlineStr">
        <is>
          <t>Sumatera</t>
        </is>
      </c>
      <c r="G551" s="10" t="inlineStr">
        <is>
          <t>Kecantikan</t>
        </is>
      </c>
      <c r="H551" s="10" t="inlineStr">
        <is>
          <t>Masker Wajah (5s)</t>
        </is>
      </c>
      <c r="I551" s="19" t="n">
        <v>2</v>
      </c>
      <c r="J551" s="20" t="n">
        <v>55000</v>
      </c>
      <c r="K551" s="20" t="n">
        <v>110000</v>
      </c>
      <c r="L551" s="10">
        <f>IF($B551="","",TEXT($B551,"YYYY-MM"))</f>
        <v/>
      </c>
    </row>
    <row r="552">
      <c r="A552" s="10" t="inlineStr">
        <is>
          <t>INV-71110</t>
        </is>
      </c>
      <c r="B552" s="18" t="n">
        <v>45839</v>
      </c>
      <c r="C552" s="10" t="inlineStr">
        <is>
          <t>C1310</t>
        </is>
      </c>
      <c r="D552" s="10" t="inlineStr">
        <is>
          <t>loyal</t>
        </is>
      </c>
      <c r="E552" s="10" t="inlineStr">
        <is>
          <t>Offline Store</t>
        </is>
      </c>
      <c r="F552" s="10" t="inlineStr">
        <is>
          <t>Jawa Barat</t>
        </is>
      </c>
      <c r="G552" s="10" t="inlineStr">
        <is>
          <t>Elektronik</t>
        </is>
      </c>
      <c r="H552" s="10" t="inlineStr">
        <is>
          <t>Power Bank 20K</t>
        </is>
      </c>
      <c r="I552" s="19" t="n">
        <v>2</v>
      </c>
      <c r="J552" s="20" t="n">
        <v>185000</v>
      </c>
      <c r="K552" s="20" t="n">
        <v>370000</v>
      </c>
      <c r="L552" s="10">
        <f>IF($B552="","",TEXT($B552,"YYYY-MM"))</f>
        <v/>
      </c>
    </row>
    <row r="553">
      <c r="A553" s="10" t="inlineStr">
        <is>
          <t>INV-71383</t>
        </is>
      </c>
      <c r="B553" s="18" t="n">
        <v>45840</v>
      </c>
      <c r="C553" s="10" t="inlineStr">
        <is>
          <t>C1383</t>
        </is>
      </c>
      <c r="D553" s="10" t="inlineStr">
        <is>
          <t>loyal</t>
        </is>
      </c>
      <c r="E553" s="10" t="inlineStr">
        <is>
          <t>Shopee</t>
        </is>
      </c>
      <c r="F553" s="10" t="inlineStr">
        <is>
          <t>Lainnya</t>
        </is>
      </c>
      <c r="G553" s="10" t="inlineStr">
        <is>
          <t>Rumah Tangga</t>
        </is>
      </c>
      <c r="H553" s="10" t="inlineStr">
        <is>
          <t>Organizer Laci</t>
        </is>
      </c>
      <c r="I553" s="19" t="n">
        <v>1</v>
      </c>
      <c r="J553" s="20" t="n">
        <v>78000</v>
      </c>
      <c r="K553" s="20" t="n">
        <v>78000</v>
      </c>
      <c r="L553" s="10">
        <f>IF($B553="","",TEXT($B553,"YYYY-MM"))</f>
        <v/>
      </c>
    </row>
    <row r="554">
      <c r="A554" s="10" t="inlineStr">
        <is>
          <t>INV-71450</t>
        </is>
      </c>
      <c r="B554" s="18" t="n">
        <v>45840</v>
      </c>
      <c r="C554" s="10" t="inlineStr">
        <is>
          <t>C1401</t>
        </is>
      </c>
      <c r="D554" s="10" t="inlineStr">
        <is>
          <t>occasional</t>
        </is>
      </c>
      <c r="E554" s="10" t="inlineStr">
        <is>
          <t>Tokopedia</t>
        </is>
      </c>
      <c r="F554" s="10" t="inlineStr">
        <is>
          <t>Sumatera</t>
        </is>
      </c>
      <c r="G554" s="10" t="inlineStr">
        <is>
          <t>Elektronik</t>
        </is>
      </c>
      <c r="H554" s="10" t="inlineStr">
        <is>
          <t>Earbuds TWS</t>
        </is>
      </c>
      <c r="I554" s="19" t="n">
        <v>1</v>
      </c>
      <c r="J554" s="20" t="n">
        <v>265000</v>
      </c>
      <c r="K554" s="20" t="n">
        <v>265000</v>
      </c>
      <c r="L554" s="10">
        <f>IF($B554="","",TEXT($B554,"YYYY-MM"))</f>
        <v/>
      </c>
    </row>
    <row r="555">
      <c r="A555" s="10" t="inlineStr">
        <is>
          <t>INV-70396</t>
        </is>
      </c>
      <c r="B555" s="18" t="n">
        <v>45841</v>
      </c>
      <c r="C555" s="10" t="inlineStr">
        <is>
          <t>C1111</t>
        </is>
      </c>
      <c r="D555" s="10" t="inlineStr">
        <is>
          <t>champion</t>
        </is>
      </c>
      <c r="E555" s="10" t="inlineStr">
        <is>
          <t>Tokopedia</t>
        </is>
      </c>
      <c r="F555" s="10" t="inlineStr">
        <is>
          <t>Jawa Barat</t>
        </is>
      </c>
      <c r="G555" s="10" t="inlineStr">
        <is>
          <t>Kecantikan</t>
        </is>
      </c>
      <c r="H555" s="10" t="inlineStr">
        <is>
          <t>Masker Wajah (5s)</t>
        </is>
      </c>
      <c r="I555" s="19" t="n">
        <v>2</v>
      </c>
      <c r="J555" s="20" t="n">
        <v>55000</v>
      </c>
      <c r="K555" s="20" t="n">
        <v>110000</v>
      </c>
      <c r="L555" s="10">
        <f>IF($B555="","",TEXT($B555,"YYYY-MM"))</f>
        <v/>
      </c>
    </row>
    <row r="556">
      <c r="A556" s="10" t="inlineStr">
        <is>
          <t>INV-71139</t>
        </is>
      </c>
      <c r="B556" s="18" t="n">
        <v>45841</v>
      </c>
      <c r="C556" s="10" t="inlineStr">
        <is>
          <t>C1322</t>
        </is>
      </c>
      <c r="D556" s="10" t="inlineStr">
        <is>
          <t>loyal</t>
        </is>
      </c>
      <c r="E556" s="10" t="inlineStr">
        <is>
          <t>TikTok Shop</t>
        </is>
      </c>
      <c r="F556" s="10" t="inlineStr">
        <is>
          <t>Jawa Barat</t>
        </is>
      </c>
      <c r="G556" s="10" t="inlineStr">
        <is>
          <t>Makanan</t>
        </is>
      </c>
      <c r="H556" s="10" t="inlineStr">
        <is>
          <t>Granola 500g</t>
        </is>
      </c>
      <c r="I556" s="19" t="n">
        <v>4</v>
      </c>
      <c r="J556" s="20" t="n">
        <v>92000</v>
      </c>
      <c r="K556" s="20" t="n">
        <v>368000</v>
      </c>
      <c r="L556" s="10">
        <f>IF($B556="","",TEXT($B556,"YYYY-MM"))</f>
        <v/>
      </c>
    </row>
    <row r="557">
      <c r="A557" s="10" t="inlineStr">
        <is>
          <t>INV-71213</t>
        </is>
      </c>
      <c r="B557" s="18" t="n">
        <v>45841</v>
      </c>
      <c r="C557" s="10" t="inlineStr">
        <is>
          <t>C1344</t>
        </is>
      </c>
      <c r="D557" s="10" t="inlineStr">
        <is>
          <t>loyal</t>
        </is>
      </c>
      <c r="E557" s="10" t="inlineStr">
        <is>
          <t>Tokopedia</t>
        </is>
      </c>
      <c r="F557" s="10" t="inlineStr">
        <is>
          <t>Jabodetabek</t>
        </is>
      </c>
      <c r="G557" s="10" t="inlineStr">
        <is>
          <t>Rumah Tangga</t>
        </is>
      </c>
      <c r="H557" s="10" t="inlineStr">
        <is>
          <t>Set Wadah Kedap</t>
        </is>
      </c>
      <c r="I557" s="19" t="n">
        <v>2</v>
      </c>
      <c r="J557" s="20" t="n">
        <v>135000</v>
      </c>
      <c r="K557" s="20" t="n">
        <v>270000</v>
      </c>
      <c r="L557" s="10">
        <f>IF($B557="","",TEXT($B557,"YYYY-MM"))</f>
        <v/>
      </c>
    </row>
    <row r="558">
      <c r="A558" s="10" t="inlineStr">
        <is>
          <t>INV-70068</t>
        </is>
      </c>
      <c r="B558" s="18" t="n">
        <v>45841</v>
      </c>
      <c r="C558" s="10" t="inlineStr">
        <is>
          <t>C1021</t>
        </is>
      </c>
      <c r="D558" s="10" t="inlineStr">
        <is>
          <t>loyal</t>
        </is>
      </c>
      <c r="E558" s="10" t="inlineStr">
        <is>
          <t>Tokopedia</t>
        </is>
      </c>
      <c r="F558" s="10" t="inlineStr">
        <is>
          <t>Jawa Barat</t>
        </is>
      </c>
      <c r="G558" s="10" t="inlineStr">
        <is>
          <t>Elektronik</t>
        </is>
      </c>
      <c r="H558" s="10" t="inlineStr">
        <is>
          <t>Smartwatch</t>
        </is>
      </c>
      <c r="I558" s="19" t="n">
        <v>2</v>
      </c>
      <c r="J558" s="20" t="n">
        <v>450000</v>
      </c>
      <c r="K558" s="20" t="n">
        <v>900000</v>
      </c>
      <c r="L558" s="10">
        <f>IF($B558="","",TEXT($B558,"YYYY-MM"))</f>
        <v/>
      </c>
    </row>
    <row r="559">
      <c r="A559" s="10" t="inlineStr">
        <is>
          <t>INV-70452</t>
        </is>
      </c>
      <c r="B559" s="18" t="n">
        <v>45841</v>
      </c>
      <c r="C559" s="10" t="inlineStr">
        <is>
          <t>C1129</t>
        </is>
      </c>
      <c r="D559" s="10" t="inlineStr">
        <is>
          <t>regular</t>
        </is>
      </c>
      <c r="E559" s="10" t="inlineStr">
        <is>
          <t>Tokopedia</t>
        </is>
      </c>
      <c r="F559" s="10" t="inlineStr">
        <is>
          <t>Jabodetabek</t>
        </is>
      </c>
      <c r="G559" s="10" t="inlineStr">
        <is>
          <t>Rumah Tangga</t>
        </is>
      </c>
      <c r="H559" s="10" t="inlineStr">
        <is>
          <t>Set Wadah Kedap</t>
        </is>
      </c>
      <c r="I559" s="19" t="n">
        <v>1</v>
      </c>
      <c r="J559" s="20" t="n">
        <v>135000</v>
      </c>
      <c r="K559" s="20" t="n">
        <v>135000</v>
      </c>
      <c r="L559" s="10">
        <f>IF($B559="","",TEXT($B559,"YYYY-MM"))</f>
        <v/>
      </c>
    </row>
    <row r="560">
      <c r="A560" s="10" t="inlineStr">
        <is>
          <t>INV-70810</t>
        </is>
      </c>
      <c r="B560" s="18" t="n">
        <v>45842</v>
      </c>
      <c r="C560" s="10" t="inlineStr">
        <is>
          <t>C1227</t>
        </is>
      </c>
      <c r="D560" s="10" t="inlineStr">
        <is>
          <t>occasional</t>
        </is>
      </c>
      <c r="E560" s="10" t="inlineStr">
        <is>
          <t>Shopee</t>
        </is>
      </c>
      <c r="F560" s="10" t="inlineStr">
        <is>
          <t>Jabodetabek</t>
        </is>
      </c>
      <c r="G560" s="10" t="inlineStr">
        <is>
          <t>Rumah Tangga</t>
        </is>
      </c>
      <c r="H560" s="10" t="inlineStr">
        <is>
          <t>Set Wadah Kedap</t>
        </is>
      </c>
      <c r="I560" s="19" t="n">
        <v>2</v>
      </c>
      <c r="J560" s="20" t="n">
        <v>135000</v>
      </c>
      <c r="K560" s="20" t="n">
        <v>270000</v>
      </c>
      <c r="L560" s="10">
        <f>IF($B560="","",TEXT($B560,"YYYY-MM"))</f>
        <v/>
      </c>
    </row>
    <row r="561">
      <c r="A561" s="10" t="inlineStr">
        <is>
          <t>INV-71184</t>
        </is>
      </c>
      <c r="B561" s="18" t="n">
        <v>45843</v>
      </c>
      <c r="C561" s="10" t="inlineStr">
        <is>
          <t>C1334</t>
        </is>
      </c>
      <c r="D561" s="10" t="inlineStr">
        <is>
          <t>champion</t>
        </is>
      </c>
      <c r="E561" s="10" t="inlineStr">
        <is>
          <t>TikTok Shop</t>
        </is>
      </c>
      <c r="F561" s="10" t="inlineStr">
        <is>
          <t>Jabodetabek</t>
        </is>
      </c>
      <c r="G561" s="10" t="inlineStr">
        <is>
          <t>Rumah Tangga</t>
        </is>
      </c>
      <c r="H561" s="10" t="inlineStr">
        <is>
          <t>Set Wadah Kedap</t>
        </is>
      </c>
      <c r="I561" s="19" t="n">
        <v>1</v>
      </c>
      <c r="J561" s="20" t="n">
        <v>135000</v>
      </c>
      <c r="K561" s="20" t="n">
        <v>135000</v>
      </c>
      <c r="L561" s="10">
        <f>IF($B561="","",TEXT($B561,"YYYY-MM"))</f>
        <v/>
      </c>
    </row>
    <row r="562">
      <c r="A562" s="10" t="inlineStr">
        <is>
          <t>INV-71310</t>
        </is>
      </c>
      <c r="B562" s="18" t="n">
        <v>45844</v>
      </c>
      <c r="C562" s="10" t="inlineStr">
        <is>
          <t>C1364</t>
        </is>
      </c>
      <c r="D562" s="10" t="inlineStr">
        <is>
          <t>champion</t>
        </is>
      </c>
      <c r="E562" s="10" t="inlineStr">
        <is>
          <t>TikTok Shop</t>
        </is>
      </c>
      <c r="F562" s="10" t="inlineStr">
        <is>
          <t>Jabodetabek</t>
        </is>
      </c>
      <c r="G562" s="10" t="inlineStr">
        <is>
          <t>Rumah Tangga</t>
        </is>
      </c>
      <c r="H562" s="10" t="inlineStr">
        <is>
          <t>Set Wadah Kedap</t>
        </is>
      </c>
      <c r="I562" s="19" t="n">
        <v>4</v>
      </c>
      <c r="J562" s="20" t="n">
        <v>135000</v>
      </c>
      <c r="K562" s="20" t="n">
        <v>540000</v>
      </c>
      <c r="L562" s="10">
        <f>IF($B562="","",TEXT($B562,"YYYY-MM"))</f>
        <v/>
      </c>
    </row>
    <row r="563">
      <c r="A563" s="10" t="inlineStr">
        <is>
          <t>INV-70040</t>
        </is>
      </c>
      <c r="B563" s="18" t="n">
        <v>45844</v>
      </c>
      <c r="C563" s="10" t="inlineStr">
        <is>
          <t>C1010</t>
        </is>
      </c>
      <c r="D563" s="10" t="inlineStr">
        <is>
          <t>occasional</t>
        </is>
      </c>
      <c r="E563" s="10" t="inlineStr">
        <is>
          <t>Shopee</t>
        </is>
      </c>
      <c r="F563" s="10" t="inlineStr">
        <is>
          <t>Jabodetabek</t>
        </is>
      </c>
      <c r="G563" s="10" t="inlineStr">
        <is>
          <t>Rumah Tangga</t>
        </is>
      </c>
      <c r="H563" s="10" t="inlineStr">
        <is>
          <t>Set Wadah Kedap</t>
        </is>
      </c>
      <c r="I563" s="19" t="n">
        <v>2</v>
      </c>
      <c r="J563" s="20" t="n">
        <v>135000</v>
      </c>
      <c r="K563" s="20" t="n">
        <v>270000</v>
      </c>
      <c r="L563" s="10">
        <f>IF($B563="","",TEXT($B563,"YYYY-MM"))</f>
        <v/>
      </c>
    </row>
    <row r="564">
      <c r="A564" s="10" t="inlineStr">
        <is>
          <t>INV-71339</t>
        </is>
      </c>
      <c r="B564" s="18" t="n">
        <v>45844</v>
      </c>
      <c r="C564" s="10" t="inlineStr">
        <is>
          <t>C1369</t>
        </is>
      </c>
      <c r="D564" s="10" t="inlineStr">
        <is>
          <t>loyal</t>
        </is>
      </c>
      <c r="E564" s="10" t="inlineStr">
        <is>
          <t>Shopee</t>
        </is>
      </c>
      <c r="F564" s="10" t="inlineStr">
        <is>
          <t>Jawa Barat</t>
        </is>
      </c>
      <c r="G564" s="10" t="inlineStr">
        <is>
          <t>Rumah Tangga</t>
        </is>
      </c>
      <c r="H564" s="10" t="inlineStr">
        <is>
          <t>Set Wadah Kedap</t>
        </is>
      </c>
      <c r="I564" s="19" t="n">
        <v>1</v>
      </c>
      <c r="J564" s="20" t="n">
        <v>135000</v>
      </c>
      <c r="K564" s="20" t="n">
        <v>135000</v>
      </c>
      <c r="L564" s="10">
        <f>IF($B564="","",TEXT($B564,"YYYY-MM"))</f>
        <v/>
      </c>
    </row>
    <row r="565">
      <c r="A565" s="10" t="inlineStr">
        <is>
          <t>INV-71063</t>
        </is>
      </c>
      <c r="B565" s="18" t="n">
        <v>45844</v>
      </c>
      <c r="C565" s="10" t="inlineStr">
        <is>
          <t>C1301</t>
        </is>
      </c>
      <c r="D565" s="10" t="inlineStr">
        <is>
          <t>regular</t>
        </is>
      </c>
      <c r="E565" s="10" t="inlineStr">
        <is>
          <t>Shopee</t>
        </is>
      </c>
      <c r="F565" s="10" t="inlineStr">
        <is>
          <t>Jabodetabek</t>
        </is>
      </c>
      <c r="G565" s="10" t="inlineStr">
        <is>
          <t>Makanan</t>
        </is>
      </c>
      <c r="H565" s="10" t="inlineStr">
        <is>
          <t>Granola 500g</t>
        </is>
      </c>
      <c r="I565" s="19" t="n">
        <v>2</v>
      </c>
      <c r="J565" s="20" t="n">
        <v>92000</v>
      </c>
      <c r="K565" s="20" t="n">
        <v>184000</v>
      </c>
      <c r="L565" s="10">
        <f>IF($B565="","",TEXT($B565,"YYYY-MM"))</f>
        <v/>
      </c>
    </row>
    <row r="566">
      <c r="A566" s="10" t="inlineStr">
        <is>
          <t>INV-71043</t>
        </is>
      </c>
      <c r="B566" s="18" t="n">
        <v>45844</v>
      </c>
      <c r="C566" s="10" t="inlineStr">
        <is>
          <t>C1295</t>
        </is>
      </c>
      <c r="D566" s="10" t="inlineStr">
        <is>
          <t>regular</t>
        </is>
      </c>
      <c r="E566" s="10" t="inlineStr">
        <is>
          <t>Offline Store</t>
        </is>
      </c>
      <c r="F566" s="10" t="inlineStr">
        <is>
          <t>Jabodetabek</t>
        </is>
      </c>
      <c r="G566" s="10" t="inlineStr">
        <is>
          <t>Rumah Tangga</t>
        </is>
      </c>
      <c r="H566" s="10" t="inlineStr">
        <is>
          <t>Organizer Laci</t>
        </is>
      </c>
      <c r="I566" s="19" t="n">
        <v>2</v>
      </c>
      <c r="J566" s="20" t="n">
        <v>78000</v>
      </c>
      <c r="K566" s="20" t="n">
        <v>156000</v>
      </c>
      <c r="L566" s="10">
        <f>IF($B566="","",TEXT($B566,"YYYY-MM"))</f>
        <v/>
      </c>
    </row>
    <row r="567">
      <c r="A567" s="10" t="inlineStr">
        <is>
          <t>INV-70795</t>
        </is>
      </c>
      <c r="B567" s="18" t="n">
        <v>45847</v>
      </c>
      <c r="C567" s="10" t="inlineStr">
        <is>
          <t>C1223</t>
        </is>
      </c>
      <c r="D567" s="10" t="inlineStr">
        <is>
          <t>loyal</t>
        </is>
      </c>
      <c r="E567" s="10" t="inlineStr">
        <is>
          <t>Shopee</t>
        </is>
      </c>
      <c r="F567" s="10" t="inlineStr">
        <is>
          <t>Sumatera</t>
        </is>
      </c>
      <c r="G567" s="10" t="inlineStr">
        <is>
          <t>Rumah Tangga</t>
        </is>
      </c>
      <c r="H567" s="10" t="inlineStr">
        <is>
          <t>Set Wadah Kedap</t>
        </is>
      </c>
      <c r="I567" s="19" t="n">
        <v>4</v>
      </c>
      <c r="J567" s="20" t="n">
        <v>135000</v>
      </c>
      <c r="K567" s="20" t="n">
        <v>540000</v>
      </c>
      <c r="L567" s="10">
        <f>IF($B567="","",TEXT($B567,"YYYY-MM"))</f>
        <v/>
      </c>
    </row>
    <row r="568">
      <c r="A568" s="10" t="inlineStr">
        <is>
          <t>INV-70684</t>
        </is>
      </c>
      <c r="B568" s="18" t="n">
        <v>45848</v>
      </c>
      <c r="C568" s="10" t="inlineStr">
        <is>
          <t>C1186</t>
        </is>
      </c>
      <c r="D568" s="10" t="inlineStr">
        <is>
          <t>loyal</t>
        </is>
      </c>
      <c r="E568" s="10" t="inlineStr">
        <is>
          <t>TikTok Shop</t>
        </is>
      </c>
      <c r="F568" s="10" t="inlineStr">
        <is>
          <t>Jabodetabek</t>
        </is>
      </c>
      <c r="G568" s="10" t="inlineStr">
        <is>
          <t>Kecantikan</t>
        </is>
      </c>
      <c r="H568" s="10" t="inlineStr">
        <is>
          <t>Serum Vit C</t>
        </is>
      </c>
      <c r="I568" s="19" t="n">
        <v>1</v>
      </c>
      <c r="J568" s="20" t="n">
        <v>145000</v>
      </c>
      <c r="K568" s="20" t="n">
        <v>145000</v>
      </c>
      <c r="L568" s="10">
        <f>IF($B568="","",TEXT($B568,"YYYY-MM"))</f>
        <v/>
      </c>
    </row>
    <row r="569">
      <c r="A569" s="10" t="inlineStr">
        <is>
          <t>INV-71099</t>
        </is>
      </c>
      <c r="B569" s="18" t="n">
        <v>45848</v>
      </c>
      <c r="C569" s="10" t="inlineStr">
        <is>
          <t>C1308</t>
        </is>
      </c>
      <c r="D569" s="10" t="inlineStr">
        <is>
          <t>onetime</t>
        </is>
      </c>
      <c r="E569" s="10" t="inlineStr">
        <is>
          <t>Offline Store</t>
        </is>
      </c>
      <c r="F569" s="10" t="inlineStr">
        <is>
          <t>Jawa Tengah</t>
        </is>
      </c>
      <c r="G569" s="10" t="inlineStr">
        <is>
          <t>Elektronik</t>
        </is>
      </c>
      <c r="H569" s="10" t="inlineStr">
        <is>
          <t>Power Bank 20K</t>
        </is>
      </c>
      <c r="I569" s="19" t="n">
        <v>3</v>
      </c>
      <c r="J569" s="20" t="n">
        <v>185000</v>
      </c>
      <c r="K569" s="20" t="n">
        <v>555000</v>
      </c>
      <c r="L569" s="10">
        <f>IF($B569="","",TEXT($B569,"YYYY-MM"))</f>
        <v/>
      </c>
    </row>
    <row r="570">
      <c r="A570" s="10" t="inlineStr">
        <is>
          <t>INV-70160</t>
        </is>
      </c>
      <c r="B570" s="18" t="n">
        <v>45848</v>
      </c>
      <c r="C570" s="10" t="inlineStr">
        <is>
          <t>C1048</t>
        </is>
      </c>
      <c r="D570" s="10" t="inlineStr">
        <is>
          <t>occasional</t>
        </is>
      </c>
      <c r="E570" s="10" t="inlineStr">
        <is>
          <t>Shopee</t>
        </is>
      </c>
      <c r="F570" s="10" t="inlineStr">
        <is>
          <t>Lainnya</t>
        </is>
      </c>
      <c r="G570" s="10" t="inlineStr">
        <is>
          <t>Rumah Tangga</t>
        </is>
      </c>
      <c r="H570" s="10" t="inlineStr">
        <is>
          <t>Set Wadah Kedap</t>
        </is>
      </c>
      <c r="I570" s="19" t="n">
        <v>3</v>
      </c>
      <c r="J570" s="20" t="n">
        <v>135000</v>
      </c>
      <c r="K570" s="20" t="n">
        <v>405000</v>
      </c>
      <c r="L570" s="10">
        <f>IF($B570="","",TEXT($B570,"YYYY-MM"))</f>
        <v/>
      </c>
    </row>
    <row r="571">
      <c r="A571" s="10" t="inlineStr">
        <is>
          <t>INV-70107</t>
        </is>
      </c>
      <c r="B571" s="18" t="n">
        <v>45849</v>
      </c>
      <c r="C571" s="10" t="inlineStr">
        <is>
          <t>C1030</t>
        </is>
      </c>
      <c r="D571" s="10" t="inlineStr">
        <is>
          <t>onetime</t>
        </is>
      </c>
      <c r="E571" s="10" t="inlineStr">
        <is>
          <t>Tokopedia</t>
        </is>
      </c>
      <c r="F571" s="10" t="inlineStr">
        <is>
          <t>Jabodetabek</t>
        </is>
      </c>
      <c r="G571" s="10" t="inlineStr">
        <is>
          <t>Rumah Tangga</t>
        </is>
      </c>
      <c r="H571" s="10" t="inlineStr">
        <is>
          <t>Set Wadah Kedap</t>
        </is>
      </c>
      <c r="I571" s="19" t="n">
        <v>1</v>
      </c>
      <c r="J571" s="20" t="n">
        <v>135000</v>
      </c>
      <c r="K571" s="20" t="n">
        <v>135000</v>
      </c>
      <c r="L571" s="10">
        <f>IF($B571="","",TEXT($B571,"YYYY-MM"))</f>
        <v/>
      </c>
    </row>
    <row r="572">
      <c r="A572" s="10" t="inlineStr">
        <is>
          <t>INV-71095</t>
        </is>
      </c>
      <c r="B572" s="18" t="n">
        <v>45849</v>
      </c>
      <c r="C572" s="10" t="inlineStr">
        <is>
          <t>C1306</t>
        </is>
      </c>
      <c r="D572" s="10" t="inlineStr">
        <is>
          <t>loyal</t>
        </is>
      </c>
      <c r="E572" s="10" t="inlineStr">
        <is>
          <t>TikTok Shop</t>
        </is>
      </c>
      <c r="F572" s="10" t="inlineStr">
        <is>
          <t>Jabodetabek</t>
        </is>
      </c>
      <c r="G572" s="10" t="inlineStr">
        <is>
          <t>Elektronik</t>
        </is>
      </c>
      <c r="H572" s="10" t="inlineStr">
        <is>
          <t>Webcam HD</t>
        </is>
      </c>
      <c r="I572" s="19" t="n">
        <v>2</v>
      </c>
      <c r="J572" s="20" t="n">
        <v>210000</v>
      </c>
      <c r="K572" s="20" t="n">
        <v>420000</v>
      </c>
      <c r="L572" s="10">
        <f>IF($B572="","",TEXT($B572,"YYYY-MM"))</f>
        <v/>
      </c>
    </row>
    <row r="573">
      <c r="A573" s="10" t="inlineStr">
        <is>
          <t>INV-70312</t>
        </is>
      </c>
      <c r="B573" s="18" t="n">
        <v>45849</v>
      </c>
      <c r="C573" s="10" t="inlineStr">
        <is>
          <t>C1088</t>
        </is>
      </c>
      <c r="D573" s="10" t="inlineStr">
        <is>
          <t>champion</t>
        </is>
      </c>
      <c r="E573" s="10" t="inlineStr">
        <is>
          <t>Shopee</t>
        </is>
      </c>
      <c r="F573" s="10" t="inlineStr">
        <is>
          <t>Jawa Timur</t>
        </is>
      </c>
      <c r="G573" s="10" t="inlineStr">
        <is>
          <t>Rumah Tangga</t>
        </is>
      </c>
      <c r="H573" s="10" t="inlineStr">
        <is>
          <t>Set Wadah Kedap</t>
        </is>
      </c>
      <c r="I573" s="19" t="n">
        <v>1</v>
      </c>
      <c r="J573" s="20" t="n">
        <v>135000</v>
      </c>
      <c r="K573" s="20" t="n">
        <v>135000</v>
      </c>
      <c r="L573" s="10">
        <f>IF($B573="","",TEXT($B573,"YYYY-MM"))</f>
        <v/>
      </c>
    </row>
    <row r="574">
      <c r="A574" s="10" t="inlineStr">
        <is>
          <t>INV-70825</t>
        </is>
      </c>
      <c r="B574" s="18" t="n">
        <v>45850</v>
      </c>
      <c r="C574" s="10" t="inlineStr">
        <is>
          <t>C1233</t>
        </is>
      </c>
      <c r="D574" s="10" t="inlineStr">
        <is>
          <t>regular</t>
        </is>
      </c>
      <c r="E574" s="10" t="inlineStr">
        <is>
          <t>Shopee</t>
        </is>
      </c>
      <c r="F574" s="10" t="inlineStr">
        <is>
          <t>Jawa Barat</t>
        </is>
      </c>
      <c r="G574" s="10" t="inlineStr">
        <is>
          <t>Kecantikan</t>
        </is>
      </c>
      <c r="H574" s="10" t="inlineStr">
        <is>
          <t>Masker Wajah (5s)</t>
        </is>
      </c>
      <c r="I574" s="19" t="n">
        <v>2</v>
      </c>
      <c r="J574" s="20" t="n">
        <v>55000</v>
      </c>
      <c r="K574" s="20" t="n">
        <v>110000</v>
      </c>
      <c r="L574" s="10">
        <f>IF($B574="","",TEXT($B574,"YYYY-MM"))</f>
        <v/>
      </c>
    </row>
    <row r="575">
      <c r="A575" s="10" t="inlineStr">
        <is>
          <t>INV-71326</t>
        </is>
      </c>
      <c r="B575" s="18" t="n">
        <v>45851</v>
      </c>
      <c r="C575" s="10" t="inlineStr">
        <is>
          <t>C1365</t>
        </is>
      </c>
      <c r="D575" s="10" t="inlineStr">
        <is>
          <t>regular</t>
        </is>
      </c>
      <c r="E575" s="10" t="inlineStr">
        <is>
          <t>Tokopedia</t>
        </is>
      </c>
      <c r="F575" s="10" t="inlineStr">
        <is>
          <t>Jawa Barat</t>
        </is>
      </c>
      <c r="G575" s="10" t="inlineStr">
        <is>
          <t>Makanan</t>
        </is>
      </c>
      <c r="H575" s="10" t="inlineStr">
        <is>
          <t>Keripik Sehat</t>
        </is>
      </c>
      <c r="I575" s="19" t="n">
        <v>2</v>
      </c>
      <c r="J575" s="20" t="n">
        <v>45000</v>
      </c>
      <c r="K575" s="20" t="n">
        <v>90000</v>
      </c>
      <c r="L575" s="10">
        <f>IF($B575="","",TEXT($B575,"YYYY-MM"))</f>
        <v/>
      </c>
    </row>
    <row r="576">
      <c r="A576" s="10" t="inlineStr">
        <is>
          <t>INV-70049</t>
        </is>
      </c>
      <c r="B576" s="18" t="n">
        <v>45851</v>
      </c>
      <c r="C576" s="10" t="inlineStr">
        <is>
          <t>C1012</t>
        </is>
      </c>
      <c r="D576" s="10" t="inlineStr">
        <is>
          <t>loyal</t>
        </is>
      </c>
      <c r="E576" s="10" t="inlineStr">
        <is>
          <t>Offline Store</t>
        </is>
      </c>
      <c r="F576" s="10" t="inlineStr">
        <is>
          <t>Jawa Barat</t>
        </is>
      </c>
      <c r="G576" s="10" t="inlineStr">
        <is>
          <t>Elektronik</t>
        </is>
      </c>
      <c r="H576" s="10" t="inlineStr">
        <is>
          <t>Webcam HD</t>
        </is>
      </c>
      <c r="I576" s="19" t="n">
        <v>1</v>
      </c>
      <c r="J576" s="20" t="n">
        <v>210000</v>
      </c>
      <c r="K576" s="20" t="n">
        <v>210000</v>
      </c>
      <c r="L576" s="10">
        <f>IF($B576="","",TEXT($B576,"YYYY-MM"))</f>
        <v/>
      </c>
    </row>
    <row r="577">
      <c r="A577" s="10" t="inlineStr">
        <is>
          <t>INV-70024</t>
        </is>
      </c>
      <c r="B577" s="18" t="n">
        <v>45851</v>
      </c>
      <c r="C577" s="10" t="inlineStr">
        <is>
          <t>C1004</t>
        </is>
      </c>
      <c r="D577" s="10" t="inlineStr">
        <is>
          <t>loyal</t>
        </is>
      </c>
      <c r="E577" s="10" t="inlineStr">
        <is>
          <t>Shopee</t>
        </is>
      </c>
      <c r="F577" s="10" t="inlineStr">
        <is>
          <t>Jawa Tengah</t>
        </is>
      </c>
      <c r="G577" s="10" t="inlineStr">
        <is>
          <t>Elektronik</t>
        </is>
      </c>
      <c r="H577" s="10" t="inlineStr">
        <is>
          <t>Webcam HD</t>
        </is>
      </c>
      <c r="I577" s="19" t="n">
        <v>1</v>
      </c>
      <c r="J577" s="20" t="n">
        <v>210000</v>
      </c>
      <c r="K577" s="20" t="n">
        <v>210000</v>
      </c>
      <c r="L577" s="10">
        <f>IF($B577="","",TEXT($B577,"YYYY-MM"))</f>
        <v/>
      </c>
    </row>
    <row r="578">
      <c r="A578" s="10" t="inlineStr">
        <is>
          <t>INV-71035</t>
        </is>
      </c>
      <c r="B578" s="18" t="n">
        <v>45852</v>
      </c>
      <c r="C578" s="10" t="inlineStr">
        <is>
          <t>C1294</t>
        </is>
      </c>
      <c r="D578" s="10" t="inlineStr">
        <is>
          <t>loyal</t>
        </is>
      </c>
      <c r="E578" s="10" t="inlineStr">
        <is>
          <t>Offline Store</t>
        </is>
      </c>
      <c r="F578" s="10" t="inlineStr">
        <is>
          <t>Jawa Tengah</t>
        </is>
      </c>
      <c r="G578" s="10" t="inlineStr">
        <is>
          <t>Rumah Tangga</t>
        </is>
      </c>
      <c r="H578" s="10" t="inlineStr">
        <is>
          <t>Organizer Laci</t>
        </is>
      </c>
      <c r="I578" s="19" t="n">
        <v>1</v>
      </c>
      <c r="J578" s="20" t="n">
        <v>78000</v>
      </c>
      <c r="K578" s="20" t="n">
        <v>78000</v>
      </c>
      <c r="L578" s="10">
        <f>IF($B578="","",TEXT($B578,"YYYY-MM"))</f>
        <v/>
      </c>
    </row>
    <row r="579">
      <c r="A579" s="10" t="inlineStr">
        <is>
          <t>INV-70601</t>
        </is>
      </c>
      <c r="B579" s="18" t="n">
        <v>45852</v>
      </c>
      <c r="C579" s="10" t="inlineStr">
        <is>
          <t>C1161</t>
        </is>
      </c>
      <c r="D579" s="10" t="inlineStr">
        <is>
          <t>champion</t>
        </is>
      </c>
      <c r="E579" s="10" t="inlineStr">
        <is>
          <t>TikTok Shop</t>
        </is>
      </c>
      <c r="F579" s="10" t="inlineStr">
        <is>
          <t>Sumatera</t>
        </is>
      </c>
      <c r="G579" s="10" t="inlineStr">
        <is>
          <t>Elektronik</t>
        </is>
      </c>
      <c r="H579" s="10" t="inlineStr">
        <is>
          <t>Power Bank 20K</t>
        </is>
      </c>
      <c r="I579" s="19" t="n">
        <v>1</v>
      </c>
      <c r="J579" s="20" t="n">
        <v>185000</v>
      </c>
      <c r="K579" s="20" t="n">
        <v>185000</v>
      </c>
      <c r="L579" s="10">
        <f>IF($B579="","",TEXT($B579,"YYYY-MM"))</f>
        <v/>
      </c>
    </row>
    <row r="580">
      <c r="A580" s="10" t="inlineStr">
        <is>
          <t>INV-70777</t>
        </is>
      </c>
      <c r="B580" s="18" t="n">
        <v>45853</v>
      </c>
      <c r="C580" s="10" t="inlineStr">
        <is>
          <t>C1220</t>
        </is>
      </c>
      <c r="D580" s="10" t="inlineStr">
        <is>
          <t>loyal</t>
        </is>
      </c>
      <c r="E580" s="10" t="inlineStr">
        <is>
          <t>Shopee</t>
        </is>
      </c>
      <c r="F580" s="10" t="inlineStr">
        <is>
          <t>Jawa Tengah</t>
        </is>
      </c>
      <c r="G580" s="10" t="inlineStr">
        <is>
          <t>Rumah Tangga</t>
        </is>
      </c>
      <c r="H580" s="10" t="inlineStr">
        <is>
          <t>Set Wadah Kedap</t>
        </is>
      </c>
      <c r="I580" s="19" t="n">
        <v>2</v>
      </c>
      <c r="J580" s="20" t="n">
        <v>135000</v>
      </c>
      <c r="K580" s="20" t="n">
        <v>270000</v>
      </c>
      <c r="L580" s="10">
        <f>IF($B580="","",TEXT($B580,"YYYY-MM"))</f>
        <v/>
      </c>
    </row>
    <row r="581">
      <c r="A581" s="10" t="inlineStr">
        <is>
          <t>INV-70472</t>
        </is>
      </c>
      <c r="B581" s="18" t="n">
        <v>45853</v>
      </c>
      <c r="C581" s="10" t="inlineStr">
        <is>
          <t>C1135</t>
        </is>
      </c>
      <c r="D581" s="10" t="inlineStr">
        <is>
          <t>regular</t>
        </is>
      </c>
      <c r="E581" s="10" t="inlineStr">
        <is>
          <t>TikTok Shop</t>
        </is>
      </c>
      <c r="F581" s="10" t="inlineStr">
        <is>
          <t>Jawa Timur</t>
        </is>
      </c>
      <c r="G581" s="10" t="inlineStr">
        <is>
          <t>Rumah Tangga</t>
        </is>
      </c>
      <c r="H581" s="10" t="inlineStr">
        <is>
          <t>Organizer Laci</t>
        </is>
      </c>
      <c r="I581" s="19" t="n">
        <v>3</v>
      </c>
      <c r="J581" s="20" t="n">
        <v>78000</v>
      </c>
      <c r="K581" s="20" t="n">
        <v>234000</v>
      </c>
      <c r="L581" s="10">
        <f>IF($B581="","",TEXT($B581,"YYYY-MM"))</f>
        <v/>
      </c>
    </row>
    <row r="582">
      <c r="A582" s="10" t="inlineStr">
        <is>
          <t>INV-70958</t>
        </is>
      </c>
      <c r="B582" s="18" t="n">
        <v>45853</v>
      </c>
      <c r="C582" s="10" t="inlineStr">
        <is>
          <t>C1272</t>
        </is>
      </c>
      <c r="D582" s="10" t="inlineStr">
        <is>
          <t>regular</t>
        </is>
      </c>
      <c r="E582" s="10" t="inlineStr">
        <is>
          <t>Shopee</t>
        </is>
      </c>
      <c r="F582" s="10" t="inlineStr">
        <is>
          <t>Jabodetabek</t>
        </is>
      </c>
      <c r="G582" s="10" t="inlineStr">
        <is>
          <t>Elektronik</t>
        </is>
      </c>
      <c r="H582" s="10" t="inlineStr">
        <is>
          <t>Power Bank 20K</t>
        </is>
      </c>
      <c r="I582" s="19" t="n">
        <v>1</v>
      </c>
      <c r="J582" s="20" t="n">
        <v>185000</v>
      </c>
      <c r="K582" s="20" t="n">
        <v>185000</v>
      </c>
      <c r="L582" s="10">
        <f>IF($B582="","",TEXT($B582,"YYYY-MM"))</f>
        <v/>
      </c>
    </row>
    <row r="583">
      <c r="A583" s="10" t="inlineStr">
        <is>
          <t>INV-71561</t>
        </is>
      </c>
      <c r="B583" s="18" t="n">
        <v>45853</v>
      </c>
      <c r="C583" s="10" t="inlineStr">
        <is>
          <t>C1428</t>
        </is>
      </c>
      <c r="D583" s="10" t="inlineStr">
        <is>
          <t>loyal</t>
        </is>
      </c>
      <c r="E583" s="10" t="inlineStr">
        <is>
          <t>Shopee</t>
        </is>
      </c>
      <c r="F583" s="10" t="inlineStr">
        <is>
          <t>Jabodetabek</t>
        </is>
      </c>
      <c r="G583" s="10" t="inlineStr">
        <is>
          <t>Rumah Tangga</t>
        </is>
      </c>
      <c r="H583" s="10" t="inlineStr">
        <is>
          <t>Set Wadah Kedap</t>
        </is>
      </c>
      <c r="I583" s="19" t="n">
        <v>4</v>
      </c>
      <c r="J583" s="20" t="n">
        <v>135000</v>
      </c>
      <c r="K583" s="20" t="n">
        <v>540000</v>
      </c>
      <c r="L583" s="10">
        <f>IF($B583="","",TEXT($B583,"YYYY-MM"))</f>
        <v/>
      </c>
    </row>
    <row r="584">
      <c r="A584" s="10" t="inlineStr">
        <is>
          <t>INV-70353</t>
        </is>
      </c>
      <c r="B584" s="18" t="n">
        <v>45854</v>
      </c>
      <c r="C584" s="10" t="inlineStr">
        <is>
          <t>C1096</t>
        </is>
      </c>
      <c r="D584" s="10" t="inlineStr">
        <is>
          <t>occasional</t>
        </is>
      </c>
      <c r="E584" s="10" t="inlineStr">
        <is>
          <t>TikTok Shop</t>
        </is>
      </c>
      <c r="F584" s="10" t="inlineStr">
        <is>
          <t>Jawa Barat</t>
        </is>
      </c>
      <c r="G584" s="10" t="inlineStr">
        <is>
          <t>Rumah Tangga</t>
        </is>
      </c>
      <c r="H584" s="10" t="inlineStr">
        <is>
          <t>Organizer Laci</t>
        </is>
      </c>
      <c r="I584" s="19" t="n">
        <v>2</v>
      </c>
      <c r="J584" s="20" t="n">
        <v>78000</v>
      </c>
      <c r="K584" s="20" t="n">
        <v>156000</v>
      </c>
      <c r="L584" s="10">
        <f>IF($B584="","",TEXT($B584,"YYYY-MM"))</f>
        <v/>
      </c>
    </row>
    <row r="585">
      <c r="A585" s="10" t="inlineStr">
        <is>
          <t>INV-70899</t>
        </is>
      </c>
      <c r="B585" s="18" t="n">
        <v>45854</v>
      </c>
      <c r="C585" s="10" t="inlineStr">
        <is>
          <t>C1252</t>
        </is>
      </c>
      <c r="D585" s="10" t="inlineStr">
        <is>
          <t>regular</t>
        </is>
      </c>
      <c r="E585" s="10" t="inlineStr">
        <is>
          <t>TikTok Shop</t>
        </is>
      </c>
      <c r="F585" s="10" t="inlineStr">
        <is>
          <t>Jawa Timur</t>
        </is>
      </c>
      <c r="G585" s="10" t="inlineStr">
        <is>
          <t>Rumah Tangga</t>
        </is>
      </c>
      <c r="H585" s="10" t="inlineStr">
        <is>
          <t>Set Wadah Kedap</t>
        </is>
      </c>
      <c r="I585" s="19" t="n">
        <v>4</v>
      </c>
      <c r="J585" s="20" t="n">
        <v>135000</v>
      </c>
      <c r="K585" s="20" t="n">
        <v>540000</v>
      </c>
      <c r="L585" s="10">
        <f>IF($B585="","",TEXT($B585,"YYYY-MM"))</f>
        <v/>
      </c>
    </row>
    <row r="586">
      <c r="A586" s="10" t="inlineStr">
        <is>
          <t>INV-70330</t>
        </is>
      </c>
      <c r="B586" s="18" t="n">
        <v>45854</v>
      </c>
      <c r="C586" s="10" t="inlineStr">
        <is>
          <t>C1090</t>
        </is>
      </c>
      <c r="D586" s="10" t="inlineStr">
        <is>
          <t>champion</t>
        </is>
      </c>
      <c r="E586" s="10" t="inlineStr">
        <is>
          <t>TikTok Shop</t>
        </is>
      </c>
      <c r="F586" s="10" t="inlineStr">
        <is>
          <t>Jawa Tengah</t>
        </is>
      </c>
      <c r="G586" s="10" t="inlineStr">
        <is>
          <t>Rumah Tangga</t>
        </is>
      </c>
      <c r="H586" s="10" t="inlineStr">
        <is>
          <t>Diffuser Aroma</t>
        </is>
      </c>
      <c r="I586" s="19" t="n">
        <v>3</v>
      </c>
      <c r="J586" s="20" t="n">
        <v>195000</v>
      </c>
      <c r="K586" s="20" t="n">
        <v>585000</v>
      </c>
      <c r="L586" s="10">
        <f>IF($B586="","",TEXT($B586,"YYYY-MM"))</f>
        <v/>
      </c>
    </row>
    <row r="587">
      <c r="A587" s="10" t="inlineStr">
        <is>
          <t>INV-70876</t>
        </is>
      </c>
      <c r="B587" s="18" t="n">
        <v>45854</v>
      </c>
      <c r="C587" s="10" t="inlineStr">
        <is>
          <t>C1246</t>
        </is>
      </c>
      <c r="D587" s="10" t="inlineStr">
        <is>
          <t>champion</t>
        </is>
      </c>
      <c r="E587" s="10" t="inlineStr">
        <is>
          <t>TikTok Shop</t>
        </is>
      </c>
      <c r="F587" s="10" t="inlineStr">
        <is>
          <t>Jabodetabek</t>
        </is>
      </c>
      <c r="G587" s="10" t="inlineStr">
        <is>
          <t>Rumah Tangga</t>
        </is>
      </c>
      <c r="H587" s="10" t="inlineStr">
        <is>
          <t>Organizer Laci</t>
        </is>
      </c>
      <c r="I587" s="19" t="n">
        <v>2</v>
      </c>
      <c r="J587" s="20" t="n">
        <v>78000</v>
      </c>
      <c r="K587" s="20" t="n">
        <v>156000</v>
      </c>
      <c r="L587" s="10">
        <f>IF($B587="","",TEXT($B587,"YYYY-MM"))</f>
        <v/>
      </c>
    </row>
    <row r="588">
      <c r="A588" s="10" t="inlineStr">
        <is>
          <t>INV-70855</t>
        </is>
      </c>
      <c r="B588" s="18" t="n">
        <v>45854</v>
      </c>
      <c r="C588" s="10" t="inlineStr">
        <is>
          <t>C1240</t>
        </is>
      </c>
      <c r="D588" s="10" t="inlineStr">
        <is>
          <t>loyal</t>
        </is>
      </c>
      <c r="E588" s="10" t="inlineStr">
        <is>
          <t>TikTok Shop</t>
        </is>
      </c>
      <c r="F588" s="10" t="inlineStr">
        <is>
          <t>Jabodetabek</t>
        </is>
      </c>
      <c r="G588" s="10" t="inlineStr">
        <is>
          <t>Makanan</t>
        </is>
      </c>
      <c r="H588" s="10" t="inlineStr">
        <is>
          <t>Keripik Sehat</t>
        </is>
      </c>
      <c r="I588" s="19" t="n">
        <v>1</v>
      </c>
      <c r="J588" s="20" t="n">
        <v>45000</v>
      </c>
      <c r="K588" s="20" t="n">
        <v>45000</v>
      </c>
      <c r="L588" s="10">
        <f>IF($B588="","",TEXT($B588,"YYYY-MM"))</f>
        <v/>
      </c>
    </row>
    <row r="589">
      <c r="A589" s="10" t="inlineStr">
        <is>
          <t>INV-71312</t>
        </is>
      </c>
      <c r="B589" s="18" t="n">
        <v>45855</v>
      </c>
      <c r="C589" s="10" t="inlineStr">
        <is>
          <t>C1364</t>
        </is>
      </c>
      <c r="D589" s="10" t="inlineStr">
        <is>
          <t>champion</t>
        </is>
      </c>
      <c r="E589" s="10" t="inlineStr">
        <is>
          <t>Tokopedia</t>
        </is>
      </c>
      <c r="F589" s="10" t="inlineStr">
        <is>
          <t>Sumatera</t>
        </is>
      </c>
      <c r="G589" s="10" t="inlineStr">
        <is>
          <t>Kecantikan</t>
        </is>
      </c>
      <c r="H589" s="10" t="inlineStr">
        <is>
          <t>Masker Wajah (5s)</t>
        </is>
      </c>
      <c r="I589" s="19" t="n">
        <v>4</v>
      </c>
      <c r="J589" s="20" t="n">
        <v>55000</v>
      </c>
      <c r="K589" s="20" t="n">
        <v>220000</v>
      </c>
      <c r="L589" s="10">
        <f>IF($B589="","",TEXT($B589,"YYYY-MM"))</f>
        <v/>
      </c>
    </row>
    <row r="590">
      <c r="A590" s="10" t="inlineStr">
        <is>
          <t>INV-70726</t>
        </is>
      </c>
      <c r="B590" s="18" t="n">
        <v>45856</v>
      </c>
      <c r="C590" s="10" t="inlineStr">
        <is>
          <t>C1203</t>
        </is>
      </c>
      <c r="D590" s="10" t="inlineStr">
        <is>
          <t>regular</t>
        </is>
      </c>
      <c r="E590" s="10" t="inlineStr">
        <is>
          <t>Shopee</t>
        </is>
      </c>
      <c r="F590" s="10" t="inlineStr">
        <is>
          <t>Jawa Barat</t>
        </is>
      </c>
      <c r="G590" s="10" t="inlineStr">
        <is>
          <t>Makanan</t>
        </is>
      </c>
      <c r="H590" s="10" t="inlineStr">
        <is>
          <t>Granola 500g</t>
        </is>
      </c>
      <c r="I590" s="19" t="n">
        <v>3</v>
      </c>
      <c r="J590" s="20" t="n">
        <v>92000</v>
      </c>
      <c r="K590" s="20" t="n">
        <v>276000</v>
      </c>
      <c r="L590" s="10">
        <f>IF($B590="","",TEXT($B590,"YYYY-MM"))</f>
        <v/>
      </c>
    </row>
    <row r="591">
      <c r="A591" s="10" t="inlineStr">
        <is>
          <t>INV-70753</t>
        </is>
      </c>
      <c r="B591" s="18" t="n">
        <v>45856</v>
      </c>
      <c r="C591" s="10" t="inlineStr">
        <is>
          <t>C1210</t>
        </is>
      </c>
      <c r="D591" s="10" t="inlineStr">
        <is>
          <t>loyal</t>
        </is>
      </c>
      <c r="E591" s="10" t="inlineStr">
        <is>
          <t>Shopee</t>
        </is>
      </c>
      <c r="F591" s="10" t="inlineStr">
        <is>
          <t>Jawa Timur</t>
        </is>
      </c>
      <c r="G591" s="10" t="inlineStr">
        <is>
          <t>Rumah Tangga</t>
        </is>
      </c>
      <c r="H591" s="10" t="inlineStr">
        <is>
          <t>Set Wadah Kedap</t>
        </is>
      </c>
      <c r="I591" s="19" t="n">
        <v>2</v>
      </c>
      <c r="J591" s="20" t="n">
        <v>135000</v>
      </c>
      <c r="K591" s="20" t="n">
        <v>270000</v>
      </c>
      <c r="L591" s="10">
        <f>IF($B591="","",TEXT($B591,"YYYY-MM"))</f>
        <v/>
      </c>
    </row>
    <row r="592">
      <c r="A592" s="10" t="inlineStr">
        <is>
          <t>INV-70334</t>
        </is>
      </c>
      <c r="B592" s="18" t="n">
        <v>45856</v>
      </c>
      <c r="C592" s="10" t="inlineStr">
        <is>
          <t>C1091</t>
        </is>
      </c>
      <c r="D592" s="10" t="inlineStr">
        <is>
          <t>onetime</t>
        </is>
      </c>
      <c r="E592" s="10" t="inlineStr">
        <is>
          <t>Tokopedia</t>
        </is>
      </c>
      <c r="F592" s="10" t="inlineStr">
        <is>
          <t>Jawa Barat</t>
        </is>
      </c>
      <c r="G592" s="10" t="inlineStr">
        <is>
          <t>Elektronik</t>
        </is>
      </c>
      <c r="H592" s="10" t="inlineStr">
        <is>
          <t>Power Bank 20K</t>
        </is>
      </c>
      <c r="I592" s="19" t="n">
        <v>2</v>
      </c>
      <c r="J592" s="20" t="n">
        <v>185000</v>
      </c>
      <c r="K592" s="20" t="n">
        <v>370000</v>
      </c>
      <c r="L592" s="10">
        <f>IF($B592="","",TEXT($B592,"YYYY-MM"))</f>
        <v/>
      </c>
    </row>
    <row r="593">
      <c r="A593" s="10" t="inlineStr">
        <is>
          <t>INV-70857</t>
        </is>
      </c>
      <c r="B593" s="18" t="n">
        <v>45857</v>
      </c>
      <c r="C593" s="10" t="inlineStr">
        <is>
          <t>C1240</t>
        </is>
      </c>
      <c r="D593" s="10" t="inlineStr">
        <is>
          <t>loyal</t>
        </is>
      </c>
      <c r="E593" s="10" t="inlineStr">
        <is>
          <t>Tokopedia</t>
        </is>
      </c>
      <c r="F593" s="10" t="inlineStr">
        <is>
          <t>Jawa Timur</t>
        </is>
      </c>
      <c r="G593" s="10" t="inlineStr">
        <is>
          <t>Rumah Tangga</t>
        </is>
      </c>
      <c r="H593" s="10" t="inlineStr">
        <is>
          <t>Set Wadah Kedap</t>
        </is>
      </c>
      <c r="I593" s="19" t="n">
        <v>3</v>
      </c>
      <c r="J593" s="20" t="n">
        <v>135000</v>
      </c>
      <c r="K593" s="20" t="n">
        <v>405000</v>
      </c>
      <c r="L593" s="10">
        <f>IF($B593="","",TEXT($B593,"YYYY-MM"))</f>
        <v/>
      </c>
    </row>
    <row r="594">
      <c r="A594" s="10" t="inlineStr">
        <is>
          <t>INV-70837</t>
        </is>
      </c>
      <c r="B594" s="18" t="n">
        <v>45857</v>
      </c>
      <c r="C594" s="10" t="inlineStr">
        <is>
          <t>C1236</t>
        </is>
      </c>
      <c r="D594" s="10" t="inlineStr">
        <is>
          <t>onetime</t>
        </is>
      </c>
      <c r="E594" s="10" t="inlineStr">
        <is>
          <t>Offline Store</t>
        </is>
      </c>
      <c r="F594" s="10" t="inlineStr">
        <is>
          <t>Jawa Barat</t>
        </is>
      </c>
      <c r="G594" s="10" t="inlineStr">
        <is>
          <t>Rumah Tangga</t>
        </is>
      </c>
      <c r="H594" s="10" t="inlineStr">
        <is>
          <t>Diffuser Aroma</t>
        </is>
      </c>
      <c r="I594" s="19" t="n">
        <v>2</v>
      </c>
      <c r="J594" s="20" t="n">
        <v>195000</v>
      </c>
      <c r="K594" s="20" t="n">
        <v>390000</v>
      </c>
      <c r="L594" s="10">
        <f>IF($B594="","",TEXT($B594,"YYYY-MM"))</f>
        <v/>
      </c>
    </row>
    <row r="595">
      <c r="A595" s="10" t="inlineStr">
        <is>
          <t>INV-70494</t>
        </is>
      </c>
      <c r="B595" s="18" t="n">
        <v>45857</v>
      </c>
      <c r="C595" s="10" t="inlineStr">
        <is>
          <t>C1139</t>
        </is>
      </c>
      <c r="D595" s="10" t="inlineStr">
        <is>
          <t>champion</t>
        </is>
      </c>
      <c r="E595" s="10" t="inlineStr">
        <is>
          <t>Shopee</t>
        </is>
      </c>
      <c r="F595" s="10" t="inlineStr">
        <is>
          <t>Jabodetabek</t>
        </is>
      </c>
      <c r="G595" s="10" t="inlineStr">
        <is>
          <t>Rumah Tangga</t>
        </is>
      </c>
      <c r="H595" s="10" t="inlineStr">
        <is>
          <t>Set Wadah Kedap</t>
        </is>
      </c>
      <c r="I595" s="19" t="n">
        <v>3</v>
      </c>
      <c r="J595" s="20" t="n">
        <v>135000</v>
      </c>
      <c r="K595" s="20" t="n">
        <v>405000</v>
      </c>
      <c r="L595" s="10">
        <f>IF($B595="","",TEXT($B595,"YYYY-MM"))</f>
        <v/>
      </c>
    </row>
    <row r="596">
      <c r="A596" s="10" t="inlineStr">
        <is>
          <t>INV-70036</t>
        </is>
      </c>
      <c r="B596" s="18" t="n">
        <v>45857</v>
      </c>
      <c r="C596" s="10" t="inlineStr">
        <is>
          <t>C1008</t>
        </is>
      </c>
      <c r="D596" s="10" t="inlineStr">
        <is>
          <t>regular</t>
        </is>
      </c>
      <c r="E596" s="10" t="inlineStr">
        <is>
          <t>Tokopedia</t>
        </is>
      </c>
      <c r="F596" s="10" t="inlineStr">
        <is>
          <t>Jawa Tengah</t>
        </is>
      </c>
      <c r="G596" s="10" t="inlineStr">
        <is>
          <t>Makanan</t>
        </is>
      </c>
      <c r="H596" s="10" t="inlineStr">
        <is>
          <t>Granola 500g</t>
        </is>
      </c>
      <c r="I596" s="19" t="n">
        <v>4</v>
      </c>
      <c r="J596" s="20" t="n">
        <v>92000</v>
      </c>
      <c r="K596" s="20" t="n">
        <v>368000</v>
      </c>
      <c r="L596" s="10">
        <f>IF($B596="","",TEXT($B596,"YYYY-MM"))</f>
        <v/>
      </c>
    </row>
    <row r="597">
      <c r="A597" s="10" t="inlineStr">
        <is>
          <t>INV-70811</t>
        </is>
      </c>
      <c r="B597" s="18" t="n">
        <v>45858</v>
      </c>
      <c r="C597" s="10" t="inlineStr">
        <is>
          <t>C1228</t>
        </is>
      </c>
      <c r="D597" s="10" t="inlineStr">
        <is>
          <t>onetime</t>
        </is>
      </c>
      <c r="E597" s="10" t="inlineStr">
        <is>
          <t>Shopee</t>
        </is>
      </c>
      <c r="F597" s="10" t="inlineStr">
        <is>
          <t>Jabodetabek</t>
        </is>
      </c>
      <c r="G597" s="10" t="inlineStr">
        <is>
          <t>Elektronik</t>
        </is>
      </c>
      <c r="H597" s="10" t="inlineStr">
        <is>
          <t>Smartwatch</t>
        </is>
      </c>
      <c r="I597" s="19" t="n">
        <v>2</v>
      </c>
      <c r="J597" s="20" t="n">
        <v>450000</v>
      </c>
      <c r="K597" s="20" t="n">
        <v>900000</v>
      </c>
      <c r="L597" s="10">
        <f>IF($B597="","",TEXT($B597,"YYYY-MM"))</f>
        <v/>
      </c>
    </row>
    <row r="598">
      <c r="A598" s="10" t="inlineStr">
        <is>
          <t>INV-71421</t>
        </is>
      </c>
      <c r="B598" s="18" t="n">
        <v>45858</v>
      </c>
      <c r="C598" s="10" t="inlineStr">
        <is>
          <t>C1393</t>
        </is>
      </c>
      <c r="D598" s="10" t="inlineStr">
        <is>
          <t>regular</t>
        </is>
      </c>
      <c r="E598" s="10" t="inlineStr">
        <is>
          <t>Tokopedia</t>
        </is>
      </c>
      <c r="F598" s="10" t="inlineStr">
        <is>
          <t>Jawa Barat</t>
        </is>
      </c>
      <c r="G598" s="10" t="inlineStr">
        <is>
          <t>Rumah Tangga</t>
        </is>
      </c>
      <c r="H598" s="10" t="inlineStr">
        <is>
          <t>Organizer Laci</t>
        </is>
      </c>
      <c r="I598" s="19" t="n">
        <v>1</v>
      </c>
      <c r="J598" s="20" t="n">
        <v>78000</v>
      </c>
      <c r="K598" s="20" t="n">
        <v>78000</v>
      </c>
      <c r="L598" s="10">
        <f>IF($B598="","",TEXT($B598,"YYYY-MM"))</f>
        <v/>
      </c>
    </row>
    <row r="599">
      <c r="A599" s="10" t="inlineStr">
        <is>
          <t>INV-71379</t>
        </is>
      </c>
      <c r="B599" s="18" t="n">
        <v>45858</v>
      </c>
      <c r="C599" s="10" t="inlineStr">
        <is>
          <t>C1382</t>
        </is>
      </c>
      <c r="D599" s="10" t="inlineStr">
        <is>
          <t>regular</t>
        </is>
      </c>
      <c r="E599" s="10" t="inlineStr">
        <is>
          <t>Shopee</t>
        </is>
      </c>
      <c r="F599" s="10" t="inlineStr">
        <is>
          <t>Jawa Tengah</t>
        </is>
      </c>
      <c r="G599" s="10" t="inlineStr">
        <is>
          <t>Fashion</t>
        </is>
      </c>
      <c r="H599" s="10" t="inlineStr">
        <is>
          <t>Celana Chino</t>
        </is>
      </c>
      <c r="I599" s="19" t="n">
        <v>1</v>
      </c>
      <c r="J599" s="20" t="n">
        <v>195000</v>
      </c>
      <c r="K599" s="20" t="n">
        <v>195000</v>
      </c>
      <c r="L599" s="10">
        <f>IF($B599="","",TEXT($B599,"YYYY-MM"))</f>
        <v/>
      </c>
    </row>
    <row r="600">
      <c r="A600" s="10" t="inlineStr">
        <is>
          <t>INV-71065</t>
        </is>
      </c>
      <c r="B600" s="18" t="n">
        <v>45859</v>
      </c>
      <c r="C600" s="10" t="inlineStr">
        <is>
          <t>C1301</t>
        </is>
      </c>
      <c r="D600" s="10" t="inlineStr">
        <is>
          <t>regular</t>
        </is>
      </c>
      <c r="E600" s="10" t="inlineStr">
        <is>
          <t>Shopee</t>
        </is>
      </c>
      <c r="F600" s="10" t="inlineStr">
        <is>
          <t>Jabodetabek</t>
        </is>
      </c>
      <c r="G600" s="10" t="inlineStr">
        <is>
          <t>Rumah Tangga</t>
        </is>
      </c>
      <c r="H600" s="10" t="inlineStr">
        <is>
          <t>Set Wadah Kedap</t>
        </is>
      </c>
      <c r="I600" s="19" t="n">
        <v>2</v>
      </c>
      <c r="J600" s="20" t="n">
        <v>135000</v>
      </c>
      <c r="K600" s="20" t="n">
        <v>270000</v>
      </c>
      <c r="L600" s="10">
        <f>IF($B600="","",TEXT($B600,"YYYY-MM"))</f>
        <v/>
      </c>
    </row>
    <row r="601">
      <c r="A601" s="10" t="inlineStr">
        <is>
          <t>INV-71146</t>
        </is>
      </c>
      <c r="B601" s="18" t="n">
        <v>45859</v>
      </c>
      <c r="C601" s="10" t="inlineStr">
        <is>
          <t>C1325</t>
        </is>
      </c>
      <c r="D601" s="10" t="inlineStr">
        <is>
          <t>regular</t>
        </is>
      </c>
      <c r="E601" s="10" t="inlineStr">
        <is>
          <t>Shopee</t>
        </is>
      </c>
      <c r="F601" s="10" t="inlineStr">
        <is>
          <t>Jawa Timur</t>
        </is>
      </c>
      <c r="G601" s="10" t="inlineStr">
        <is>
          <t>Rumah Tangga</t>
        </is>
      </c>
      <c r="H601" s="10" t="inlineStr">
        <is>
          <t>Set Wadah Kedap</t>
        </is>
      </c>
      <c r="I601" s="19" t="n">
        <v>2</v>
      </c>
      <c r="J601" s="20" t="n">
        <v>135000</v>
      </c>
      <c r="K601" s="20" t="n">
        <v>270000</v>
      </c>
      <c r="L601" s="10">
        <f>IF($B601="","",TEXT($B601,"YYYY-MM"))</f>
        <v/>
      </c>
    </row>
    <row r="602">
      <c r="A602" s="10" t="inlineStr">
        <is>
          <t>INV-71145</t>
        </is>
      </c>
      <c r="B602" s="18" t="n">
        <v>45859</v>
      </c>
      <c r="C602" s="10" t="inlineStr">
        <is>
          <t>C1324</t>
        </is>
      </c>
      <c r="D602" s="10" t="inlineStr">
        <is>
          <t>occasional</t>
        </is>
      </c>
      <c r="E602" s="10" t="inlineStr">
        <is>
          <t>Shopee</t>
        </is>
      </c>
      <c r="F602" s="10" t="inlineStr">
        <is>
          <t>Jabodetabek</t>
        </is>
      </c>
      <c r="G602" s="10" t="inlineStr">
        <is>
          <t>Fashion</t>
        </is>
      </c>
      <c r="H602" s="10" t="inlineStr">
        <is>
          <t>Celana Chino</t>
        </is>
      </c>
      <c r="I602" s="19" t="n">
        <v>2</v>
      </c>
      <c r="J602" s="20" t="n">
        <v>195000</v>
      </c>
      <c r="K602" s="20" t="n">
        <v>390000</v>
      </c>
      <c r="L602" s="10">
        <f>IF($B602="","",TEXT($B602,"YYYY-MM"))</f>
        <v/>
      </c>
    </row>
    <row r="603">
      <c r="A603" s="10" t="inlineStr">
        <is>
          <t>INV-70869</t>
        </is>
      </c>
      <c r="B603" s="18" t="n">
        <v>45859</v>
      </c>
      <c r="C603" s="10" t="inlineStr">
        <is>
          <t>C1245</t>
        </is>
      </c>
      <c r="D603" s="10" t="inlineStr">
        <is>
          <t>regular</t>
        </is>
      </c>
      <c r="E603" s="10" t="inlineStr">
        <is>
          <t>TikTok Shop</t>
        </is>
      </c>
      <c r="F603" s="10" t="inlineStr">
        <is>
          <t>Jawa Tengah</t>
        </is>
      </c>
      <c r="G603" s="10" t="inlineStr">
        <is>
          <t>Rumah Tangga</t>
        </is>
      </c>
      <c r="H603" s="10" t="inlineStr">
        <is>
          <t>Set Wadah Kedap</t>
        </is>
      </c>
      <c r="I603" s="19" t="n">
        <v>1</v>
      </c>
      <c r="J603" s="20" t="n">
        <v>135000</v>
      </c>
      <c r="K603" s="20" t="n">
        <v>135000</v>
      </c>
      <c r="L603" s="10">
        <f>IF($B603="","",TEXT($B603,"YYYY-MM"))</f>
        <v/>
      </c>
    </row>
    <row r="604">
      <c r="A604" s="10" t="inlineStr">
        <is>
          <t>INV-70544</t>
        </is>
      </c>
      <c r="B604" s="18" t="n">
        <v>45859</v>
      </c>
      <c r="C604" s="10" t="inlineStr">
        <is>
          <t>C1150</t>
        </is>
      </c>
      <c r="D604" s="10" t="inlineStr">
        <is>
          <t>champion</t>
        </is>
      </c>
      <c r="E604" s="10" t="inlineStr">
        <is>
          <t>TikTok Shop</t>
        </is>
      </c>
      <c r="F604" s="10" t="inlineStr">
        <is>
          <t>Jabodetabek</t>
        </is>
      </c>
      <c r="G604" s="10" t="inlineStr">
        <is>
          <t>Rumah Tangga</t>
        </is>
      </c>
      <c r="H604" s="10" t="inlineStr">
        <is>
          <t>Organizer Laci</t>
        </is>
      </c>
      <c r="I604" s="19" t="n">
        <v>2</v>
      </c>
      <c r="J604" s="20" t="n">
        <v>78000</v>
      </c>
      <c r="K604" s="20" t="n">
        <v>156000</v>
      </c>
      <c r="L604" s="10">
        <f>IF($B604="","",TEXT($B604,"YYYY-MM"))</f>
        <v/>
      </c>
    </row>
    <row r="605">
      <c r="A605" s="10" t="inlineStr">
        <is>
          <t>INV-70738</t>
        </is>
      </c>
      <c r="B605" s="18" t="n">
        <v>45859</v>
      </c>
      <c r="C605" s="10" t="inlineStr">
        <is>
          <t>C1207</t>
        </is>
      </c>
      <c r="D605" s="10" t="inlineStr">
        <is>
          <t>loyal</t>
        </is>
      </c>
      <c r="E605" s="10" t="inlineStr">
        <is>
          <t>Shopee</t>
        </is>
      </c>
      <c r="F605" s="10" t="inlineStr">
        <is>
          <t>Jawa Tengah</t>
        </is>
      </c>
      <c r="G605" s="10" t="inlineStr">
        <is>
          <t>Rumah Tangga</t>
        </is>
      </c>
      <c r="H605" s="10" t="inlineStr">
        <is>
          <t>Set Wadah Kedap</t>
        </is>
      </c>
      <c r="I605" s="19" t="n">
        <v>2</v>
      </c>
      <c r="J605" s="20" t="n">
        <v>135000</v>
      </c>
      <c r="K605" s="20" t="n">
        <v>270000</v>
      </c>
      <c r="L605" s="10">
        <f>IF($B605="","",TEXT($B605,"YYYY-MM"))</f>
        <v/>
      </c>
    </row>
    <row r="606">
      <c r="A606" s="10" t="inlineStr">
        <is>
          <t>INV-70496</t>
        </is>
      </c>
      <c r="B606" s="18" t="n">
        <v>45860</v>
      </c>
      <c r="C606" s="10" t="inlineStr">
        <is>
          <t>C1139</t>
        </is>
      </c>
      <c r="D606" s="10" t="inlineStr">
        <is>
          <t>champion</t>
        </is>
      </c>
      <c r="E606" s="10" t="inlineStr">
        <is>
          <t>TikTok Shop</t>
        </is>
      </c>
      <c r="F606" s="10" t="inlineStr">
        <is>
          <t>Sumatera</t>
        </is>
      </c>
      <c r="G606" s="10" t="inlineStr">
        <is>
          <t>Rumah Tangga</t>
        </is>
      </c>
      <c r="H606" s="10" t="inlineStr">
        <is>
          <t>Set Wadah Kedap</t>
        </is>
      </c>
      <c r="I606" s="19" t="n">
        <v>2</v>
      </c>
      <c r="J606" s="20" t="n">
        <v>135000</v>
      </c>
      <c r="K606" s="20" t="n">
        <v>270000</v>
      </c>
      <c r="L606" s="10">
        <f>IF($B606="","",TEXT($B606,"YYYY-MM"))</f>
        <v/>
      </c>
    </row>
    <row r="607">
      <c r="A607" s="10" t="inlineStr">
        <is>
          <t>INV-71254</t>
        </is>
      </c>
      <c r="B607" s="18" t="n">
        <v>45861</v>
      </c>
      <c r="C607" s="10" t="inlineStr">
        <is>
          <t>C1353</t>
        </is>
      </c>
      <c r="D607" s="10" t="inlineStr">
        <is>
          <t>loyal</t>
        </is>
      </c>
      <c r="E607" s="10" t="inlineStr">
        <is>
          <t>Shopee</t>
        </is>
      </c>
      <c r="F607" s="10" t="inlineStr">
        <is>
          <t>Sumatera</t>
        </is>
      </c>
      <c r="G607" s="10" t="inlineStr">
        <is>
          <t>Kecantikan</t>
        </is>
      </c>
      <c r="H607" s="10" t="inlineStr">
        <is>
          <t>Masker Wajah (5s)</t>
        </is>
      </c>
      <c r="I607" s="19" t="n">
        <v>2</v>
      </c>
      <c r="J607" s="20" t="n">
        <v>55000</v>
      </c>
      <c r="K607" s="20" t="n">
        <v>110000</v>
      </c>
      <c r="L607" s="10">
        <f>IF($B607="","",TEXT($B607,"YYYY-MM"))</f>
        <v/>
      </c>
    </row>
    <row r="608">
      <c r="A608" s="10" t="inlineStr">
        <is>
          <t>INV-70236</t>
        </is>
      </c>
      <c r="B608" s="18" t="n">
        <v>45862</v>
      </c>
      <c r="C608" s="10" t="inlineStr">
        <is>
          <t>C1066</t>
        </is>
      </c>
      <c r="D608" s="10" t="inlineStr">
        <is>
          <t>loyal</t>
        </is>
      </c>
      <c r="E608" s="10" t="inlineStr">
        <is>
          <t>TikTok Shop</t>
        </is>
      </c>
      <c r="F608" s="10" t="inlineStr">
        <is>
          <t>Sumatera</t>
        </is>
      </c>
      <c r="G608" s="10" t="inlineStr">
        <is>
          <t>Elektronik</t>
        </is>
      </c>
      <c r="H608" s="10" t="inlineStr">
        <is>
          <t>Keyboard Mekanik</t>
        </is>
      </c>
      <c r="I608" s="19" t="n">
        <v>2</v>
      </c>
      <c r="J608" s="20" t="n">
        <v>380000</v>
      </c>
      <c r="K608" s="20" t="n">
        <v>760000</v>
      </c>
      <c r="L608" s="10">
        <f>IF($B608="","",TEXT($B608,"YYYY-MM"))</f>
        <v/>
      </c>
    </row>
    <row r="609">
      <c r="A609" s="10" t="inlineStr">
        <is>
          <t>INV-70464</t>
        </is>
      </c>
      <c r="B609" s="18" t="n">
        <v>45863</v>
      </c>
      <c r="C609" s="10" t="inlineStr">
        <is>
          <t>C1132</t>
        </is>
      </c>
      <c r="D609" s="10" t="inlineStr">
        <is>
          <t>regular</t>
        </is>
      </c>
      <c r="E609" s="10" t="inlineStr">
        <is>
          <t>Tokopedia</t>
        </is>
      </c>
      <c r="F609" s="10" t="inlineStr">
        <is>
          <t>Jawa Timur</t>
        </is>
      </c>
      <c r="G609" s="10" t="inlineStr">
        <is>
          <t>Elektronik</t>
        </is>
      </c>
      <c r="H609" s="10" t="inlineStr">
        <is>
          <t>Keyboard Mekanik</t>
        </is>
      </c>
      <c r="I609" s="19" t="n">
        <v>4</v>
      </c>
      <c r="J609" s="20" t="n">
        <v>380000</v>
      </c>
      <c r="K609" s="20" t="n">
        <v>1520000</v>
      </c>
      <c r="L609" s="10">
        <f>IF($B609="","",TEXT($B609,"YYYY-MM"))</f>
        <v/>
      </c>
    </row>
    <row r="610">
      <c r="A610" s="10" t="inlineStr">
        <is>
          <t>INV-71193</t>
        </is>
      </c>
      <c r="B610" s="18" t="n">
        <v>45863</v>
      </c>
      <c r="C610" s="10" t="inlineStr">
        <is>
          <t>C1335</t>
        </is>
      </c>
      <c r="D610" s="10" t="inlineStr">
        <is>
          <t>regular</t>
        </is>
      </c>
      <c r="E610" s="10" t="inlineStr">
        <is>
          <t>Shopee</t>
        </is>
      </c>
      <c r="F610" s="10" t="inlineStr">
        <is>
          <t>Jawa Barat</t>
        </is>
      </c>
      <c r="G610" s="10" t="inlineStr">
        <is>
          <t>Makanan</t>
        </is>
      </c>
      <c r="H610" s="10" t="inlineStr">
        <is>
          <t>Granola 500g</t>
        </is>
      </c>
      <c r="I610" s="19" t="n">
        <v>2</v>
      </c>
      <c r="J610" s="20" t="n">
        <v>92000</v>
      </c>
      <c r="K610" s="20" t="n">
        <v>184000</v>
      </c>
      <c r="L610" s="10">
        <f>IF($B610="","",TEXT($B610,"YYYY-MM"))</f>
        <v/>
      </c>
    </row>
    <row r="611">
      <c r="A611" s="10" t="inlineStr">
        <is>
          <t>INV-70198</t>
        </is>
      </c>
      <c r="B611" s="18" t="n">
        <v>45863</v>
      </c>
      <c r="C611" s="10" t="inlineStr">
        <is>
          <t>C1056</t>
        </is>
      </c>
      <c r="D611" s="10" t="inlineStr">
        <is>
          <t>loyal</t>
        </is>
      </c>
      <c r="E611" s="10" t="inlineStr">
        <is>
          <t>Tokopedia</t>
        </is>
      </c>
      <c r="F611" s="10" t="inlineStr">
        <is>
          <t>Lainnya</t>
        </is>
      </c>
      <c r="G611" s="10" t="inlineStr">
        <is>
          <t>Rumah Tangga</t>
        </is>
      </c>
      <c r="H611" s="10" t="inlineStr">
        <is>
          <t>Set Wadah Kedap</t>
        </is>
      </c>
      <c r="I611" s="19" t="n">
        <v>1</v>
      </c>
      <c r="J611" s="20" t="n">
        <v>135000</v>
      </c>
      <c r="K611" s="20" t="n">
        <v>135000</v>
      </c>
      <c r="L611" s="10">
        <f>IF($B611="","",TEXT($B611,"YYYY-MM"))</f>
        <v/>
      </c>
    </row>
    <row r="612">
      <c r="A612" s="10" t="inlineStr">
        <is>
          <t>INV-70849</t>
        </is>
      </c>
      <c r="B612" s="18" t="n">
        <v>45863</v>
      </c>
      <c r="C612" s="10" t="inlineStr">
        <is>
          <t>C1238</t>
        </is>
      </c>
      <c r="D612" s="10" t="inlineStr">
        <is>
          <t>onetime</t>
        </is>
      </c>
      <c r="E612" s="10" t="inlineStr">
        <is>
          <t>TikTok Shop</t>
        </is>
      </c>
      <c r="F612" s="10" t="inlineStr">
        <is>
          <t>Jabodetabek</t>
        </is>
      </c>
      <c r="G612" s="10" t="inlineStr">
        <is>
          <t>Rumah Tangga</t>
        </is>
      </c>
      <c r="H612" s="10" t="inlineStr">
        <is>
          <t>Set Wadah Kedap</t>
        </is>
      </c>
      <c r="I612" s="19" t="n">
        <v>1</v>
      </c>
      <c r="J612" s="20" t="n">
        <v>135000</v>
      </c>
      <c r="K612" s="20" t="n">
        <v>135000</v>
      </c>
      <c r="L612" s="10">
        <f>IF($B612="","",TEXT($B612,"YYYY-MM"))</f>
        <v/>
      </c>
    </row>
    <row r="613">
      <c r="A613" s="10" t="inlineStr">
        <is>
          <t>INV-70021</t>
        </is>
      </c>
      <c r="B613" s="18" t="n">
        <v>45865</v>
      </c>
      <c r="C613" s="10" t="inlineStr">
        <is>
          <t>C1003</t>
        </is>
      </c>
      <c r="D613" s="10" t="inlineStr">
        <is>
          <t>regular</t>
        </is>
      </c>
      <c r="E613" s="10" t="inlineStr">
        <is>
          <t>TikTok Shop</t>
        </is>
      </c>
      <c r="F613" s="10" t="inlineStr">
        <is>
          <t>Jawa Barat</t>
        </is>
      </c>
      <c r="G613" s="10" t="inlineStr">
        <is>
          <t>Kecantikan</t>
        </is>
      </c>
      <c r="H613" s="10" t="inlineStr">
        <is>
          <t>Masker Wajah (5s)</t>
        </is>
      </c>
      <c r="I613" s="19" t="n">
        <v>2</v>
      </c>
      <c r="J613" s="20" t="n">
        <v>55000</v>
      </c>
      <c r="K613" s="20" t="n">
        <v>110000</v>
      </c>
      <c r="L613" s="10">
        <f>IF($B613="","",TEXT($B613,"YYYY-MM"))</f>
        <v/>
      </c>
    </row>
    <row r="614">
      <c r="A614" s="10" t="inlineStr">
        <is>
          <t>INV-70046</t>
        </is>
      </c>
      <c r="B614" s="18" t="n">
        <v>45865</v>
      </c>
      <c r="C614" s="10" t="inlineStr">
        <is>
          <t>C1012</t>
        </is>
      </c>
      <c r="D614" s="10" t="inlineStr">
        <is>
          <t>loyal</t>
        </is>
      </c>
      <c r="E614" s="10" t="inlineStr">
        <is>
          <t>Offline Store</t>
        </is>
      </c>
      <c r="F614" s="10" t="inlineStr">
        <is>
          <t>Jabodetabek</t>
        </is>
      </c>
      <c r="G614" s="10" t="inlineStr">
        <is>
          <t>Fashion</t>
        </is>
      </c>
      <c r="H614" s="10" t="inlineStr">
        <is>
          <t>Dress Casual</t>
        </is>
      </c>
      <c r="I614" s="19" t="n">
        <v>1</v>
      </c>
      <c r="J614" s="20" t="n">
        <v>225000</v>
      </c>
      <c r="K614" s="20" t="n">
        <v>225000</v>
      </c>
      <c r="L614" s="10">
        <f>IF($B614="","",TEXT($B614,"YYYY-MM"))</f>
        <v/>
      </c>
    </row>
    <row r="615">
      <c r="A615" s="10" t="inlineStr">
        <is>
          <t>INV-70404</t>
        </is>
      </c>
      <c r="B615" s="18" t="n">
        <v>45865</v>
      </c>
      <c r="C615" s="10" t="inlineStr">
        <is>
          <t>C1112</t>
        </is>
      </c>
      <c r="D615" s="10" t="inlineStr">
        <is>
          <t>loyal</t>
        </is>
      </c>
      <c r="E615" s="10" t="inlineStr">
        <is>
          <t>Tokopedia</t>
        </is>
      </c>
      <c r="F615" s="10" t="inlineStr">
        <is>
          <t>Sumatera</t>
        </is>
      </c>
      <c r="G615" s="10" t="inlineStr">
        <is>
          <t>Rumah Tangga</t>
        </is>
      </c>
      <c r="H615" s="10" t="inlineStr">
        <is>
          <t>Lampu Meja LED</t>
        </is>
      </c>
      <c r="I615" s="19" t="n">
        <v>2</v>
      </c>
      <c r="J615" s="20" t="n">
        <v>165000</v>
      </c>
      <c r="K615" s="20" t="n">
        <v>330000</v>
      </c>
      <c r="L615" s="10">
        <f>IF($B615="","",TEXT($B615,"YYYY-MM"))</f>
        <v/>
      </c>
    </row>
    <row r="616">
      <c r="A616" s="10" t="inlineStr">
        <is>
          <t>INV-71485</t>
        </is>
      </c>
      <c r="B616" s="18" t="n">
        <v>45870</v>
      </c>
      <c r="C616" s="10" t="inlineStr">
        <is>
          <t>C1409</t>
        </is>
      </c>
      <c r="D616" s="10" t="inlineStr">
        <is>
          <t>loyal</t>
        </is>
      </c>
      <c r="E616" s="10" t="inlineStr">
        <is>
          <t>Shopee</t>
        </is>
      </c>
      <c r="F616" s="10" t="inlineStr">
        <is>
          <t>Jawa Timur</t>
        </is>
      </c>
      <c r="G616" s="10" t="inlineStr">
        <is>
          <t>Rumah Tangga</t>
        </is>
      </c>
      <c r="H616" s="10" t="inlineStr">
        <is>
          <t>Organizer Laci</t>
        </is>
      </c>
      <c r="I616" s="19" t="n">
        <v>4</v>
      </c>
      <c r="J616" s="20" t="n">
        <v>78000</v>
      </c>
      <c r="K616" s="20" t="n">
        <v>312000</v>
      </c>
      <c r="L616" s="10">
        <f>IF($B616="","",TEXT($B616,"YYYY-MM"))</f>
        <v/>
      </c>
    </row>
    <row r="617">
      <c r="A617" s="10" t="inlineStr">
        <is>
          <t>INV-70249</t>
        </is>
      </c>
      <c r="B617" s="18" t="n">
        <v>45870</v>
      </c>
      <c r="C617" s="10" t="inlineStr">
        <is>
          <t>C1072</t>
        </is>
      </c>
      <c r="D617" s="10" t="inlineStr">
        <is>
          <t>champion</t>
        </is>
      </c>
      <c r="E617" s="10" t="inlineStr">
        <is>
          <t>Shopee</t>
        </is>
      </c>
      <c r="F617" s="10" t="inlineStr">
        <is>
          <t>Jawa Tengah</t>
        </is>
      </c>
      <c r="G617" s="10" t="inlineStr">
        <is>
          <t>Elektronik</t>
        </is>
      </c>
      <c r="H617" s="10" t="inlineStr">
        <is>
          <t>Smartwatch</t>
        </is>
      </c>
      <c r="I617" s="19" t="n">
        <v>1</v>
      </c>
      <c r="J617" s="20" t="n">
        <v>450000</v>
      </c>
      <c r="K617" s="20" t="n">
        <v>450000</v>
      </c>
      <c r="L617" s="10">
        <f>IF($B617="","",TEXT($B617,"YYYY-MM"))</f>
        <v/>
      </c>
    </row>
    <row r="618">
      <c r="A618" s="10" t="inlineStr">
        <is>
          <t>INV-70741</t>
        </is>
      </c>
      <c r="B618" s="18" t="n">
        <v>45870</v>
      </c>
      <c r="C618" s="10" t="inlineStr">
        <is>
          <t>C1207</t>
        </is>
      </c>
      <c r="D618" s="10" t="inlineStr">
        <is>
          <t>loyal</t>
        </is>
      </c>
      <c r="E618" s="10" t="inlineStr">
        <is>
          <t>Shopee</t>
        </is>
      </c>
      <c r="F618" s="10" t="inlineStr">
        <is>
          <t>Jawa Tengah</t>
        </is>
      </c>
      <c r="G618" s="10" t="inlineStr">
        <is>
          <t>Rumah Tangga</t>
        </is>
      </c>
      <c r="H618" s="10" t="inlineStr">
        <is>
          <t>Diffuser Aroma</t>
        </is>
      </c>
      <c r="I618" s="19" t="n">
        <v>1</v>
      </c>
      <c r="J618" s="20" t="n">
        <v>195000</v>
      </c>
      <c r="K618" s="20" t="n">
        <v>195000</v>
      </c>
      <c r="L618" s="10">
        <f>IF($B618="","",TEXT($B618,"YYYY-MM"))</f>
        <v/>
      </c>
    </row>
    <row r="619">
      <c r="A619" s="10" t="inlineStr">
        <is>
          <t>INV-71220</t>
        </is>
      </c>
      <c r="B619" s="18" t="n">
        <v>45870</v>
      </c>
      <c r="C619" s="10" t="inlineStr">
        <is>
          <t>C1347</t>
        </is>
      </c>
      <c r="D619" s="10" t="inlineStr">
        <is>
          <t>occasional</t>
        </is>
      </c>
      <c r="E619" s="10" t="inlineStr">
        <is>
          <t>Tokopedia</t>
        </is>
      </c>
      <c r="F619" s="10" t="inlineStr">
        <is>
          <t>Jawa Barat</t>
        </is>
      </c>
      <c r="G619" s="10" t="inlineStr">
        <is>
          <t>Rumah Tangga</t>
        </is>
      </c>
      <c r="H619" s="10" t="inlineStr">
        <is>
          <t>Organizer Laci</t>
        </is>
      </c>
      <c r="I619" s="19" t="n">
        <v>2</v>
      </c>
      <c r="J619" s="20" t="n">
        <v>78000</v>
      </c>
      <c r="K619" s="20" t="n">
        <v>156000</v>
      </c>
      <c r="L619" s="10">
        <f>IF($B619="","",TEXT($B619,"YYYY-MM"))</f>
        <v/>
      </c>
    </row>
    <row r="620">
      <c r="A620" s="10" t="inlineStr">
        <is>
          <t>INV-70688</t>
        </is>
      </c>
      <c r="B620" s="18" t="n">
        <v>45871</v>
      </c>
      <c r="C620" s="10" t="inlineStr">
        <is>
          <t>C1188</t>
        </is>
      </c>
      <c r="D620" s="10" t="inlineStr">
        <is>
          <t>occasional</t>
        </is>
      </c>
      <c r="E620" s="10" t="inlineStr">
        <is>
          <t>Shopee</t>
        </is>
      </c>
      <c r="F620" s="10" t="inlineStr">
        <is>
          <t>Jabodetabek</t>
        </is>
      </c>
      <c r="G620" s="10" t="inlineStr">
        <is>
          <t>Kecantikan</t>
        </is>
      </c>
      <c r="H620" s="10" t="inlineStr">
        <is>
          <t>Masker Wajah (5s)</t>
        </is>
      </c>
      <c r="I620" s="19" t="n">
        <v>1</v>
      </c>
      <c r="J620" s="20" t="n">
        <v>55000</v>
      </c>
      <c r="K620" s="20" t="n">
        <v>55000</v>
      </c>
      <c r="L620" s="10">
        <f>IF($B620="","",TEXT($B620,"YYYY-MM"))</f>
        <v/>
      </c>
    </row>
    <row r="621">
      <c r="A621" s="10" t="inlineStr">
        <is>
          <t>INV-70329</t>
        </is>
      </c>
      <c r="B621" s="18" t="n">
        <v>45871</v>
      </c>
      <c r="C621" s="10" t="inlineStr">
        <is>
          <t>C1090</t>
        </is>
      </c>
      <c r="D621" s="10" t="inlineStr">
        <is>
          <t>champion</t>
        </is>
      </c>
      <c r="E621" s="10" t="inlineStr">
        <is>
          <t>Tokopedia</t>
        </is>
      </c>
      <c r="F621" s="10" t="inlineStr">
        <is>
          <t>Jabodetabek</t>
        </is>
      </c>
      <c r="G621" s="10" t="inlineStr">
        <is>
          <t>Fashion</t>
        </is>
      </c>
      <c r="H621" s="10" t="inlineStr">
        <is>
          <t>Celana Chino</t>
        </is>
      </c>
      <c r="I621" s="19" t="n">
        <v>2</v>
      </c>
      <c r="J621" s="20" t="n">
        <v>195000</v>
      </c>
      <c r="K621" s="20" t="n">
        <v>390000</v>
      </c>
      <c r="L621" s="10">
        <f>IF($B621="","",TEXT($B621,"YYYY-MM"))</f>
        <v/>
      </c>
    </row>
    <row r="622">
      <c r="A622" s="10" t="inlineStr">
        <is>
          <t>INV-70820</t>
        </is>
      </c>
      <c r="B622" s="18" t="n">
        <v>45872</v>
      </c>
      <c r="C622" s="10" t="inlineStr">
        <is>
          <t>C1232</t>
        </is>
      </c>
      <c r="D622" s="10" t="inlineStr">
        <is>
          <t>onetime</t>
        </is>
      </c>
      <c r="E622" s="10" t="inlineStr">
        <is>
          <t>Shopee</t>
        </is>
      </c>
      <c r="F622" s="10" t="inlineStr">
        <is>
          <t>Jabodetabek</t>
        </is>
      </c>
      <c r="G622" s="10" t="inlineStr">
        <is>
          <t>Fashion</t>
        </is>
      </c>
      <c r="H622" s="10" t="inlineStr">
        <is>
          <t>Celana Chino</t>
        </is>
      </c>
      <c r="I622" s="19" t="n">
        <v>4</v>
      </c>
      <c r="J622" s="20" t="n">
        <v>195000</v>
      </c>
      <c r="K622" s="20" t="n">
        <v>780000</v>
      </c>
      <c r="L622" s="10">
        <f>IF($B622="","",TEXT($B622,"YYYY-MM"))</f>
        <v/>
      </c>
    </row>
    <row r="623">
      <c r="A623" s="10" t="inlineStr">
        <is>
          <t>INV-70942</t>
        </is>
      </c>
      <c r="B623" s="18" t="n">
        <v>45872</v>
      </c>
      <c r="C623" s="10" t="inlineStr">
        <is>
          <t>C1265</t>
        </is>
      </c>
      <c r="D623" s="10" t="inlineStr">
        <is>
          <t>loyal</t>
        </is>
      </c>
      <c r="E623" s="10" t="inlineStr">
        <is>
          <t>TikTok Shop</t>
        </is>
      </c>
      <c r="F623" s="10" t="inlineStr">
        <is>
          <t>Jabodetabek</t>
        </is>
      </c>
      <c r="G623" s="10" t="inlineStr">
        <is>
          <t>Makanan</t>
        </is>
      </c>
      <c r="H623" s="10" t="inlineStr">
        <is>
          <t>Madu Hutan 250ml</t>
        </is>
      </c>
      <c r="I623" s="19" t="n">
        <v>2</v>
      </c>
      <c r="J623" s="20" t="n">
        <v>110000</v>
      </c>
      <c r="K623" s="20" t="n">
        <v>220000</v>
      </c>
      <c r="L623" s="10">
        <f>IF($B623="","",TEXT($B623,"YYYY-MM"))</f>
        <v/>
      </c>
    </row>
    <row r="624">
      <c r="A624" s="10" t="inlineStr">
        <is>
          <t>INV-71274</t>
        </is>
      </c>
      <c r="B624" s="18" t="n">
        <v>45873</v>
      </c>
      <c r="C624" s="10" t="inlineStr">
        <is>
          <t>C1358</t>
        </is>
      </c>
      <c r="D624" s="10" t="inlineStr">
        <is>
          <t>champion</t>
        </is>
      </c>
      <c r="E624" s="10" t="inlineStr">
        <is>
          <t>TikTok Shop</t>
        </is>
      </c>
      <c r="F624" s="10" t="inlineStr">
        <is>
          <t>Jabodetabek</t>
        </is>
      </c>
      <c r="G624" s="10" t="inlineStr">
        <is>
          <t>Kecantikan</t>
        </is>
      </c>
      <c r="H624" s="10" t="inlineStr">
        <is>
          <t>Masker Wajah (5s)</t>
        </is>
      </c>
      <c r="I624" s="19" t="n">
        <v>4</v>
      </c>
      <c r="J624" s="20" t="n">
        <v>55000</v>
      </c>
      <c r="K624" s="20" t="n">
        <v>220000</v>
      </c>
      <c r="L624" s="10">
        <f>IF($B624="","",TEXT($B624,"YYYY-MM"))</f>
        <v/>
      </c>
    </row>
    <row r="625">
      <c r="A625" s="10" t="inlineStr">
        <is>
          <t>INV-70384</t>
        </is>
      </c>
      <c r="B625" s="18" t="n">
        <v>45873</v>
      </c>
      <c r="C625" s="10" t="inlineStr">
        <is>
          <t>C1111</t>
        </is>
      </c>
      <c r="D625" s="10" t="inlineStr">
        <is>
          <t>champion</t>
        </is>
      </c>
      <c r="E625" s="10" t="inlineStr">
        <is>
          <t>Shopee</t>
        </is>
      </c>
      <c r="F625" s="10" t="inlineStr">
        <is>
          <t>Sumatera</t>
        </is>
      </c>
      <c r="G625" s="10" t="inlineStr">
        <is>
          <t>Elektronik</t>
        </is>
      </c>
      <c r="H625" s="10" t="inlineStr">
        <is>
          <t>Webcam HD</t>
        </is>
      </c>
      <c r="I625" s="19" t="n">
        <v>2</v>
      </c>
      <c r="J625" s="20" t="n">
        <v>210000</v>
      </c>
      <c r="K625" s="20" t="n">
        <v>420000</v>
      </c>
      <c r="L625" s="10">
        <f>IF($B625="","",TEXT($B625,"YYYY-MM"))</f>
        <v/>
      </c>
    </row>
    <row r="626">
      <c r="A626" s="10" t="inlineStr">
        <is>
          <t>INV-70909</t>
        </is>
      </c>
      <c r="B626" s="18" t="n">
        <v>45873</v>
      </c>
      <c r="C626" s="10" t="inlineStr">
        <is>
          <t>C1257</t>
        </is>
      </c>
      <c r="D626" s="10" t="inlineStr">
        <is>
          <t>regular</t>
        </is>
      </c>
      <c r="E626" s="10" t="inlineStr">
        <is>
          <t>Offline Store</t>
        </is>
      </c>
      <c r="F626" s="10" t="inlineStr">
        <is>
          <t>Jawa Tengah</t>
        </is>
      </c>
      <c r="G626" s="10" t="inlineStr">
        <is>
          <t>Elektronik</t>
        </is>
      </c>
      <c r="H626" s="10" t="inlineStr">
        <is>
          <t>Webcam HD</t>
        </is>
      </c>
      <c r="I626" s="19" t="n">
        <v>3</v>
      </c>
      <c r="J626" s="20" t="n">
        <v>210000</v>
      </c>
      <c r="K626" s="20" t="n">
        <v>630000</v>
      </c>
      <c r="L626" s="10">
        <f>IF($B626="","",TEXT($B626,"YYYY-MM"))</f>
        <v/>
      </c>
    </row>
    <row r="627">
      <c r="A627" s="10" t="inlineStr">
        <is>
          <t>INV-71480</t>
        </is>
      </c>
      <c r="B627" s="18" t="n">
        <v>45873</v>
      </c>
      <c r="C627" s="10" t="inlineStr">
        <is>
          <t>C1409</t>
        </is>
      </c>
      <c r="D627" s="10" t="inlineStr">
        <is>
          <t>loyal</t>
        </is>
      </c>
      <c r="E627" s="10" t="inlineStr">
        <is>
          <t>Shopee</t>
        </is>
      </c>
      <c r="F627" s="10" t="inlineStr">
        <is>
          <t>Jabodetabek</t>
        </is>
      </c>
      <c r="G627" s="10" t="inlineStr">
        <is>
          <t>Rumah Tangga</t>
        </is>
      </c>
      <c r="H627" s="10" t="inlineStr">
        <is>
          <t>Set Wadah Kedap</t>
        </is>
      </c>
      <c r="I627" s="19" t="n">
        <v>3</v>
      </c>
      <c r="J627" s="20" t="n">
        <v>135000</v>
      </c>
      <c r="K627" s="20" t="n">
        <v>405000</v>
      </c>
      <c r="L627" s="10">
        <f>IF($B627="","",TEXT($B627,"YYYY-MM"))</f>
        <v/>
      </c>
    </row>
    <row r="628">
      <c r="A628" s="10" t="inlineStr">
        <is>
          <t>INV-70872</t>
        </is>
      </c>
      <c r="B628" s="18" t="n">
        <v>45873</v>
      </c>
      <c r="C628" s="10" t="inlineStr">
        <is>
          <t>C1246</t>
        </is>
      </c>
      <c r="D628" s="10" t="inlineStr">
        <is>
          <t>champion</t>
        </is>
      </c>
      <c r="E628" s="10" t="inlineStr">
        <is>
          <t>Tokopedia</t>
        </is>
      </c>
      <c r="F628" s="10" t="inlineStr">
        <is>
          <t>Jawa Tengah</t>
        </is>
      </c>
      <c r="G628" s="10" t="inlineStr">
        <is>
          <t>Fashion</t>
        </is>
      </c>
      <c r="H628" s="10" t="inlineStr">
        <is>
          <t>Kemeja Linen</t>
        </is>
      </c>
      <c r="I628" s="19" t="n">
        <v>2</v>
      </c>
      <c r="J628" s="20" t="n">
        <v>185000</v>
      </c>
      <c r="K628" s="20" t="n">
        <v>370000</v>
      </c>
      <c r="L628" s="10">
        <f>IF($B628="","",TEXT($B628,"YYYY-MM"))</f>
        <v/>
      </c>
    </row>
    <row r="629">
      <c r="A629" s="10" t="inlineStr">
        <is>
          <t>INV-71242</t>
        </is>
      </c>
      <c r="B629" s="18" t="n">
        <v>45874</v>
      </c>
      <c r="C629" s="10" t="inlineStr">
        <is>
          <t>C1349</t>
        </is>
      </c>
      <c r="D629" s="10" t="inlineStr">
        <is>
          <t>champion</t>
        </is>
      </c>
      <c r="E629" s="10" t="inlineStr">
        <is>
          <t>Tokopedia</t>
        </is>
      </c>
      <c r="F629" s="10" t="inlineStr">
        <is>
          <t>Jawa Barat</t>
        </is>
      </c>
      <c r="G629" s="10" t="inlineStr">
        <is>
          <t>Elektronik</t>
        </is>
      </c>
      <c r="H629" s="10" t="inlineStr">
        <is>
          <t>Webcam HD</t>
        </is>
      </c>
      <c r="I629" s="19" t="n">
        <v>3</v>
      </c>
      <c r="J629" s="20" t="n">
        <v>210000</v>
      </c>
      <c r="K629" s="20" t="n">
        <v>630000</v>
      </c>
      <c r="L629" s="10">
        <f>IF($B629="","",TEXT($B629,"YYYY-MM"))</f>
        <v/>
      </c>
    </row>
    <row r="630">
      <c r="A630" s="10" t="inlineStr">
        <is>
          <t>INV-71430</t>
        </is>
      </c>
      <c r="B630" s="18" t="n">
        <v>45875</v>
      </c>
      <c r="C630" s="10" t="inlineStr">
        <is>
          <t>C1394</t>
        </is>
      </c>
      <c r="D630" s="10" t="inlineStr">
        <is>
          <t>loyal</t>
        </is>
      </c>
      <c r="E630" s="10" t="inlineStr">
        <is>
          <t>TikTok Shop</t>
        </is>
      </c>
      <c r="F630" s="10" t="inlineStr">
        <is>
          <t>Jawa Timur</t>
        </is>
      </c>
      <c r="G630" s="10" t="inlineStr">
        <is>
          <t>Rumah Tangga</t>
        </is>
      </c>
      <c r="H630" s="10" t="inlineStr">
        <is>
          <t>Set Wadah Kedap</t>
        </is>
      </c>
      <c r="I630" s="19" t="n">
        <v>1</v>
      </c>
      <c r="J630" s="20" t="n">
        <v>135000</v>
      </c>
      <c r="K630" s="20" t="n">
        <v>135000</v>
      </c>
      <c r="L630" s="10">
        <f>IF($B630="","",TEXT($B630,"YYYY-MM"))</f>
        <v/>
      </c>
    </row>
    <row r="631">
      <c r="A631" s="10" t="inlineStr">
        <is>
          <t>INV-70115</t>
        </is>
      </c>
      <c r="B631" s="18" t="n">
        <v>45875</v>
      </c>
      <c r="C631" s="10" t="inlineStr">
        <is>
          <t>C1035</t>
        </is>
      </c>
      <c r="D631" s="10" t="inlineStr">
        <is>
          <t>onetime</t>
        </is>
      </c>
      <c r="E631" s="10" t="inlineStr">
        <is>
          <t>TikTok Shop</t>
        </is>
      </c>
      <c r="F631" s="10" t="inlineStr">
        <is>
          <t>Jabodetabek</t>
        </is>
      </c>
      <c r="G631" s="10" t="inlineStr">
        <is>
          <t>Elektronik</t>
        </is>
      </c>
      <c r="H631" s="10" t="inlineStr">
        <is>
          <t>Power Bank 20K</t>
        </is>
      </c>
      <c r="I631" s="19" t="n">
        <v>1</v>
      </c>
      <c r="J631" s="20" t="n">
        <v>185000</v>
      </c>
      <c r="K631" s="20" t="n">
        <v>185000</v>
      </c>
      <c r="L631" s="10">
        <f>IF($B631="","",TEXT($B631,"YYYY-MM"))</f>
        <v/>
      </c>
    </row>
    <row r="632">
      <c r="A632" s="10" t="inlineStr">
        <is>
          <t>INV-71267</t>
        </is>
      </c>
      <c r="B632" s="18" t="n">
        <v>45875</v>
      </c>
      <c r="C632" s="10" t="inlineStr">
        <is>
          <t>C1358</t>
        </is>
      </c>
      <c r="D632" s="10" t="inlineStr">
        <is>
          <t>champion</t>
        </is>
      </c>
      <c r="E632" s="10" t="inlineStr">
        <is>
          <t>TikTok Shop</t>
        </is>
      </c>
      <c r="F632" s="10" t="inlineStr">
        <is>
          <t>Jabodetabek</t>
        </is>
      </c>
      <c r="G632" s="10" t="inlineStr">
        <is>
          <t>Elektronik</t>
        </is>
      </c>
      <c r="H632" s="10" t="inlineStr">
        <is>
          <t>Keyboard Mekanik</t>
        </is>
      </c>
      <c r="I632" s="19" t="n">
        <v>1</v>
      </c>
      <c r="J632" s="20" t="n">
        <v>380000</v>
      </c>
      <c r="K632" s="20" t="n">
        <v>380000</v>
      </c>
      <c r="L632" s="10">
        <f>IF($B632="","",TEXT($B632,"YYYY-MM"))</f>
        <v/>
      </c>
    </row>
    <row r="633">
      <c r="A633" s="10" t="inlineStr">
        <is>
          <t>INV-70119</t>
        </is>
      </c>
      <c r="B633" s="18" t="n">
        <v>45875</v>
      </c>
      <c r="C633" s="10" t="inlineStr">
        <is>
          <t>C1038</t>
        </is>
      </c>
      <c r="D633" s="10" t="inlineStr">
        <is>
          <t>champion</t>
        </is>
      </c>
      <c r="E633" s="10" t="inlineStr">
        <is>
          <t>Tokopedia</t>
        </is>
      </c>
      <c r="F633" s="10" t="inlineStr">
        <is>
          <t>Sumatera</t>
        </is>
      </c>
      <c r="G633" s="10" t="inlineStr">
        <is>
          <t>Rumah Tangga</t>
        </is>
      </c>
      <c r="H633" s="10" t="inlineStr">
        <is>
          <t>Set Wadah Kedap</t>
        </is>
      </c>
      <c r="I633" s="19" t="n">
        <v>3</v>
      </c>
      <c r="J633" s="20" t="n">
        <v>135000</v>
      </c>
      <c r="K633" s="20" t="n">
        <v>405000</v>
      </c>
      <c r="L633" s="10">
        <f>IF($B633="","",TEXT($B633,"YYYY-MM"))</f>
        <v/>
      </c>
    </row>
    <row r="634">
      <c r="A634" s="10" t="inlineStr">
        <is>
          <t>INV-70171</t>
        </is>
      </c>
      <c r="B634" s="18" t="n">
        <v>45876</v>
      </c>
      <c r="C634" s="10" t="inlineStr">
        <is>
          <t>C1049</t>
        </is>
      </c>
      <c r="D634" s="10" t="inlineStr">
        <is>
          <t>champion</t>
        </is>
      </c>
      <c r="E634" s="10" t="inlineStr">
        <is>
          <t>Tokopedia</t>
        </is>
      </c>
      <c r="F634" s="10" t="inlineStr">
        <is>
          <t>Jawa Tengah</t>
        </is>
      </c>
      <c r="G634" s="10" t="inlineStr">
        <is>
          <t>Elektronik</t>
        </is>
      </c>
      <c r="H634" s="10" t="inlineStr">
        <is>
          <t>Earbuds TWS</t>
        </is>
      </c>
      <c r="I634" s="19" t="n">
        <v>3</v>
      </c>
      <c r="J634" s="20" t="n">
        <v>265000</v>
      </c>
      <c r="K634" s="20" t="n">
        <v>795000</v>
      </c>
      <c r="L634" s="10">
        <f>IF($B634="","",TEXT($B634,"YYYY-MM"))</f>
        <v/>
      </c>
    </row>
    <row r="635">
      <c r="A635" s="10" t="inlineStr">
        <is>
          <t>INV-70325</t>
        </is>
      </c>
      <c r="B635" s="18" t="n">
        <v>45876</v>
      </c>
      <c r="C635" s="10" t="inlineStr">
        <is>
          <t>C1090</t>
        </is>
      </c>
      <c r="D635" s="10" t="inlineStr">
        <is>
          <t>champion</t>
        </is>
      </c>
      <c r="E635" s="10" t="inlineStr">
        <is>
          <t>Shopee</t>
        </is>
      </c>
      <c r="F635" s="10" t="inlineStr">
        <is>
          <t>Jabodetabek</t>
        </is>
      </c>
      <c r="G635" s="10" t="inlineStr">
        <is>
          <t>Rumah Tangga</t>
        </is>
      </c>
      <c r="H635" s="10" t="inlineStr">
        <is>
          <t>Set Wadah Kedap</t>
        </is>
      </c>
      <c r="I635" s="19" t="n">
        <v>1</v>
      </c>
      <c r="J635" s="20" t="n">
        <v>135000</v>
      </c>
      <c r="K635" s="20" t="n">
        <v>135000</v>
      </c>
      <c r="L635" s="10">
        <f>IF($B635="","",TEXT($B635,"YYYY-MM"))</f>
        <v/>
      </c>
    </row>
    <row r="636">
      <c r="A636" s="10" t="inlineStr">
        <is>
          <t>INV-70808</t>
        </is>
      </c>
      <c r="B636" s="18" t="n">
        <v>45876</v>
      </c>
      <c r="C636" s="10" t="inlineStr">
        <is>
          <t>C1227</t>
        </is>
      </c>
      <c r="D636" s="10" t="inlineStr">
        <is>
          <t>occasional</t>
        </is>
      </c>
      <c r="E636" s="10" t="inlineStr">
        <is>
          <t>Tokopedia</t>
        </is>
      </c>
      <c r="F636" s="10" t="inlineStr">
        <is>
          <t>Jawa Timur</t>
        </is>
      </c>
      <c r="G636" s="10" t="inlineStr">
        <is>
          <t>Makanan</t>
        </is>
      </c>
      <c r="H636" s="10" t="inlineStr">
        <is>
          <t>Granola 500g</t>
        </is>
      </c>
      <c r="I636" s="19" t="n">
        <v>1</v>
      </c>
      <c r="J636" s="20" t="n">
        <v>92000</v>
      </c>
      <c r="K636" s="20" t="n">
        <v>92000</v>
      </c>
      <c r="L636" s="10">
        <f>IF($B636="","",TEXT($B636,"YYYY-MM"))</f>
        <v/>
      </c>
    </row>
    <row r="637">
      <c r="A637" s="10" t="inlineStr">
        <is>
          <t>INV-71344</t>
        </is>
      </c>
      <c r="B637" s="18" t="n">
        <v>45876</v>
      </c>
      <c r="C637" s="10" t="inlineStr">
        <is>
          <t>C1369</t>
        </is>
      </c>
      <c r="D637" s="10" t="inlineStr">
        <is>
          <t>loyal</t>
        </is>
      </c>
      <c r="E637" s="10" t="inlineStr">
        <is>
          <t>TikTok Shop</t>
        </is>
      </c>
      <c r="F637" s="10" t="inlineStr">
        <is>
          <t>Jabodetabek</t>
        </is>
      </c>
      <c r="G637" s="10" t="inlineStr">
        <is>
          <t>Rumah Tangga</t>
        </is>
      </c>
      <c r="H637" s="10" t="inlineStr">
        <is>
          <t>Organizer Laci</t>
        </is>
      </c>
      <c r="I637" s="19" t="n">
        <v>2</v>
      </c>
      <c r="J637" s="20" t="n">
        <v>78000</v>
      </c>
      <c r="K637" s="20" t="n">
        <v>156000</v>
      </c>
      <c r="L637" s="10">
        <f>IF($B637="","",TEXT($B637,"YYYY-MM"))</f>
        <v/>
      </c>
    </row>
    <row r="638">
      <c r="A638" s="10" t="inlineStr">
        <is>
          <t>INV-70358</t>
        </is>
      </c>
      <c r="B638" s="18" t="n">
        <v>45877</v>
      </c>
      <c r="C638" s="10" t="inlineStr">
        <is>
          <t>C1098</t>
        </is>
      </c>
      <c r="D638" s="10" t="inlineStr">
        <is>
          <t>onetime</t>
        </is>
      </c>
      <c r="E638" s="10" t="inlineStr">
        <is>
          <t>TikTok Shop</t>
        </is>
      </c>
      <c r="F638" s="10" t="inlineStr">
        <is>
          <t>Sumatera</t>
        </is>
      </c>
      <c r="G638" s="10" t="inlineStr">
        <is>
          <t>Elektronik</t>
        </is>
      </c>
      <c r="H638" s="10" t="inlineStr">
        <is>
          <t>Webcam HD</t>
        </is>
      </c>
      <c r="I638" s="19" t="n">
        <v>1</v>
      </c>
      <c r="J638" s="20" t="n">
        <v>210000</v>
      </c>
      <c r="K638" s="20" t="n">
        <v>210000</v>
      </c>
      <c r="L638" s="10">
        <f>IF($B638="","",TEXT($B638,"YYYY-MM"))</f>
        <v/>
      </c>
    </row>
    <row r="639">
      <c r="A639" s="10" t="inlineStr">
        <is>
          <t>INV-70029</t>
        </is>
      </c>
      <c r="B639" s="18" t="n">
        <v>45877</v>
      </c>
      <c r="C639" s="10" t="inlineStr">
        <is>
          <t>C1006</t>
        </is>
      </c>
      <c r="D639" s="10" t="inlineStr">
        <is>
          <t>regular</t>
        </is>
      </c>
      <c r="E639" s="10" t="inlineStr">
        <is>
          <t>Offline Store</t>
        </is>
      </c>
      <c r="F639" s="10" t="inlineStr">
        <is>
          <t>Sumatera</t>
        </is>
      </c>
      <c r="G639" s="10" t="inlineStr">
        <is>
          <t>Elektronik</t>
        </is>
      </c>
      <c r="H639" s="10" t="inlineStr">
        <is>
          <t>Smartwatch</t>
        </is>
      </c>
      <c r="I639" s="19" t="n">
        <v>2</v>
      </c>
      <c r="J639" s="20" t="n">
        <v>450000</v>
      </c>
      <c r="K639" s="20" t="n">
        <v>900000</v>
      </c>
      <c r="L639" s="10">
        <f>IF($B639="","",TEXT($B639,"YYYY-MM"))</f>
        <v/>
      </c>
    </row>
    <row r="640">
      <c r="A640" s="10" t="inlineStr">
        <is>
          <t>INV-71192</t>
        </is>
      </c>
      <c r="B640" s="18" t="n">
        <v>45877</v>
      </c>
      <c r="C640" s="10" t="inlineStr">
        <is>
          <t>C1335</t>
        </is>
      </c>
      <c r="D640" s="10" t="inlineStr">
        <is>
          <t>regular</t>
        </is>
      </c>
      <c r="E640" s="10" t="inlineStr">
        <is>
          <t>Offline Store</t>
        </is>
      </c>
      <c r="F640" s="10" t="inlineStr">
        <is>
          <t>Jabodetabek</t>
        </is>
      </c>
      <c r="G640" s="10" t="inlineStr">
        <is>
          <t>Rumah Tangga</t>
        </is>
      </c>
      <c r="H640" s="10" t="inlineStr">
        <is>
          <t>Set Wadah Kedap</t>
        </is>
      </c>
      <c r="I640" s="19" t="n">
        <v>1</v>
      </c>
      <c r="J640" s="20" t="n">
        <v>135000</v>
      </c>
      <c r="K640" s="20" t="n">
        <v>135000</v>
      </c>
      <c r="L640" s="10">
        <f>IF($B640="","",TEXT($B640,"YYYY-MM"))</f>
        <v/>
      </c>
    </row>
    <row r="641">
      <c r="A641" s="10" t="inlineStr">
        <is>
          <t>INV-70066</t>
        </is>
      </c>
      <c r="B641" s="18" t="n">
        <v>45877</v>
      </c>
      <c r="C641" s="10" t="inlineStr">
        <is>
          <t>C1019</t>
        </is>
      </c>
      <c r="D641" s="10" t="inlineStr">
        <is>
          <t>occasional</t>
        </is>
      </c>
      <c r="E641" s="10" t="inlineStr">
        <is>
          <t>Tokopedia</t>
        </is>
      </c>
      <c r="F641" s="10" t="inlineStr">
        <is>
          <t>Jabodetabek</t>
        </is>
      </c>
      <c r="G641" s="10" t="inlineStr">
        <is>
          <t>Kecantikan</t>
        </is>
      </c>
      <c r="H641" s="10" t="inlineStr">
        <is>
          <t>Toner Glow</t>
        </is>
      </c>
      <c r="I641" s="19" t="n">
        <v>1</v>
      </c>
      <c r="J641" s="20" t="n">
        <v>88000</v>
      </c>
      <c r="K641" s="20" t="n">
        <v>88000</v>
      </c>
      <c r="L641" s="10">
        <f>IF($B641="","",TEXT($B641,"YYYY-MM"))</f>
        <v/>
      </c>
    </row>
    <row r="642">
      <c r="A642" s="10" t="inlineStr">
        <is>
          <t>INV-70541</t>
        </is>
      </c>
      <c r="B642" s="18" t="n">
        <v>45877</v>
      </c>
      <c r="C642" s="10" t="inlineStr">
        <is>
          <t>C1149</t>
        </is>
      </c>
      <c r="D642" s="10" t="inlineStr">
        <is>
          <t>loyal</t>
        </is>
      </c>
      <c r="E642" s="10" t="inlineStr">
        <is>
          <t>Offline Store</t>
        </is>
      </c>
      <c r="F642" s="10" t="inlineStr">
        <is>
          <t>Jabodetabek</t>
        </is>
      </c>
      <c r="G642" s="10" t="inlineStr">
        <is>
          <t>Fashion</t>
        </is>
      </c>
      <c r="H642" s="10" t="inlineStr">
        <is>
          <t>Celana Chino</t>
        </is>
      </c>
      <c r="I642" s="19" t="n">
        <v>1</v>
      </c>
      <c r="J642" s="20" t="n">
        <v>195000</v>
      </c>
      <c r="K642" s="20" t="n">
        <v>195000</v>
      </c>
      <c r="L642" s="10">
        <f>IF($B642="","",TEXT($B642,"YYYY-MM"))</f>
        <v/>
      </c>
    </row>
    <row r="643">
      <c r="A643" s="10" t="inlineStr">
        <is>
          <t>INV-71529</t>
        </is>
      </c>
      <c r="B643" s="18" t="n">
        <v>45878</v>
      </c>
      <c r="C643" s="10" t="inlineStr">
        <is>
          <t>C1420</t>
        </is>
      </c>
      <c r="D643" s="10" t="inlineStr">
        <is>
          <t>regular</t>
        </is>
      </c>
      <c r="E643" s="10" t="inlineStr">
        <is>
          <t>Shopee</t>
        </is>
      </c>
      <c r="F643" s="10" t="inlineStr">
        <is>
          <t>Jawa Timur</t>
        </is>
      </c>
      <c r="G643" s="10" t="inlineStr">
        <is>
          <t>Rumah Tangga</t>
        </is>
      </c>
      <c r="H643" s="10" t="inlineStr">
        <is>
          <t>Set Wadah Kedap</t>
        </is>
      </c>
      <c r="I643" s="19" t="n">
        <v>4</v>
      </c>
      <c r="J643" s="20" t="n">
        <v>135000</v>
      </c>
      <c r="K643" s="20" t="n">
        <v>540000</v>
      </c>
      <c r="L643" s="10">
        <f>IF($B643="","",TEXT($B643,"YYYY-MM"))</f>
        <v/>
      </c>
    </row>
    <row r="644">
      <c r="A644" s="10" t="inlineStr">
        <is>
          <t>INV-71386</t>
        </is>
      </c>
      <c r="B644" s="18" t="n">
        <v>45878</v>
      </c>
      <c r="C644" s="10" t="inlineStr">
        <is>
          <t>C1384</t>
        </is>
      </c>
      <c r="D644" s="10" t="inlineStr">
        <is>
          <t>regular</t>
        </is>
      </c>
      <c r="E644" s="10" t="inlineStr">
        <is>
          <t>Tokopedia</t>
        </is>
      </c>
      <c r="F644" s="10" t="inlineStr">
        <is>
          <t>Sumatera</t>
        </is>
      </c>
      <c r="G644" s="10" t="inlineStr">
        <is>
          <t>Rumah Tangga</t>
        </is>
      </c>
      <c r="H644" s="10" t="inlineStr">
        <is>
          <t>Organizer Laci</t>
        </is>
      </c>
      <c r="I644" s="19" t="n">
        <v>1</v>
      </c>
      <c r="J644" s="20" t="n">
        <v>78000</v>
      </c>
      <c r="K644" s="20" t="n">
        <v>78000</v>
      </c>
      <c r="L644" s="10">
        <f>IF($B644="","",TEXT($B644,"YYYY-MM"))</f>
        <v/>
      </c>
    </row>
    <row r="645">
      <c r="A645" s="10" t="inlineStr">
        <is>
          <t>INV-70322</t>
        </is>
      </c>
      <c r="B645" s="18" t="n">
        <v>45878</v>
      </c>
      <c r="C645" s="10" t="inlineStr">
        <is>
          <t>C1090</t>
        </is>
      </c>
      <c r="D645" s="10" t="inlineStr">
        <is>
          <t>champion</t>
        </is>
      </c>
      <c r="E645" s="10" t="inlineStr">
        <is>
          <t>Tokopedia</t>
        </is>
      </c>
      <c r="F645" s="10" t="inlineStr">
        <is>
          <t>Jabodetabek</t>
        </is>
      </c>
      <c r="G645" s="10" t="inlineStr">
        <is>
          <t>Fashion</t>
        </is>
      </c>
      <c r="H645" s="10" t="inlineStr">
        <is>
          <t>Kemeja Linen</t>
        </is>
      </c>
      <c r="I645" s="19" t="n">
        <v>1</v>
      </c>
      <c r="J645" s="20" t="n">
        <v>185000</v>
      </c>
      <c r="K645" s="20" t="n">
        <v>185000</v>
      </c>
      <c r="L645" s="10">
        <f>IF($B645="","",TEXT($B645,"YYYY-MM"))</f>
        <v/>
      </c>
    </row>
    <row r="646">
      <c r="A646" s="10" t="inlineStr">
        <is>
          <t>INV-70194</t>
        </is>
      </c>
      <c r="B646" s="18" t="n">
        <v>45879</v>
      </c>
      <c r="C646" s="10" t="inlineStr">
        <is>
          <t>C1056</t>
        </is>
      </c>
      <c r="D646" s="10" t="inlineStr">
        <is>
          <t>loyal</t>
        </is>
      </c>
      <c r="E646" s="10" t="inlineStr">
        <is>
          <t>Tokopedia</t>
        </is>
      </c>
      <c r="F646" s="10" t="inlineStr">
        <is>
          <t>Jawa Timur</t>
        </is>
      </c>
      <c r="G646" s="10" t="inlineStr">
        <is>
          <t>Kecantikan</t>
        </is>
      </c>
      <c r="H646" s="10" t="inlineStr">
        <is>
          <t>Lip Tint</t>
        </is>
      </c>
      <c r="I646" s="19" t="n">
        <v>2</v>
      </c>
      <c r="J646" s="20" t="n">
        <v>65000</v>
      </c>
      <c r="K646" s="20" t="n">
        <v>130000</v>
      </c>
      <c r="L646" s="10">
        <f>IF($B646="","",TEXT($B646,"YYYY-MM"))</f>
        <v/>
      </c>
    </row>
    <row r="647">
      <c r="A647" s="10" t="inlineStr">
        <is>
          <t>INV-71478</t>
        </is>
      </c>
      <c r="B647" s="18" t="n">
        <v>45879</v>
      </c>
      <c r="C647" s="10" t="inlineStr">
        <is>
          <t>C1408</t>
        </is>
      </c>
      <c r="D647" s="10" t="inlineStr">
        <is>
          <t>regular</t>
        </is>
      </c>
      <c r="E647" s="10" t="inlineStr">
        <is>
          <t>Offline Store</t>
        </is>
      </c>
      <c r="F647" s="10" t="inlineStr">
        <is>
          <t>Jabodetabek</t>
        </is>
      </c>
      <c r="G647" s="10" t="inlineStr">
        <is>
          <t>Fashion</t>
        </is>
      </c>
      <c r="H647" s="10" t="inlineStr">
        <is>
          <t>Celana Chino</t>
        </is>
      </c>
      <c r="I647" s="19" t="n">
        <v>4</v>
      </c>
      <c r="J647" s="20" t="n">
        <v>195000</v>
      </c>
      <c r="K647" s="20" t="n">
        <v>780000</v>
      </c>
      <c r="L647" s="10">
        <f>IF($B647="","",TEXT($B647,"YYYY-MM"))</f>
        <v/>
      </c>
    </row>
    <row r="648">
      <c r="A648" s="10" t="inlineStr">
        <is>
          <t>INV-71255</t>
        </is>
      </c>
      <c r="B648" s="18" t="n">
        <v>45879</v>
      </c>
      <c r="C648" s="10" t="inlineStr">
        <is>
          <t>C1353</t>
        </is>
      </c>
      <c r="D648" s="10" t="inlineStr">
        <is>
          <t>loyal</t>
        </is>
      </c>
      <c r="E648" s="10" t="inlineStr">
        <is>
          <t>Shopee</t>
        </is>
      </c>
      <c r="F648" s="10" t="inlineStr">
        <is>
          <t>Jawa Timur</t>
        </is>
      </c>
      <c r="G648" s="10" t="inlineStr">
        <is>
          <t>Rumah Tangga</t>
        </is>
      </c>
      <c r="H648" s="10" t="inlineStr">
        <is>
          <t>Set Wadah Kedap</t>
        </is>
      </c>
      <c r="I648" s="19" t="n">
        <v>4</v>
      </c>
      <c r="J648" s="20" t="n">
        <v>135000</v>
      </c>
      <c r="K648" s="20" t="n">
        <v>540000</v>
      </c>
      <c r="L648" s="10">
        <f>IF($B648="","",TEXT($B648,"YYYY-MM"))</f>
        <v/>
      </c>
    </row>
    <row r="649">
      <c r="A649" s="10" t="inlineStr">
        <is>
          <t>INV-70589</t>
        </is>
      </c>
      <c r="B649" s="18" t="n">
        <v>45879</v>
      </c>
      <c r="C649" s="10" t="inlineStr">
        <is>
          <t>C1160</t>
        </is>
      </c>
      <c r="D649" s="10" t="inlineStr">
        <is>
          <t>occasional</t>
        </is>
      </c>
      <c r="E649" s="10" t="inlineStr">
        <is>
          <t>TikTok Shop</t>
        </is>
      </c>
      <c r="F649" s="10" t="inlineStr">
        <is>
          <t>Jabodetabek</t>
        </is>
      </c>
      <c r="G649" s="10" t="inlineStr">
        <is>
          <t>Elektronik</t>
        </is>
      </c>
      <c r="H649" s="10" t="inlineStr">
        <is>
          <t>Earbuds TWS</t>
        </is>
      </c>
      <c r="I649" s="19" t="n">
        <v>2</v>
      </c>
      <c r="J649" s="20" t="n">
        <v>265000</v>
      </c>
      <c r="K649" s="20" t="n">
        <v>530000</v>
      </c>
      <c r="L649" s="10">
        <f>IF($B649="","",TEXT($B649,"YYYY-MM"))</f>
        <v/>
      </c>
    </row>
    <row r="650">
      <c r="A650" s="10" t="inlineStr">
        <is>
          <t>INV-70424</t>
        </is>
      </c>
      <c r="B650" s="18" t="n">
        <v>45880</v>
      </c>
      <c r="C650" s="10" t="inlineStr">
        <is>
          <t>C1119</t>
        </is>
      </c>
      <c r="D650" s="10" t="inlineStr">
        <is>
          <t>regular</t>
        </is>
      </c>
      <c r="E650" s="10" t="inlineStr">
        <is>
          <t>Shopee</t>
        </is>
      </c>
      <c r="F650" s="10" t="inlineStr">
        <is>
          <t>Sumatera</t>
        </is>
      </c>
      <c r="G650" s="10" t="inlineStr">
        <is>
          <t>Fashion</t>
        </is>
      </c>
      <c r="H650" s="10" t="inlineStr">
        <is>
          <t>Kaos Premium</t>
        </is>
      </c>
      <c r="I650" s="19" t="n">
        <v>1</v>
      </c>
      <c r="J650" s="20" t="n">
        <v>95000</v>
      </c>
      <c r="K650" s="20" t="n">
        <v>95000</v>
      </c>
      <c r="L650" s="10">
        <f>IF($B650="","",TEXT($B650,"YYYY-MM"))</f>
        <v/>
      </c>
    </row>
    <row r="651">
      <c r="A651" s="10" t="inlineStr">
        <is>
          <t>INV-70182</t>
        </is>
      </c>
      <c r="B651" s="18" t="n">
        <v>45880</v>
      </c>
      <c r="C651" s="10" t="inlineStr">
        <is>
          <t>C1051</t>
        </is>
      </c>
      <c r="D651" s="10" t="inlineStr">
        <is>
          <t>onetime</t>
        </is>
      </c>
      <c r="E651" s="10" t="inlineStr">
        <is>
          <t>Tokopedia</t>
        </is>
      </c>
      <c r="F651" s="10" t="inlineStr">
        <is>
          <t>Jawa Tengah</t>
        </is>
      </c>
      <c r="G651" s="10" t="inlineStr">
        <is>
          <t>Rumah Tangga</t>
        </is>
      </c>
      <c r="H651" s="10" t="inlineStr">
        <is>
          <t>Set Wadah Kedap</t>
        </is>
      </c>
      <c r="I651" s="19" t="n">
        <v>1</v>
      </c>
      <c r="J651" s="20" t="n">
        <v>135000</v>
      </c>
      <c r="K651" s="20" t="n">
        <v>135000</v>
      </c>
      <c r="L651" s="10">
        <f>IF($B651="","",TEXT($B651,"YYYY-MM"))</f>
        <v/>
      </c>
    </row>
    <row r="652">
      <c r="A652" s="10" t="inlineStr">
        <is>
          <t>INV-70963</t>
        </is>
      </c>
      <c r="B652" s="18" t="n">
        <v>45880</v>
      </c>
      <c r="C652" s="10" t="inlineStr">
        <is>
          <t>C1273</t>
        </is>
      </c>
      <c r="D652" s="10" t="inlineStr">
        <is>
          <t>loyal</t>
        </is>
      </c>
      <c r="E652" s="10" t="inlineStr">
        <is>
          <t>TikTok Shop</t>
        </is>
      </c>
      <c r="F652" s="10" t="inlineStr">
        <is>
          <t>Jabodetabek</t>
        </is>
      </c>
      <c r="G652" s="10" t="inlineStr">
        <is>
          <t>Elektronik</t>
        </is>
      </c>
      <c r="H652" s="10" t="inlineStr">
        <is>
          <t>Webcam HD</t>
        </is>
      </c>
      <c r="I652" s="19" t="n">
        <v>4</v>
      </c>
      <c r="J652" s="20" t="n">
        <v>210000</v>
      </c>
      <c r="K652" s="20" t="n">
        <v>840000</v>
      </c>
      <c r="L652" s="10">
        <f>IF($B652="","",TEXT($B652,"YYYY-MM"))</f>
        <v/>
      </c>
    </row>
    <row r="653">
      <c r="A653" s="10" t="inlineStr">
        <is>
          <t>INV-70278</t>
        </is>
      </c>
      <c r="B653" s="18" t="n">
        <v>45880</v>
      </c>
      <c r="C653" s="10" t="inlineStr">
        <is>
          <t>C1078</t>
        </is>
      </c>
      <c r="D653" s="10" t="inlineStr">
        <is>
          <t>regular</t>
        </is>
      </c>
      <c r="E653" s="10" t="inlineStr">
        <is>
          <t>Tokopedia</t>
        </is>
      </c>
      <c r="F653" s="10" t="inlineStr">
        <is>
          <t>Jabodetabek</t>
        </is>
      </c>
      <c r="G653" s="10" t="inlineStr">
        <is>
          <t>Elektronik</t>
        </is>
      </c>
      <c r="H653" s="10" t="inlineStr">
        <is>
          <t>Earbuds TWS</t>
        </is>
      </c>
      <c r="I653" s="19" t="n">
        <v>2</v>
      </c>
      <c r="J653" s="20" t="n">
        <v>265000</v>
      </c>
      <c r="K653" s="20" t="n">
        <v>530000</v>
      </c>
      <c r="L653" s="10">
        <f>IF($B653="","",TEXT($B653,"YYYY-MM"))</f>
        <v/>
      </c>
    </row>
    <row r="654">
      <c r="A654" s="10" t="inlineStr">
        <is>
          <t>INV-71186</t>
        </is>
      </c>
      <c r="B654" s="18" t="n">
        <v>45881</v>
      </c>
      <c r="C654" s="10" t="inlineStr">
        <is>
          <t>C1334</t>
        </is>
      </c>
      <c r="D654" s="10" t="inlineStr">
        <is>
          <t>champion</t>
        </is>
      </c>
      <c r="E654" s="10" t="inlineStr">
        <is>
          <t>Tokopedia</t>
        </is>
      </c>
      <c r="F654" s="10" t="inlineStr">
        <is>
          <t>Jabodetabek</t>
        </is>
      </c>
      <c r="G654" s="10" t="inlineStr">
        <is>
          <t>Elektronik</t>
        </is>
      </c>
      <c r="H654" s="10" t="inlineStr">
        <is>
          <t>Earbuds TWS</t>
        </is>
      </c>
      <c r="I654" s="19" t="n">
        <v>4</v>
      </c>
      <c r="J654" s="20" t="n">
        <v>265000</v>
      </c>
      <c r="K654" s="20" t="n">
        <v>1060000</v>
      </c>
      <c r="L654" s="10">
        <f>IF($B654="","",TEXT($B654,"YYYY-MM"))</f>
        <v/>
      </c>
    </row>
    <row r="655">
      <c r="A655" s="10" t="inlineStr">
        <is>
          <t>INV-71314</t>
        </is>
      </c>
      <c r="B655" s="18" t="n">
        <v>45881</v>
      </c>
      <c r="C655" s="10" t="inlineStr">
        <is>
          <t>C1364</t>
        </is>
      </c>
      <c r="D655" s="10" t="inlineStr">
        <is>
          <t>champion</t>
        </is>
      </c>
      <c r="E655" s="10" t="inlineStr">
        <is>
          <t>Offline Store</t>
        </is>
      </c>
      <c r="F655" s="10" t="inlineStr">
        <is>
          <t>Jawa Barat</t>
        </is>
      </c>
      <c r="G655" s="10" t="inlineStr">
        <is>
          <t>Elektronik</t>
        </is>
      </c>
      <c r="H655" s="10" t="inlineStr">
        <is>
          <t>Webcam HD</t>
        </is>
      </c>
      <c r="I655" s="19" t="n">
        <v>2</v>
      </c>
      <c r="J655" s="20" t="n">
        <v>210000</v>
      </c>
      <c r="K655" s="20" t="n">
        <v>420000</v>
      </c>
      <c r="L655" s="10">
        <f>IF($B655="","",TEXT($B655,"YYYY-MM"))</f>
        <v/>
      </c>
    </row>
    <row r="656">
      <c r="A656" s="10" t="inlineStr">
        <is>
          <t>INV-70511</t>
        </is>
      </c>
      <c r="B656" s="18" t="n">
        <v>45881</v>
      </c>
      <c r="C656" s="10" t="inlineStr">
        <is>
          <t>C1142</t>
        </is>
      </c>
      <c r="D656" s="10" t="inlineStr">
        <is>
          <t>champion</t>
        </is>
      </c>
      <c r="E656" s="10" t="inlineStr">
        <is>
          <t>Shopee</t>
        </is>
      </c>
      <c r="F656" s="10" t="inlineStr">
        <is>
          <t>Jabodetabek</t>
        </is>
      </c>
      <c r="G656" s="10" t="inlineStr">
        <is>
          <t>Makanan</t>
        </is>
      </c>
      <c r="H656" s="10" t="inlineStr">
        <is>
          <t>Teh Herbal (15s)</t>
        </is>
      </c>
      <c r="I656" s="19" t="n">
        <v>3</v>
      </c>
      <c r="J656" s="20" t="n">
        <v>58000</v>
      </c>
      <c r="K656" s="20" t="n">
        <v>174000</v>
      </c>
      <c r="L656" s="10">
        <f>IF($B656="","",TEXT($B656,"YYYY-MM"))</f>
        <v/>
      </c>
    </row>
    <row r="657">
      <c r="A657" s="10" t="inlineStr">
        <is>
          <t>INV-70886</t>
        </is>
      </c>
      <c r="B657" s="18" t="n">
        <v>45881</v>
      </c>
      <c r="C657" s="10" t="inlineStr">
        <is>
          <t>C1248</t>
        </is>
      </c>
      <c r="D657" s="10" t="inlineStr">
        <is>
          <t>regular</t>
        </is>
      </c>
      <c r="E657" s="10" t="inlineStr">
        <is>
          <t>Shopee</t>
        </is>
      </c>
      <c r="F657" s="10" t="inlineStr">
        <is>
          <t>Jawa Barat</t>
        </is>
      </c>
      <c r="G657" s="10" t="inlineStr">
        <is>
          <t>Rumah Tangga</t>
        </is>
      </c>
      <c r="H657" s="10" t="inlineStr">
        <is>
          <t>Set Wadah Kedap</t>
        </is>
      </c>
      <c r="I657" s="19" t="n">
        <v>2</v>
      </c>
      <c r="J657" s="20" t="n">
        <v>135000</v>
      </c>
      <c r="K657" s="20" t="n">
        <v>270000</v>
      </c>
      <c r="L657" s="10">
        <f>IF($B657="","",TEXT($B657,"YYYY-MM"))</f>
        <v/>
      </c>
    </row>
    <row r="658">
      <c r="A658" s="10" t="inlineStr">
        <is>
          <t>INV-70076</t>
        </is>
      </c>
      <c r="B658" s="18" t="n">
        <v>45881</v>
      </c>
      <c r="C658" s="10" t="inlineStr">
        <is>
          <t>C1025</t>
        </is>
      </c>
      <c r="D658" s="10" t="inlineStr">
        <is>
          <t>loyal</t>
        </is>
      </c>
      <c r="E658" s="10" t="inlineStr">
        <is>
          <t>Tokopedia</t>
        </is>
      </c>
      <c r="F658" s="10" t="inlineStr">
        <is>
          <t>Jabodetabek</t>
        </is>
      </c>
      <c r="G658" s="10" t="inlineStr">
        <is>
          <t>Makanan</t>
        </is>
      </c>
      <c r="H658" s="10" t="inlineStr">
        <is>
          <t>Granola 500g</t>
        </is>
      </c>
      <c r="I658" s="19" t="n">
        <v>2</v>
      </c>
      <c r="J658" s="20" t="n">
        <v>92000</v>
      </c>
      <c r="K658" s="20" t="n">
        <v>184000</v>
      </c>
      <c r="L658" s="10">
        <f>IF($B658="","",TEXT($B658,"YYYY-MM"))</f>
        <v/>
      </c>
    </row>
    <row r="659">
      <c r="A659" s="10" t="inlineStr">
        <is>
          <t>INV-71142</t>
        </is>
      </c>
      <c r="B659" s="18" t="n">
        <v>45882</v>
      </c>
      <c r="C659" s="10" t="inlineStr">
        <is>
          <t>C1322</t>
        </is>
      </c>
      <c r="D659" s="10" t="inlineStr">
        <is>
          <t>loyal</t>
        </is>
      </c>
      <c r="E659" s="10" t="inlineStr">
        <is>
          <t>TikTok Shop</t>
        </is>
      </c>
      <c r="F659" s="10" t="inlineStr">
        <is>
          <t>Jawa Timur</t>
        </is>
      </c>
      <c r="G659" s="10" t="inlineStr">
        <is>
          <t>Kecantikan</t>
        </is>
      </c>
      <c r="H659" s="10" t="inlineStr">
        <is>
          <t>Masker Wajah (5s)</t>
        </is>
      </c>
      <c r="I659" s="19" t="n">
        <v>1</v>
      </c>
      <c r="J659" s="20" t="n">
        <v>55000</v>
      </c>
      <c r="K659" s="20" t="n">
        <v>55000</v>
      </c>
      <c r="L659" s="10">
        <f>IF($B659="","",TEXT($B659,"YYYY-MM"))</f>
        <v/>
      </c>
    </row>
    <row r="660">
      <c r="A660" s="10" t="inlineStr">
        <is>
          <t>INV-71372</t>
        </is>
      </c>
      <c r="B660" s="18" t="n">
        <v>45883</v>
      </c>
      <c r="C660" s="10" t="inlineStr">
        <is>
          <t>C1378</t>
        </is>
      </c>
      <c r="D660" s="10" t="inlineStr">
        <is>
          <t>regular</t>
        </is>
      </c>
      <c r="E660" s="10" t="inlineStr">
        <is>
          <t>Tokopedia</t>
        </is>
      </c>
      <c r="F660" s="10" t="inlineStr">
        <is>
          <t>Jawa Timur</t>
        </is>
      </c>
      <c r="G660" s="10" t="inlineStr">
        <is>
          <t>Elektronik</t>
        </is>
      </c>
      <c r="H660" s="10" t="inlineStr">
        <is>
          <t>Power Bank 20K</t>
        </is>
      </c>
      <c r="I660" s="19" t="n">
        <v>1</v>
      </c>
      <c r="J660" s="20" t="n">
        <v>185000</v>
      </c>
      <c r="K660" s="20" t="n">
        <v>185000</v>
      </c>
      <c r="L660" s="10">
        <f>IF($B660="","",TEXT($B660,"YYYY-MM"))</f>
        <v/>
      </c>
    </row>
    <row r="661">
      <c r="A661" s="10" t="inlineStr">
        <is>
          <t>INV-70086</t>
        </is>
      </c>
      <c r="B661" s="18" t="n">
        <v>45883</v>
      </c>
      <c r="C661" s="10" t="inlineStr">
        <is>
          <t>C1025</t>
        </is>
      </c>
      <c r="D661" s="10" t="inlineStr">
        <is>
          <t>loyal</t>
        </is>
      </c>
      <c r="E661" s="10" t="inlineStr">
        <is>
          <t>Tokopedia</t>
        </is>
      </c>
      <c r="F661" s="10" t="inlineStr">
        <is>
          <t>Jabodetabek</t>
        </is>
      </c>
      <c r="G661" s="10" t="inlineStr">
        <is>
          <t>Elektronik</t>
        </is>
      </c>
      <c r="H661" s="10" t="inlineStr">
        <is>
          <t>Power Bank 20K</t>
        </is>
      </c>
      <c r="I661" s="19" t="n">
        <v>1</v>
      </c>
      <c r="J661" s="20" t="n">
        <v>185000</v>
      </c>
      <c r="K661" s="20" t="n">
        <v>185000</v>
      </c>
      <c r="L661" s="10">
        <f>IF($B661="","",TEXT($B661,"YYYY-MM"))</f>
        <v/>
      </c>
    </row>
    <row r="662">
      <c r="A662" s="10" t="inlineStr">
        <is>
          <t>INV-71374</t>
        </is>
      </c>
      <c r="B662" s="18" t="n">
        <v>45885</v>
      </c>
      <c r="C662" s="10" t="inlineStr">
        <is>
          <t>C1380</t>
        </is>
      </c>
      <c r="D662" s="10" t="inlineStr">
        <is>
          <t>onetime</t>
        </is>
      </c>
      <c r="E662" s="10" t="inlineStr">
        <is>
          <t>Shopee</t>
        </is>
      </c>
      <c r="F662" s="10" t="inlineStr">
        <is>
          <t>Jawa Tengah</t>
        </is>
      </c>
      <c r="G662" s="10" t="inlineStr">
        <is>
          <t>Rumah Tangga</t>
        </is>
      </c>
      <c r="H662" s="10" t="inlineStr">
        <is>
          <t>Organizer Laci</t>
        </is>
      </c>
      <c r="I662" s="19" t="n">
        <v>2</v>
      </c>
      <c r="J662" s="20" t="n">
        <v>78000</v>
      </c>
      <c r="K662" s="20" t="n">
        <v>156000</v>
      </c>
      <c r="L662" s="10">
        <f>IF($B662="","",TEXT($B662,"YYYY-MM"))</f>
        <v/>
      </c>
    </row>
    <row r="663">
      <c r="A663" s="10" t="inlineStr">
        <is>
          <t>INV-70093</t>
        </is>
      </c>
      <c r="B663" s="18" t="n">
        <v>45885</v>
      </c>
      <c r="C663" s="10" t="inlineStr">
        <is>
          <t>C1028</t>
        </is>
      </c>
      <c r="D663" s="10" t="inlineStr">
        <is>
          <t>occasional</t>
        </is>
      </c>
      <c r="E663" s="10" t="inlineStr">
        <is>
          <t>Shopee</t>
        </is>
      </c>
      <c r="F663" s="10" t="inlineStr">
        <is>
          <t>Jabodetabek</t>
        </is>
      </c>
      <c r="G663" s="10" t="inlineStr">
        <is>
          <t>Makanan</t>
        </is>
      </c>
      <c r="H663" s="10" t="inlineStr">
        <is>
          <t>Granola 500g</t>
        </is>
      </c>
      <c r="I663" s="19" t="n">
        <v>1</v>
      </c>
      <c r="J663" s="20" t="n">
        <v>92000</v>
      </c>
      <c r="K663" s="20" t="n">
        <v>92000</v>
      </c>
      <c r="L663" s="10">
        <f>IF($B663="","",TEXT($B663,"YYYY-MM"))</f>
        <v/>
      </c>
    </row>
    <row r="664">
      <c r="A664" s="10" t="inlineStr">
        <is>
          <t>INV-71541</t>
        </is>
      </c>
      <c r="B664" s="18" t="n">
        <v>45885</v>
      </c>
      <c r="C664" s="10" t="inlineStr">
        <is>
          <t>C1424</t>
        </is>
      </c>
      <c r="D664" s="10" t="inlineStr">
        <is>
          <t>loyal</t>
        </is>
      </c>
      <c r="E664" s="10" t="inlineStr">
        <is>
          <t>Shopee</t>
        </is>
      </c>
      <c r="F664" s="10" t="inlineStr">
        <is>
          <t>Jawa Tengah</t>
        </is>
      </c>
      <c r="G664" s="10" t="inlineStr">
        <is>
          <t>Rumah Tangga</t>
        </is>
      </c>
      <c r="H664" s="10" t="inlineStr">
        <is>
          <t>Diffuser Aroma</t>
        </is>
      </c>
      <c r="I664" s="19" t="n">
        <v>1</v>
      </c>
      <c r="J664" s="20" t="n">
        <v>195000</v>
      </c>
      <c r="K664" s="20" t="n">
        <v>195000</v>
      </c>
      <c r="L664" s="10">
        <f>IF($B664="","",TEXT($B664,"YYYY-MM"))</f>
        <v/>
      </c>
    </row>
    <row r="665">
      <c r="A665" s="10" t="inlineStr">
        <is>
          <t>INV-70072</t>
        </is>
      </c>
      <c r="B665" s="18" t="n">
        <v>45885</v>
      </c>
      <c r="C665" s="10" t="inlineStr">
        <is>
          <t>C1021</t>
        </is>
      </c>
      <c r="D665" s="10" t="inlineStr">
        <is>
          <t>loyal</t>
        </is>
      </c>
      <c r="E665" s="10" t="inlineStr">
        <is>
          <t>Shopee</t>
        </is>
      </c>
      <c r="F665" s="10" t="inlineStr">
        <is>
          <t>Sumatera</t>
        </is>
      </c>
      <c r="G665" s="10" t="inlineStr">
        <is>
          <t>Makanan</t>
        </is>
      </c>
      <c r="H665" s="10" t="inlineStr">
        <is>
          <t>Granola 500g</t>
        </is>
      </c>
      <c r="I665" s="19" t="n">
        <v>1</v>
      </c>
      <c r="J665" s="20" t="n">
        <v>92000</v>
      </c>
      <c r="K665" s="20" t="n">
        <v>92000</v>
      </c>
      <c r="L665" s="10">
        <f>IF($B665="","",TEXT($B665,"YYYY-MM"))</f>
        <v/>
      </c>
    </row>
    <row r="666">
      <c r="A666" s="10" t="inlineStr">
        <is>
          <t>INV-70702</t>
        </is>
      </c>
      <c r="B666" s="18" t="n">
        <v>45886</v>
      </c>
      <c r="C666" s="10" t="inlineStr">
        <is>
          <t>C1195</t>
        </is>
      </c>
      <c r="D666" s="10" t="inlineStr">
        <is>
          <t>champion</t>
        </is>
      </c>
      <c r="E666" s="10" t="inlineStr">
        <is>
          <t>Tokopedia</t>
        </is>
      </c>
      <c r="F666" s="10" t="inlineStr">
        <is>
          <t>Jawa Timur</t>
        </is>
      </c>
      <c r="G666" s="10" t="inlineStr">
        <is>
          <t>Elektronik</t>
        </is>
      </c>
      <c r="H666" s="10" t="inlineStr">
        <is>
          <t>Power Bank 20K</t>
        </is>
      </c>
      <c r="I666" s="19" t="n">
        <v>1</v>
      </c>
      <c r="J666" s="20" t="n">
        <v>185000</v>
      </c>
      <c r="K666" s="20" t="n">
        <v>185000</v>
      </c>
      <c r="L666" s="10">
        <f>IF($B666="","",TEXT($B666,"YYYY-MM"))</f>
        <v/>
      </c>
    </row>
    <row r="667">
      <c r="A667" s="10" t="inlineStr">
        <is>
          <t>INV-70842</t>
        </is>
      </c>
      <c r="B667" s="18" t="n">
        <v>45886</v>
      </c>
      <c r="C667" s="10" t="inlineStr">
        <is>
          <t>C1237</t>
        </is>
      </c>
      <c r="D667" s="10" t="inlineStr">
        <is>
          <t>champion</t>
        </is>
      </c>
      <c r="E667" s="10" t="inlineStr">
        <is>
          <t>TikTok Shop</t>
        </is>
      </c>
      <c r="F667" s="10" t="inlineStr">
        <is>
          <t>Jawa Tengah</t>
        </is>
      </c>
      <c r="G667" s="10" t="inlineStr">
        <is>
          <t>Elektronik</t>
        </is>
      </c>
      <c r="H667" s="10" t="inlineStr">
        <is>
          <t>Power Bank 20K</t>
        </is>
      </c>
      <c r="I667" s="19" t="n">
        <v>1</v>
      </c>
      <c r="J667" s="20" t="n">
        <v>185000</v>
      </c>
      <c r="K667" s="20" t="n">
        <v>185000</v>
      </c>
      <c r="L667" s="10">
        <f>IF($B667="","",TEXT($B667,"YYYY-MM"))</f>
        <v/>
      </c>
    </row>
    <row r="668">
      <c r="A668" s="10" t="inlineStr">
        <is>
          <t>INV-71402</t>
        </is>
      </c>
      <c r="B668" s="18" t="n">
        <v>45886</v>
      </c>
      <c r="C668" s="10" t="inlineStr">
        <is>
          <t>C1386</t>
        </is>
      </c>
      <c r="D668" s="10" t="inlineStr">
        <is>
          <t>loyal</t>
        </is>
      </c>
      <c r="E668" s="10" t="inlineStr">
        <is>
          <t>Shopee</t>
        </is>
      </c>
      <c r="F668" s="10" t="inlineStr">
        <is>
          <t>Jawa Tengah</t>
        </is>
      </c>
      <c r="G668" s="10" t="inlineStr">
        <is>
          <t>Makanan</t>
        </is>
      </c>
      <c r="H668" s="10" t="inlineStr">
        <is>
          <t>Granola 500g</t>
        </is>
      </c>
      <c r="I668" s="19" t="n">
        <v>2</v>
      </c>
      <c r="J668" s="20" t="n">
        <v>92000</v>
      </c>
      <c r="K668" s="20" t="n">
        <v>184000</v>
      </c>
      <c r="L668" s="10">
        <f>IF($B668="","",TEXT($B668,"YYYY-MM"))</f>
        <v/>
      </c>
    </row>
    <row r="669">
      <c r="A669" s="10" t="inlineStr">
        <is>
          <t>INV-70569</t>
        </is>
      </c>
      <c r="B669" s="18" t="n">
        <v>45886</v>
      </c>
      <c r="C669" s="10" t="inlineStr">
        <is>
          <t>C1156</t>
        </is>
      </c>
      <c r="D669" s="10" t="inlineStr">
        <is>
          <t>champion</t>
        </is>
      </c>
      <c r="E669" s="10" t="inlineStr">
        <is>
          <t>Tokopedia</t>
        </is>
      </c>
      <c r="F669" s="10" t="inlineStr">
        <is>
          <t>Jawa Barat</t>
        </is>
      </c>
      <c r="G669" s="10" t="inlineStr">
        <is>
          <t>Kecantikan</t>
        </is>
      </c>
      <c r="H669" s="10" t="inlineStr">
        <is>
          <t>Masker Wajah (5s)</t>
        </is>
      </c>
      <c r="I669" s="19" t="n">
        <v>1</v>
      </c>
      <c r="J669" s="20" t="n">
        <v>55000</v>
      </c>
      <c r="K669" s="20" t="n">
        <v>55000</v>
      </c>
      <c r="L669" s="10">
        <f>IF($B669="","",TEXT($B669,"YYYY-MM"))</f>
        <v/>
      </c>
    </row>
    <row r="670">
      <c r="A670" s="10" t="inlineStr">
        <is>
          <t>INV-70660</t>
        </is>
      </c>
      <c r="B670" s="18" t="n">
        <v>45888</v>
      </c>
      <c r="C670" s="10" t="inlineStr">
        <is>
          <t>C1179</t>
        </is>
      </c>
      <c r="D670" s="10" t="inlineStr">
        <is>
          <t>loyal</t>
        </is>
      </c>
      <c r="E670" s="10" t="inlineStr">
        <is>
          <t>TikTok Shop</t>
        </is>
      </c>
      <c r="F670" s="10" t="inlineStr">
        <is>
          <t>Jabodetabek</t>
        </is>
      </c>
      <c r="G670" s="10" t="inlineStr">
        <is>
          <t>Rumah Tangga</t>
        </is>
      </c>
      <c r="H670" s="10" t="inlineStr">
        <is>
          <t>Set Wadah Kedap</t>
        </is>
      </c>
      <c r="I670" s="19" t="n">
        <v>3</v>
      </c>
      <c r="J670" s="20" t="n">
        <v>135000</v>
      </c>
      <c r="K670" s="20" t="n">
        <v>405000</v>
      </c>
      <c r="L670" s="10">
        <f>IF($B670="","",TEXT($B670,"YYYY-MM"))</f>
        <v/>
      </c>
    </row>
    <row r="671">
      <c r="A671" s="10" t="inlineStr">
        <is>
          <t>INV-71493</t>
        </is>
      </c>
      <c r="B671" s="18" t="n">
        <v>45888</v>
      </c>
      <c r="C671" s="10" t="inlineStr">
        <is>
          <t>C1411</t>
        </is>
      </c>
      <c r="D671" s="10" t="inlineStr">
        <is>
          <t>regular</t>
        </is>
      </c>
      <c r="E671" s="10" t="inlineStr">
        <is>
          <t>TikTok Shop</t>
        </is>
      </c>
      <c r="F671" s="10" t="inlineStr">
        <is>
          <t>Jawa Tengah</t>
        </is>
      </c>
      <c r="G671" s="10" t="inlineStr">
        <is>
          <t>Rumah Tangga</t>
        </is>
      </c>
      <c r="H671" s="10" t="inlineStr">
        <is>
          <t>Set Wadah Kedap</t>
        </is>
      </c>
      <c r="I671" s="19" t="n">
        <v>1</v>
      </c>
      <c r="J671" s="20" t="n">
        <v>135000</v>
      </c>
      <c r="K671" s="20" t="n">
        <v>135000</v>
      </c>
      <c r="L671" s="10">
        <f>IF($B671="","",TEXT($B671,"YYYY-MM"))</f>
        <v/>
      </c>
    </row>
    <row r="672">
      <c r="A672" s="10" t="inlineStr">
        <is>
          <t>INV-70221</t>
        </is>
      </c>
      <c r="B672" s="18" t="n">
        <v>45889</v>
      </c>
      <c r="C672" s="10" t="inlineStr">
        <is>
          <t>C1061</t>
        </is>
      </c>
      <c r="D672" s="10" t="inlineStr">
        <is>
          <t>occasional</t>
        </is>
      </c>
      <c r="E672" s="10" t="inlineStr">
        <is>
          <t>Offline Store</t>
        </is>
      </c>
      <c r="F672" s="10" t="inlineStr">
        <is>
          <t>Jabodetabek</t>
        </is>
      </c>
      <c r="G672" s="10" t="inlineStr">
        <is>
          <t>Makanan</t>
        </is>
      </c>
      <c r="H672" s="10" t="inlineStr">
        <is>
          <t>Granola 500g</t>
        </is>
      </c>
      <c r="I672" s="19" t="n">
        <v>4</v>
      </c>
      <c r="J672" s="20" t="n">
        <v>92000</v>
      </c>
      <c r="K672" s="20" t="n">
        <v>368000</v>
      </c>
      <c r="L672" s="10">
        <f>IF($B672="","",TEXT($B672,"YYYY-MM"))</f>
        <v/>
      </c>
    </row>
    <row r="673">
      <c r="A673" s="10" t="inlineStr">
        <is>
          <t>INV-70882</t>
        </is>
      </c>
      <c r="B673" s="18" t="n">
        <v>45889</v>
      </c>
      <c r="C673" s="10" t="inlineStr">
        <is>
          <t>C1247</t>
        </is>
      </c>
      <c r="D673" s="10" t="inlineStr">
        <is>
          <t>champion</t>
        </is>
      </c>
      <c r="E673" s="10" t="inlineStr">
        <is>
          <t>Shopee</t>
        </is>
      </c>
      <c r="F673" s="10" t="inlineStr">
        <is>
          <t>Jabodetabek</t>
        </is>
      </c>
      <c r="G673" s="10" t="inlineStr">
        <is>
          <t>Rumah Tangga</t>
        </is>
      </c>
      <c r="H673" s="10" t="inlineStr">
        <is>
          <t>Organizer Laci</t>
        </is>
      </c>
      <c r="I673" s="19" t="n">
        <v>4</v>
      </c>
      <c r="J673" s="20" t="n">
        <v>78000</v>
      </c>
      <c r="K673" s="20" t="n">
        <v>312000</v>
      </c>
      <c r="L673" s="10">
        <f>IF($B673="","",TEXT($B673,"YYYY-MM"))</f>
        <v/>
      </c>
    </row>
    <row r="674">
      <c r="A674" s="10" t="inlineStr">
        <is>
          <t>INV-70851</t>
        </is>
      </c>
      <c r="B674" s="18" t="n">
        <v>45889</v>
      </c>
      <c r="C674" s="10" t="inlineStr">
        <is>
          <t>C1239</t>
        </is>
      </c>
      <c r="D674" s="10" t="inlineStr">
        <is>
          <t>onetime</t>
        </is>
      </c>
      <c r="E674" s="10" t="inlineStr">
        <is>
          <t>Offline Store</t>
        </is>
      </c>
      <c r="F674" s="10" t="inlineStr">
        <is>
          <t>Jabodetabek</t>
        </is>
      </c>
      <c r="G674" s="10" t="inlineStr">
        <is>
          <t>Rumah Tangga</t>
        </is>
      </c>
      <c r="H674" s="10" t="inlineStr">
        <is>
          <t>Organizer Laci</t>
        </is>
      </c>
      <c r="I674" s="19" t="n">
        <v>1</v>
      </c>
      <c r="J674" s="20" t="n">
        <v>78000</v>
      </c>
      <c r="K674" s="20" t="n">
        <v>78000</v>
      </c>
      <c r="L674" s="10">
        <f>IF($B674="","",TEXT($B674,"YYYY-MM"))</f>
        <v/>
      </c>
    </row>
    <row r="675">
      <c r="A675" s="10" t="inlineStr">
        <is>
          <t>INV-71354</t>
        </is>
      </c>
      <c r="B675" s="18" t="n">
        <v>45889</v>
      </c>
      <c r="C675" s="10" t="inlineStr">
        <is>
          <t>C1374</t>
        </is>
      </c>
      <c r="D675" s="10" t="inlineStr">
        <is>
          <t>onetime</t>
        </is>
      </c>
      <c r="E675" s="10" t="inlineStr">
        <is>
          <t>Shopee</t>
        </is>
      </c>
      <c r="F675" s="10" t="inlineStr">
        <is>
          <t>Sumatera</t>
        </is>
      </c>
      <c r="G675" s="10" t="inlineStr">
        <is>
          <t>Rumah Tangga</t>
        </is>
      </c>
      <c r="H675" s="10" t="inlineStr">
        <is>
          <t>Set Wadah Kedap</t>
        </is>
      </c>
      <c r="I675" s="19" t="n">
        <v>1</v>
      </c>
      <c r="J675" s="20" t="n">
        <v>135000</v>
      </c>
      <c r="K675" s="20" t="n">
        <v>135000</v>
      </c>
      <c r="L675" s="10">
        <f>IF($B675="","",TEXT($B675,"YYYY-MM"))</f>
        <v/>
      </c>
    </row>
    <row r="676">
      <c r="A676" s="10" t="inlineStr">
        <is>
          <t>INV-71054</t>
        </is>
      </c>
      <c r="B676" s="18" t="n">
        <v>45890</v>
      </c>
      <c r="C676" s="10" t="inlineStr">
        <is>
          <t>C1299</t>
        </is>
      </c>
      <c r="D676" s="10" t="inlineStr">
        <is>
          <t>occasional</t>
        </is>
      </c>
      <c r="E676" s="10" t="inlineStr">
        <is>
          <t>TikTok Shop</t>
        </is>
      </c>
      <c r="F676" s="10" t="inlineStr">
        <is>
          <t>Sumatera</t>
        </is>
      </c>
      <c r="G676" s="10" t="inlineStr">
        <is>
          <t>Rumah Tangga</t>
        </is>
      </c>
      <c r="H676" s="10" t="inlineStr">
        <is>
          <t>Set Wadah Kedap</t>
        </is>
      </c>
      <c r="I676" s="19" t="n">
        <v>3</v>
      </c>
      <c r="J676" s="20" t="n">
        <v>135000</v>
      </c>
      <c r="K676" s="20" t="n">
        <v>405000</v>
      </c>
      <c r="L676" s="10">
        <f>IF($B676="","",TEXT($B676,"YYYY-MM"))</f>
        <v/>
      </c>
    </row>
    <row r="677">
      <c r="A677" s="10" t="inlineStr">
        <is>
          <t>INV-70550</t>
        </is>
      </c>
      <c r="B677" s="18" t="n">
        <v>45890</v>
      </c>
      <c r="C677" s="10" t="inlineStr">
        <is>
          <t>C1151</t>
        </is>
      </c>
      <c r="D677" s="10" t="inlineStr">
        <is>
          <t>regular</t>
        </is>
      </c>
      <c r="E677" s="10" t="inlineStr">
        <is>
          <t>TikTok Shop</t>
        </is>
      </c>
      <c r="F677" s="10" t="inlineStr">
        <is>
          <t>Jawa Barat</t>
        </is>
      </c>
      <c r="G677" s="10" t="inlineStr">
        <is>
          <t>Makanan</t>
        </is>
      </c>
      <c r="H677" s="10" t="inlineStr">
        <is>
          <t>Granola 500g</t>
        </is>
      </c>
      <c r="I677" s="19" t="n">
        <v>2</v>
      </c>
      <c r="J677" s="20" t="n">
        <v>92000</v>
      </c>
      <c r="K677" s="20" t="n">
        <v>184000</v>
      </c>
      <c r="L677" s="10">
        <f>IF($B677="","",TEXT($B677,"YYYY-MM"))</f>
        <v/>
      </c>
    </row>
    <row r="678">
      <c r="A678" s="10" t="inlineStr">
        <is>
          <t>INV-71117</t>
        </is>
      </c>
      <c r="B678" s="18" t="n">
        <v>45890</v>
      </c>
      <c r="C678" s="10" t="inlineStr">
        <is>
          <t>C1312</t>
        </is>
      </c>
      <c r="D678" s="10" t="inlineStr">
        <is>
          <t>champion</t>
        </is>
      </c>
      <c r="E678" s="10" t="inlineStr">
        <is>
          <t>Offline Store</t>
        </is>
      </c>
      <c r="F678" s="10" t="inlineStr">
        <is>
          <t>Jawa Barat</t>
        </is>
      </c>
      <c r="G678" s="10" t="inlineStr">
        <is>
          <t>Rumah Tangga</t>
        </is>
      </c>
      <c r="H678" s="10" t="inlineStr">
        <is>
          <t>Set Wadah Kedap</t>
        </is>
      </c>
      <c r="I678" s="19" t="n">
        <v>1</v>
      </c>
      <c r="J678" s="20" t="n">
        <v>135000</v>
      </c>
      <c r="K678" s="20" t="n">
        <v>135000</v>
      </c>
      <c r="L678" s="10">
        <f>IF($B678="","",TEXT($B678,"YYYY-MM"))</f>
        <v/>
      </c>
    </row>
    <row r="679">
      <c r="A679" s="10" t="inlineStr">
        <is>
          <t>INV-70847</t>
        </is>
      </c>
      <c r="B679" s="18" t="n">
        <v>45890</v>
      </c>
      <c r="C679" s="10" t="inlineStr">
        <is>
          <t>C1237</t>
        </is>
      </c>
      <c r="D679" s="10" t="inlineStr">
        <is>
          <t>champion</t>
        </is>
      </c>
      <c r="E679" s="10" t="inlineStr">
        <is>
          <t>Shopee</t>
        </is>
      </c>
      <c r="F679" s="10" t="inlineStr">
        <is>
          <t>Jabodetabek</t>
        </is>
      </c>
      <c r="G679" s="10" t="inlineStr">
        <is>
          <t>Rumah Tangga</t>
        </is>
      </c>
      <c r="H679" s="10" t="inlineStr">
        <is>
          <t>Diffuser Aroma</t>
        </is>
      </c>
      <c r="I679" s="19" t="n">
        <v>3</v>
      </c>
      <c r="J679" s="20" t="n">
        <v>195000</v>
      </c>
      <c r="K679" s="20" t="n">
        <v>585000</v>
      </c>
      <c r="L679" s="10">
        <f>IF($B679="","",TEXT($B679,"YYYY-MM"))</f>
        <v/>
      </c>
    </row>
    <row r="680">
      <c r="A680" s="10" t="inlineStr">
        <is>
          <t>INV-70773</t>
        </is>
      </c>
      <c r="B680" s="18" t="n">
        <v>45891</v>
      </c>
      <c r="C680" s="10" t="inlineStr">
        <is>
          <t>C1217</t>
        </is>
      </c>
      <c r="D680" s="10" t="inlineStr">
        <is>
          <t>regular</t>
        </is>
      </c>
      <c r="E680" s="10" t="inlineStr">
        <is>
          <t>Shopee</t>
        </is>
      </c>
      <c r="F680" s="10" t="inlineStr">
        <is>
          <t>Jabodetabek</t>
        </is>
      </c>
      <c r="G680" s="10" t="inlineStr">
        <is>
          <t>Fashion</t>
        </is>
      </c>
      <c r="H680" s="10" t="inlineStr">
        <is>
          <t>Kaos Premium</t>
        </is>
      </c>
      <c r="I680" s="19" t="n">
        <v>2</v>
      </c>
      <c r="J680" s="20" t="n">
        <v>95000</v>
      </c>
      <c r="K680" s="20" t="n">
        <v>190000</v>
      </c>
      <c r="L680" s="10">
        <f>IF($B680="","",TEXT($B680,"YYYY-MM"))</f>
        <v/>
      </c>
    </row>
    <row r="681">
      <c r="A681" s="10" t="inlineStr">
        <is>
          <t>INV-71301</t>
        </is>
      </c>
      <c r="B681" s="18" t="n">
        <v>45892</v>
      </c>
      <c r="C681" s="10" t="inlineStr">
        <is>
          <t>C1361</t>
        </is>
      </c>
      <c r="D681" s="10" t="inlineStr">
        <is>
          <t>champion</t>
        </is>
      </c>
      <c r="E681" s="10" t="inlineStr">
        <is>
          <t>TikTok Shop</t>
        </is>
      </c>
      <c r="F681" s="10" t="inlineStr">
        <is>
          <t>Sumatera</t>
        </is>
      </c>
      <c r="G681" s="10" t="inlineStr">
        <is>
          <t>Makanan</t>
        </is>
      </c>
      <c r="H681" s="10" t="inlineStr">
        <is>
          <t>Granola 500g</t>
        </is>
      </c>
      <c r="I681" s="19" t="n">
        <v>2</v>
      </c>
      <c r="J681" s="20" t="n">
        <v>92000</v>
      </c>
      <c r="K681" s="20" t="n">
        <v>184000</v>
      </c>
      <c r="L681" s="10">
        <f>IF($B681="","",TEXT($B681,"YYYY-MM"))</f>
        <v/>
      </c>
    </row>
    <row r="682">
      <c r="A682" s="10" t="inlineStr">
        <is>
          <t>INV-70530</t>
        </is>
      </c>
      <c r="B682" s="18" t="n">
        <v>45892</v>
      </c>
      <c r="C682" s="10" t="inlineStr">
        <is>
          <t>C1146</t>
        </is>
      </c>
      <c r="D682" s="10" t="inlineStr">
        <is>
          <t>occasional</t>
        </is>
      </c>
      <c r="E682" s="10" t="inlineStr">
        <is>
          <t>Offline Store</t>
        </is>
      </c>
      <c r="F682" s="10" t="inlineStr">
        <is>
          <t>Jabodetabek</t>
        </is>
      </c>
      <c r="G682" s="10" t="inlineStr">
        <is>
          <t>Rumah Tangga</t>
        </is>
      </c>
      <c r="H682" s="10" t="inlineStr">
        <is>
          <t>Organizer Laci</t>
        </is>
      </c>
      <c r="I682" s="19" t="n">
        <v>4</v>
      </c>
      <c r="J682" s="20" t="n">
        <v>78000</v>
      </c>
      <c r="K682" s="20" t="n">
        <v>312000</v>
      </c>
      <c r="L682" s="10">
        <f>IF($B682="","",TEXT($B682,"YYYY-MM"))</f>
        <v/>
      </c>
    </row>
    <row r="683">
      <c r="A683" s="10" t="inlineStr">
        <is>
          <t>INV-70126</t>
        </is>
      </c>
      <c r="B683" s="18" t="n">
        <v>45892</v>
      </c>
      <c r="C683" s="10" t="inlineStr">
        <is>
          <t>C1038</t>
        </is>
      </c>
      <c r="D683" s="10" t="inlineStr">
        <is>
          <t>champion</t>
        </is>
      </c>
      <c r="E683" s="10" t="inlineStr">
        <is>
          <t>Shopee</t>
        </is>
      </c>
      <c r="F683" s="10" t="inlineStr">
        <is>
          <t>Sumatera</t>
        </is>
      </c>
      <c r="G683" s="10" t="inlineStr">
        <is>
          <t>Rumah Tangga</t>
        </is>
      </c>
      <c r="H683" s="10" t="inlineStr">
        <is>
          <t>Diffuser Aroma</t>
        </is>
      </c>
      <c r="I683" s="19" t="n">
        <v>2</v>
      </c>
      <c r="J683" s="20" t="n">
        <v>195000</v>
      </c>
      <c r="K683" s="20" t="n">
        <v>390000</v>
      </c>
      <c r="L683" s="10">
        <f>IF($B683="","",TEXT($B683,"YYYY-MM"))</f>
        <v/>
      </c>
    </row>
    <row r="684">
      <c r="A684" s="10" t="inlineStr">
        <is>
          <t>INV-71464</t>
        </is>
      </c>
      <c r="B684" s="18" t="n">
        <v>45893</v>
      </c>
      <c r="C684" s="10" t="inlineStr">
        <is>
          <t>C1404</t>
        </is>
      </c>
      <c r="D684" s="10" t="inlineStr">
        <is>
          <t>loyal</t>
        </is>
      </c>
      <c r="E684" s="10" t="inlineStr">
        <is>
          <t>Shopee</t>
        </is>
      </c>
      <c r="F684" s="10" t="inlineStr">
        <is>
          <t>Lainnya</t>
        </is>
      </c>
      <c r="G684" s="10" t="inlineStr">
        <is>
          <t>Elektronik</t>
        </is>
      </c>
      <c r="H684" s="10" t="inlineStr">
        <is>
          <t>Webcam HD</t>
        </is>
      </c>
      <c r="I684" s="19" t="n">
        <v>4</v>
      </c>
      <c r="J684" s="20" t="n">
        <v>210000</v>
      </c>
      <c r="K684" s="20" t="n">
        <v>840000</v>
      </c>
      <c r="L684" s="10">
        <f>IF($B684="","",TEXT($B684,"YYYY-MM"))</f>
        <v/>
      </c>
    </row>
    <row r="685">
      <c r="A685" s="10" t="inlineStr">
        <is>
          <t>INV-71357</t>
        </is>
      </c>
      <c r="B685" s="18" t="n">
        <v>45894</v>
      </c>
      <c r="C685" s="10" t="inlineStr">
        <is>
          <t>C1375</t>
        </is>
      </c>
      <c r="D685" s="10" t="inlineStr">
        <is>
          <t>occasional</t>
        </is>
      </c>
      <c r="E685" s="10" t="inlineStr">
        <is>
          <t>Offline Store</t>
        </is>
      </c>
      <c r="F685" s="10" t="inlineStr">
        <is>
          <t>Jabodetabek</t>
        </is>
      </c>
      <c r="G685" s="10" t="inlineStr">
        <is>
          <t>Rumah Tangga</t>
        </is>
      </c>
      <c r="H685" s="10" t="inlineStr">
        <is>
          <t>Set Wadah Kedap</t>
        </is>
      </c>
      <c r="I685" s="19" t="n">
        <v>1</v>
      </c>
      <c r="J685" s="20" t="n">
        <v>135000</v>
      </c>
      <c r="K685" s="20" t="n">
        <v>135000</v>
      </c>
      <c r="L685" s="10">
        <f>IF($B685="","",TEXT($B685,"YYYY-MM"))</f>
        <v/>
      </c>
    </row>
    <row r="686">
      <c r="A686" s="10" t="inlineStr">
        <is>
          <t>INV-70109</t>
        </is>
      </c>
      <c r="B686" s="18" t="n">
        <v>45894</v>
      </c>
      <c r="C686" s="10" t="inlineStr">
        <is>
          <t>C1032</t>
        </is>
      </c>
      <c r="D686" s="10" t="inlineStr">
        <is>
          <t>occasional</t>
        </is>
      </c>
      <c r="E686" s="10" t="inlineStr">
        <is>
          <t>Tokopedia</t>
        </is>
      </c>
      <c r="F686" s="10" t="inlineStr">
        <is>
          <t>Lainnya</t>
        </is>
      </c>
      <c r="G686" s="10" t="inlineStr">
        <is>
          <t>Elektronik</t>
        </is>
      </c>
      <c r="H686" s="10" t="inlineStr">
        <is>
          <t>Webcam HD</t>
        </is>
      </c>
      <c r="I686" s="19" t="n">
        <v>2</v>
      </c>
      <c r="J686" s="20" t="n">
        <v>210000</v>
      </c>
      <c r="K686" s="20" t="n">
        <v>420000</v>
      </c>
      <c r="L686" s="10">
        <f>IF($B686="","",TEXT($B686,"YYYY-MM"))</f>
        <v/>
      </c>
    </row>
    <row r="687">
      <c r="A687" s="10" t="inlineStr">
        <is>
          <t>INV-70367</t>
        </is>
      </c>
      <c r="B687" s="18" t="n">
        <v>45895</v>
      </c>
      <c r="C687" s="10" t="inlineStr">
        <is>
          <t>C1103</t>
        </is>
      </c>
      <c r="D687" s="10" t="inlineStr">
        <is>
          <t>occasional</t>
        </is>
      </c>
      <c r="E687" s="10" t="inlineStr">
        <is>
          <t>Offline Store</t>
        </is>
      </c>
      <c r="F687" s="10" t="inlineStr">
        <is>
          <t>Jabodetabek</t>
        </is>
      </c>
      <c r="G687" s="10" t="inlineStr">
        <is>
          <t>Kecantikan</t>
        </is>
      </c>
      <c r="H687" s="10" t="inlineStr">
        <is>
          <t>Masker Wajah (5s)</t>
        </is>
      </c>
      <c r="I687" s="19" t="n">
        <v>2</v>
      </c>
      <c r="J687" s="20" t="n">
        <v>55000</v>
      </c>
      <c r="K687" s="20" t="n">
        <v>110000</v>
      </c>
      <c r="L687" s="10">
        <f>IF($B687="","",TEXT($B687,"YYYY-MM"))</f>
        <v/>
      </c>
    </row>
    <row r="688">
      <c r="A688" s="10" t="inlineStr">
        <is>
          <t>INV-71205</t>
        </is>
      </c>
      <c r="B688" s="18" t="n">
        <v>45895</v>
      </c>
      <c r="C688" s="10" t="inlineStr">
        <is>
          <t>C1341</t>
        </is>
      </c>
      <c r="D688" s="10" t="inlineStr">
        <is>
          <t>regular</t>
        </is>
      </c>
      <c r="E688" s="10" t="inlineStr">
        <is>
          <t>TikTok Shop</t>
        </is>
      </c>
      <c r="F688" s="10" t="inlineStr">
        <is>
          <t>Jawa Tengah</t>
        </is>
      </c>
      <c r="G688" s="10" t="inlineStr">
        <is>
          <t>Rumah Tangga</t>
        </is>
      </c>
      <c r="H688" s="10" t="inlineStr">
        <is>
          <t>Set Wadah Kedap</t>
        </is>
      </c>
      <c r="I688" s="19" t="n">
        <v>4</v>
      </c>
      <c r="J688" s="20" t="n">
        <v>135000</v>
      </c>
      <c r="K688" s="20" t="n">
        <v>540000</v>
      </c>
      <c r="L688" s="10">
        <f>IF($B688="","",TEXT($B688,"YYYY-MM"))</f>
        <v/>
      </c>
    </row>
    <row r="689">
      <c r="A689" s="10" t="inlineStr">
        <is>
          <t>INV-70646</t>
        </is>
      </c>
      <c r="B689" s="18" t="n">
        <v>45895</v>
      </c>
      <c r="C689" s="10" t="inlineStr">
        <is>
          <t>C1176</t>
        </is>
      </c>
      <c r="D689" s="10" t="inlineStr">
        <is>
          <t>onetime</t>
        </is>
      </c>
      <c r="E689" s="10" t="inlineStr">
        <is>
          <t>Tokopedia</t>
        </is>
      </c>
      <c r="F689" s="10" t="inlineStr">
        <is>
          <t>Jabodetabek</t>
        </is>
      </c>
      <c r="G689" s="10" t="inlineStr">
        <is>
          <t>Kecantikan</t>
        </is>
      </c>
      <c r="H689" s="10" t="inlineStr">
        <is>
          <t>Serum Vit C</t>
        </is>
      </c>
      <c r="I689" s="19" t="n">
        <v>1</v>
      </c>
      <c r="J689" s="20" t="n">
        <v>145000</v>
      </c>
      <c r="K689" s="20" t="n">
        <v>145000</v>
      </c>
      <c r="L689" s="10">
        <f>IF($B689="","",TEXT($B689,"YYYY-MM"))</f>
        <v/>
      </c>
    </row>
    <row r="690">
      <c r="A690" s="10" t="inlineStr">
        <is>
          <t>INV-70603</t>
        </is>
      </c>
      <c r="B690" s="18" t="n">
        <v>45895</v>
      </c>
      <c r="C690" s="10" t="inlineStr">
        <is>
          <t>C1161</t>
        </is>
      </c>
      <c r="D690" s="10" t="inlineStr">
        <is>
          <t>champion</t>
        </is>
      </c>
      <c r="E690" s="10" t="inlineStr">
        <is>
          <t>TikTok Shop</t>
        </is>
      </c>
      <c r="F690" s="10" t="inlineStr">
        <is>
          <t>Lainnya</t>
        </is>
      </c>
      <c r="G690" s="10" t="inlineStr">
        <is>
          <t>Makanan</t>
        </is>
      </c>
      <c r="H690" s="10" t="inlineStr">
        <is>
          <t>Teh Herbal (15s)</t>
        </is>
      </c>
      <c r="I690" s="19" t="n">
        <v>2</v>
      </c>
      <c r="J690" s="20" t="n">
        <v>58000</v>
      </c>
      <c r="K690" s="20" t="n">
        <v>116000</v>
      </c>
      <c r="L690" s="10">
        <f>IF($B690="","",TEXT($B690,"YYYY-MM"))</f>
        <v/>
      </c>
    </row>
    <row r="691">
      <c r="A691" s="10" t="inlineStr">
        <is>
          <t>INV-70495</t>
        </is>
      </c>
      <c r="B691" s="18" t="n">
        <v>45896</v>
      </c>
      <c r="C691" s="10" t="inlineStr">
        <is>
          <t>C1139</t>
        </is>
      </c>
      <c r="D691" s="10" t="inlineStr">
        <is>
          <t>champion</t>
        </is>
      </c>
      <c r="E691" s="10" t="inlineStr">
        <is>
          <t>Shopee</t>
        </is>
      </c>
      <c r="F691" s="10" t="inlineStr">
        <is>
          <t>Jawa Tengah</t>
        </is>
      </c>
      <c r="G691" s="10" t="inlineStr">
        <is>
          <t>Rumah Tangga</t>
        </is>
      </c>
      <c r="H691" s="10" t="inlineStr">
        <is>
          <t>Organizer Laci</t>
        </is>
      </c>
      <c r="I691" s="19" t="n">
        <v>1</v>
      </c>
      <c r="J691" s="20" t="n">
        <v>78000</v>
      </c>
      <c r="K691" s="20" t="n">
        <v>78000</v>
      </c>
      <c r="L691" s="10">
        <f>IF($B691="","",TEXT($B691,"YYYY-MM"))</f>
        <v/>
      </c>
    </row>
    <row r="692">
      <c r="A692" s="10" t="inlineStr">
        <is>
          <t>INV-70273</t>
        </is>
      </c>
      <c r="B692" s="18" t="n">
        <v>45901</v>
      </c>
      <c r="C692" s="10" t="inlineStr">
        <is>
          <t>C1077</t>
        </is>
      </c>
      <c r="D692" s="10" t="inlineStr">
        <is>
          <t>regular</t>
        </is>
      </c>
      <c r="E692" s="10" t="inlineStr">
        <is>
          <t>Offline Store</t>
        </is>
      </c>
      <c r="F692" s="10" t="inlineStr">
        <is>
          <t>Jabodetabek</t>
        </is>
      </c>
      <c r="G692" s="10" t="inlineStr">
        <is>
          <t>Fashion</t>
        </is>
      </c>
      <c r="H692" s="10" t="inlineStr">
        <is>
          <t>Celana Chino</t>
        </is>
      </c>
      <c r="I692" s="19" t="n">
        <v>1</v>
      </c>
      <c r="J692" s="20" t="n">
        <v>195000</v>
      </c>
      <c r="K692" s="20" t="n">
        <v>195000</v>
      </c>
      <c r="L692" s="10">
        <f>IF($B692="","",TEXT($B692,"YYYY-MM"))</f>
        <v/>
      </c>
    </row>
    <row r="693">
      <c r="A693" s="10" t="inlineStr">
        <is>
          <t>INV-71250</t>
        </is>
      </c>
      <c r="B693" s="18" t="n">
        <v>45901</v>
      </c>
      <c r="C693" s="10" t="inlineStr">
        <is>
          <t>C1352</t>
        </is>
      </c>
      <c r="D693" s="10" t="inlineStr">
        <is>
          <t>loyal</t>
        </is>
      </c>
      <c r="E693" s="10" t="inlineStr">
        <is>
          <t>TikTok Shop</t>
        </is>
      </c>
      <c r="F693" s="10" t="inlineStr">
        <is>
          <t>Jabodetabek</t>
        </is>
      </c>
      <c r="G693" s="10" t="inlineStr">
        <is>
          <t>Rumah Tangga</t>
        </is>
      </c>
      <c r="H693" s="10" t="inlineStr">
        <is>
          <t>Organizer Laci</t>
        </is>
      </c>
      <c r="I693" s="19" t="n">
        <v>1</v>
      </c>
      <c r="J693" s="20" t="n">
        <v>78000</v>
      </c>
      <c r="K693" s="20" t="n">
        <v>78000</v>
      </c>
      <c r="L693" s="10">
        <f>IF($B693="","",TEXT($B693,"YYYY-MM"))</f>
        <v/>
      </c>
    </row>
    <row r="694">
      <c r="A694" s="10" t="inlineStr">
        <is>
          <t>INV-71409</t>
        </is>
      </c>
      <c r="B694" s="18" t="n">
        <v>45901</v>
      </c>
      <c r="C694" s="10" t="inlineStr">
        <is>
          <t>C1389</t>
        </is>
      </c>
      <c r="D694" s="10" t="inlineStr">
        <is>
          <t>regular</t>
        </is>
      </c>
      <c r="E694" s="10" t="inlineStr">
        <is>
          <t>Shopee</t>
        </is>
      </c>
      <c r="F694" s="10" t="inlineStr">
        <is>
          <t>Jabodetabek</t>
        </is>
      </c>
      <c r="G694" s="10" t="inlineStr">
        <is>
          <t>Rumah Tangga</t>
        </is>
      </c>
      <c r="H694" s="10" t="inlineStr">
        <is>
          <t>Set Wadah Kedap</t>
        </is>
      </c>
      <c r="I694" s="19" t="n">
        <v>4</v>
      </c>
      <c r="J694" s="20" t="n">
        <v>135000</v>
      </c>
      <c r="K694" s="20" t="n">
        <v>540000</v>
      </c>
      <c r="L694" s="10">
        <f>IF($B694="","",TEXT($B694,"YYYY-MM"))</f>
        <v/>
      </c>
    </row>
    <row r="695">
      <c r="A695" s="10" t="inlineStr">
        <is>
          <t>INV-71111</t>
        </is>
      </c>
      <c r="B695" s="18" t="n">
        <v>45901</v>
      </c>
      <c r="C695" s="10" t="inlineStr">
        <is>
          <t>C1311</t>
        </is>
      </c>
      <c r="D695" s="10" t="inlineStr">
        <is>
          <t>regular</t>
        </is>
      </c>
      <c r="E695" s="10" t="inlineStr">
        <is>
          <t>Shopee</t>
        </is>
      </c>
      <c r="F695" s="10" t="inlineStr">
        <is>
          <t>Sumatera</t>
        </is>
      </c>
      <c r="G695" s="10" t="inlineStr">
        <is>
          <t>Fashion</t>
        </is>
      </c>
      <c r="H695" s="10" t="inlineStr">
        <is>
          <t>Celana Chino</t>
        </is>
      </c>
      <c r="I695" s="19" t="n">
        <v>2</v>
      </c>
      <c r="J695" s="20" t="n">
        <v>195000</v>
      </c>
      <c r="K695" s="20" t="n">
        <v>390000</v>
      </c>
      <c r="L695" s="10">
        <f>IF($B695="","",TEXT($B695,"YYYY-MM"))</f>
        <v/>
      </c>
    </row>
    <row r="696">
      <c r="A696" s="10" t="inlineStr">
        <is>
          <t>INV-70108</t>
        </is>
      </c>
      <c r="B696" s="18" t="n">
        <v>45901</v>
      </c>
      <c r="C696" s="10" t="inlineStr">
        <is>
          <t>C1031</t>
        </is>
      </c>
      <c r="D696" s="10" t="inlineStr">
        <is>
          <t>regular</t>
        </is>
      </c>
      <c r="E696" s="10" t="inlineStr">
        <is>
          <t>Shopee</t>
        </is>
      </c>
      <c r="F696" s="10" t="inlineStr">
        <is>
          <t>Jawa Barat</t>
        </is>
      </c>
      <c r="G696" s="10" t="inlineStr">
        <is>
          <t>Elektronik</t>
        </is>
      </c>
      <c r="H696" s="10" t="inlineStr">
        <is>
          <t>Power Bank 20K</t>
        </is>
      </c>
      <c r="I696" s="19" t="n">
        <v>4</v>
      </c>
      <c r="J696" s="20" t="n">
        <v>185000</v>
      </c>
      <c r="K696" s="20" t="n">
        <v>740000</v>
      </c>
      <c r="L696" s="10">
        <f>IF($B696="","",TEXT($B696,"YYYY-MM"))</f>
        <v/>
      </c>
    </row>
    <row r="697">
      <c r="A697" s="10" t="inlineStr">
        <is>
          <t>INV-70477</t>
        </is>
      </c>
      <c r="B697" s="18" t="n">
        <v>45901</v>
      </c>
      <c r="C697" s="10" t="inlineStr">
        <is>
          <t>C1137</t>
        </is>
      </c>
      <c r="D697" s="10" t="inlineStr">
        <is>
          <t>loyal</t>
        </is>
      </c>
      <c r="E697" s="10" t="inlineStr">
        <is>
          <t>Tokopedia</t>
        </is>
      </c>
      <c r="F697" s="10" t="inlineStr">
        <is>
          <t>Jabodetabek</t>
        </is>
      </c>
      <c r="G697" s="10" t="inlineStr">
        <is>
          <t>Fashion</t>
        </is>
      </c>
      <c r="H697" s="10" t="inlineStr">
        <is>
          <t>Kaos Premium</t>
        </is>
      </c>
      <c r="I697" s="19" t="n">
        <v>1</v>
      </c>
      <c r="J697" s="20" t="n">
        <v>95000</v>
      </c>
      <c r="K697" s="20" t="n">
        <v>95000</v>
      </c>
      <c r="L697" s="10">
        <f>IF($B697="","",TEXT($B697,"YYYY-MM"))</f>
        <v/>
      </c>
    </row>
    <row r="698">
      <c r="A698" s="10" t="inlineStr">
        <is>
          <t>INV-71006</t>
        </is>
      </c>
      <c r="B698" s="18" t="n">
        <v>45902</v>
      </c>
      <c r="C698" s="10" t="inlineStr">
        <is>
          <t>C1287</t>
        </is>
      </c>
      <c r="D698" s="10" t="inlineStr">
        <is>
          <t>champion</t>
        </is>
      </c>
      <c r="E698" s="10" t="inlineStr">
        <is>
          <t>Shopee</t>
        </is>
      </c>
      <c r="F698" s="10" t="inlineStr">
        <is>
          <t>Jabodetabek</t>
        </is>
      </c>
      <c r="G698" s="10" t="inlineStr">
        <is>
          <t>Rumah Tangga</t>
        </is>
      </c>
      <c r="H698" s="10" t="inlineStr">
        <is>
          <t>Organizer Laci</t>
        </is>
      </c>
      <c r="I698" s="19" t="n">
        <v>2</v>
      </c>
      <c r="J698" s="20" t="n">
        <v>78000</v>
      </c>
      <c r="K698" s="20" t="n">
        <v>156000</v>
      </c>
      <c r="L698" s="10">
        <f>IF($B698="","",TEXT($B698,"YYYY-MM"))</f>
        <v/>
      </c>
    </row>
    <row r="699">
      <c r="A699" s="10" t="inlineStr">
        <is>
          <t>INV-70745</t>
        </is>
      </c>
      <c r="B699" s="18" t="n">
        <v>45902</v>
      </c>
      <c r="C699" s="10" t="inlineStr">
        <is>
          <t>C1209</t>
        </is>
      </c>
      <c r="D699" s="10" t="inlineStr">
        <is>
          <t>onetime</t>
        </is>
      </c>
      <c r="E699" s="10" t="inlineStr">
        <is>
          <t>Shopee</t>
        </is>
      </c>
      <c r="F699" s="10" t="inlineStr">
        <is>
          <t>Lainnya</t>
        </is>
      </c>
      <c r="G699" s="10" t="inlineStr">
        <is>
          <t>Makanan</t>
        </is>
      </c>
      <c r="H699" s="10" t="inlineStr">
        <is>
          <t>Granola 500g</t>
        </is>
      </c>
      <c r="I699" s="19" t="n">
        <v>3</v>
      </c>
      <c r="J699" s="20" t="n">
        <v>92000</v>
      </c>
      <c r="K699" s="20" t="n">
        <v>276000</v>
      </c>
      <c r="L699" s="10">
        <f>IF($B699="","",TEXT($B699,"YYYY-MM"))</f>
        <v/>
      </c>
    </row>
    <row r="700">
      <c r="A700" s="10" t="inlineStr">
        <is>
          <t>INV-71021</t>
        </is>
      </c>
      <c r="B700" s="18" t="n">
        <v>45903</v>
      </c>
      <c r="C700" s="10" t="inlineStr">
        <is>
          <t>C1290</t>
        </is>
      </c>
      <c r="D700" s="10" t="inlineStr">
        <is>
          <t>loyal</t>
        </is>
      </c>
      <c r="E700" s="10" t="inlineStr">
        <is>
          <t>Offline Store</t>
        </is>
      </c>
      <c r="F700" s="10" t="inlineStr">
        <is>
          <t>Jawa Timur</t>
        </is>
      </c>
      <c r="G700" s="10" t="inlineStr">
        <is>
          <t>Kecantikan</t>
        </is>
      </c>
      <c r="H700" s="10" t="inlineStr">
        <is>
          <t>Masker Wajah (5s)</t>
        </is>
      </c>
      <c r="I700" s="19" t="n">
        <v>1</v>
      </c>
      <c r="J700" s="20" t="n">
        <v>55000</v>
      </c>
      <c r="K700" s="20" t="n">
        <v>55000</v>
      </c>
      <c r="L700" s="10">
        <f>IF($B700="","",TEXT($B700,"YYYY-MM"))</f>
        <v/>
      </c>
    </row>
    <row r="701">
      <c r="A701" s="10" t="inlineStr">
        <is>
          <t>INV-70133</t>
        </is>
      </c>
      <c r="B701" s="18" t="n">
        <v>45903</v>
      </c>
      <c r="C701" s="10" t="inlineStr">
        <is>
          <t>C1038</t>
        </is>
      </c>
      <c r="D701" s="10" t="inlineStr">
        <is>
          <t>champion</t>
        </is>
      </c>
      <c r="E701" s="10" t="inlineStr">
        <is>
          <t>Offline Store</t>
        </is>
      </c>
      <c r="F701" s="10" t="inlineStr">
        <is>
          <t>Jawa Timur</t>
        </is>
      </c>
      <c r="G701" s="10" t="inlineStr">
        <is>
          <t>Rumah Tangga</t>
        </is>
      </c>
      <c r="H701" s="10" t="inlineStr">
        <is>
          <t>Organizer Laci</t>
        </is>
      </c>
      <c r="I701" s="19" t="n">
        <v>2</v>
      </c>
      <c r="J701" s="20" t="n">
        <v>78000</v>
      </c>
      <c r="K701" s="20" t="n">
        <v>156000</v>
      </c>
      <c r="L701" s="10">
        <f>IF($B701="","",TEXT($B701,"YYYY-MM"))</f>
        <v/>
      </c>
    </row>
    <row r="702">
      <c r="A702" s="10" t="inlineStr">
        <is>
          <t>INV-70156</t>
        </is>
      </c>
      <c r="B702" s="18" t="n">
        <v>45903</v>
      </c>
      <c r="C702" s="10" t="inlineStr">
        <is>
          <t>C1047</t>
        </is>
      </c>
      <c r="D702" s="10" t="inlineStr">
        <is>
          <t>regular</t>
        </is>
      </c>
      <c r="E702" s="10" t="inlineStr">
        <is>
          <t>TikTok Shop</t>
        </is>
      </c>
      <c r="F702" s="10" t="inlineStr">
        <is>
          <t>Jawa Timur</t>
        </is>
      </c>
      <c r="G702" s="10" t="inlineStr">
        <is>
          <t>Fashion</t>
        </is>
      </c>
      <c r="H702" s="10" t="inlineStr">
        <is>
          <t>Kemeja Linen</t>
        </is>
      </c>
      <c r="I702" s="19" t="n">
        <v>4</v>
      </c>
      <c r="J702" s="20" t="n">
        <v>185000</v>
      </c>
      <c r="K702" s="20" t="n">
        <v>740000</v>
      </c>
      <c r="L702" s="10">
        <f>IF($B702="","",TEXT($B702,"YYYY-MM"))</f>
        <v/>
      </c>
    </row>
    <row r="703">
      <c r="A703" s="10" t="inlineStr">
        <is>
          <t>INV-70015</t>
        </is>
      </c>
      <c r="B703" s="18" t="n">
        <v>45903</v>
      </c>
      <c r="C703" s="10" t="inlineStr">
        <is>
          <t>C1003</t>
        </is>
      </c>
      <c r="D703" s="10" t="inlineStr">
        <is>
          <t>regular</t>
        </is>
      </c>
      <c r="E703" s="10" t="inlineStr">
        <is>
          <t>Tokopedia</t>
        </is>
      </c>
      <c r="F703" s="10" t="inlineStr">
        <is>
          <t>Jawa Tengah</t>
        </is>
      </c>
      <c r="G703" s="10" t="inlineStr">
        <is>
          <t>Elektronik</t>
        </is>
      </c>
      <c r="H703" s="10" t="inlineStr">
        <is>
          <t>Earbuds TWS</t>
        </is>
      </c>
      <c r="I703" s="19" t="n">
        <v>2</v>
      </c>
      <c r="J703" s="20" t="n">
        <v>265000</v>
      </c>
      <c r="K703" s="20" t="n">
        <v>530000</v>
      </c>
      <c r="L703" s="10">
        <f>IF($B703="","",TEXT($B703,"YYYY-MM"))</f>
        <v/>
      </c>
    </row>
    <row r="704">
      <c r="A704" s="10" t="inlineStr">
        <is>
          <t>INV-71286</t>
        </is>
      </c>
      <c r="B704" s="18" t="n">
        <v>45903</v>
      </c>
      <c r="C704" s="10" t="inlineStr">
        <is>
          <t>C1359</t>
        </is>
      </c>
      <c r="D704" s="10" t="inlineStr">
        <is>
          <t>champion</t>
        </is>
      </c>
      <c r="E704" s="10" t="inlineStr">
        <is>
          <t>Tokopedia</t>
        </is>
      </c>
      <c r="F704" s="10" t="inlineStr">
        <is>
          <t>Jawa Barat</t>
        </is>
      </c>
      <c r="G704" s="10" t="inlineStr">
        <is>
          <t>Rumah Tangga</t>
        </is>
      </c>
      <c r="H704" s="10" t="inlineStr">
        <is>
          <t>Set Wadah Kedap</t>
        </is>
      </c>
      <c r="I704" s="19" t="n">
        <v>4</v>
      </c>
      <c r="J704" s="20" t="n">
        <v>135000</v>
      </c>
      <c r="K704" s="20" t="n">
        <v>540000</v>
      </c>
      <c r="L704" s="10">
        <f>IF($B704="","",TEXT($B704,"YYYY-MM"))</f>
        <v/>
      </c>
    </row>
    <row r="705">
      <c r="A705" s="10" t="inlineStr">
        <is>
          <t>INV-70248</t>
        </is>
      </c>
      <c r="B705" s="18" t="n">
        <v>45903</v>
      </c>
      <c r="C705" s="10" t="inlineStr">
        <is>
          <t>C1072</t>
        </is>
      </c>
      <c r="D705" s="10" t="inlineStr">
        <is>
          <t>champion</t>
        </is>
      </c>
      <c r="E705" s="10" t="inlineStr">
        <is>
          <t>Offline Store</t>
        </is>
      </c>
      <c r="F705" s="10" t="inlineStr">
        <is>
          <t>Jawa Timur</t>
        </is>
      </c>
      <c r="G705" s="10" t="inlineStr">
        <is>
          <t>Elektronik</t>
        </is>
      </c>
      <c r="H705" s="10" t="inlineStr">
        <is>
          <t>Webcam HD</t>
        </is>
      </c>
      <c r="I705" s="19" t="n">
        <v>1</v>
      </c>
      <c r="J705" s="20" t="n">
        <v>210000</v>
      </c>
      <c r="K705" s="20" t="n">
        <v>210000</v>
      </c>
      <c r="L705" s="10">
        <f>IF($B705="","",TEXT($B705,"YYYY-MM"))</f>
        <v/>
      </c>
    </row>
    <row r="706">
      <c r="A706" s="10" t="inlineStr">
        <is>
          <t>INV-71259</t>
        </is>
      </c>
      <c r="B706" s="18" t="n">
        <v>45904</v>
      </c>
      <c r="C706" s="10" t="inlineStr">
        <is>
          <t>C1356</t>
        </is>
      </c>
      <c r="D706" s="10" t="inlineStr">
        <is>
          <t>occasional</t>
        </is>
      </c>
      <c r="E706" s="10" t="inlineStr">
        <is>
          <t>Shopee</t>
        </is>
      </c>
      <c r="F706" s="10" t="inlineStr">
        <is>
          <t>Sumatera</t>
        </is>
      </c>
      <c r="G706" s="10" t="inlineStr">
        <is>
          <t>Elektronik</t>
        </is>
      </c>
      <c r="H706" s="10" t="inlineStr">
        <is>
          <t>Earbuds TWS</t>
        </is>
      </c>
      <c r="I706" s="19" t="n">
        <v>1</v>
      </c>
      <c r="J706" s="20" t="n">
        <v>265000</v>
      </c>
      <c r="K706" s="20" t="n">
        <v>265000</v>
      </c>
      <c r="L706" s="10">
        <f>IF($B706="","",TEXT($B706,"YYYY-MM"))</f>
        <v/>
      </c>
    </row>
    <row r="707">
      <c r="A707" s="10" t="inlineStr">
        <is>
          <t>INV-70883</t>
        </is>
      </c>
      <c r="B707" s="18" t="n">
        <v>45904</v>
      </c>
      <c r="C707" s="10" t="inlineStr">
        <is>
          <t>C1247</t>
        </is>
      </c>
      <c r="D707" s="10" t="inlineStr">
        <is>
          <t>champion</t>
        </is>
      </c>
      <c r="E707" s="10" t="inlineStr">
        <is>
          <t>Tokopedia</t>
        </is>
      </c>
      <c r="F707" s="10" t="inlineStr">
        <is>
          <t>Jawa Barat</t>
        </is>
      </c>
      <c r="G707" s="10" t="inlineStr">
        <is>
          <t>Kecantikan</t>
        </is>
      </c>
      <c r="H707" s="10" t="inlineStr">
        <is>
          <t>Masker Wajah (5s)</t>
        </is>
      </c>
      <c r="I707" s="19" t="n">
        <v>4</v>
      </c>
      <c r="J707" s="20" t="n">
        <v>55000</v>
      </c>
      <c r="K707" s="20" t="n">
        <v>220000</v>
      </c>
      <c r="L707" s="10">
        <f>IF($B707="","",TEXT($B707,"YYYY-MM"))</f>
        <v/>
      </c>
    </row>
    <row r="708">
      <c r="A708" s="10" t="inlineStr">
        <is>
          <t>INV-70187</t>
        </is>
      </c>
      <c r="B708" s="18" t="n">
        <v>45904</v>
      </c>
      <c r="C708" s="10" t="inlineStr">
        <is>
          <t>C1053</t>
        </is>
      </c>
      <c r="D708" s="10" t="inlineStr">
        <is>
          <t>regular</t>
        </is>
      </c>
      <c r="E708" s="10" t="inlineStr">
        <is>
          <t>Shopee</t>
        </is>
      </c>
      <c r="F708" s="10" t="inlineStr">
        <is>
          <t>Jabodetabek</t>
        </is>
      </c>
      <c r="G708" s="10" t="inlineStr">
        <is>
          <t>Rumah Tangga</t>
        </is>
      </c>
      <c r="H708" s="10" t="inlineStr">
        <is>
          <t>Organizer Laci</t>
        </is>
      </c>
      <c r="I708" s="19" t="n">
        <v>2</v>
      </c>
      <c r="J708" s="20" t="n">
        <v>78000</v>
      </c>
      <c r="K708" s="20" t="n">
        <v>156000</v>
      </c>
      <c r="L708" s="10">
        <f>IF($B708="","",TEXT($B708,"YYYY-MM"))</f>
        <v/>
      </c>
    </row>
    <row r="709">
      <c r="A709" s="10" t="inlineStr">
        <is>
          <t>INV-70919</t>
        </is>
      </c>
      <c r="B709" s="18" t="n">
        <v>45905</v>
      </c>
      <c r="C709" s="10" t="inlineStr">
        <is>
          <t>C1260</t>
        </is>
      </c>
      <c r="D709" s="10" t="inlineStr">
        <is>
          <t>occasional</t>
        </is>
      </c>
      <c r="E709" s="10" t="inlineStr">
        <is>
          <t>Offline Store</t>
        </is>
      </c>
      <c r="F709" s="10" t="inlineStr">
        <is>
          <t>Jawa Barat</t>
        </is>
      </c>
      <c r="G709" s="10" t="inlineStr">
        <is>
          <t>Kecantikan</t>
        </is>
      </c>
      <c r="H709" s="10" t="inlineStr">
        <is>
          <t>Masker Wajah (5s)</t>
        </is>
      </c>
      <c r="I709" s="19" t="n">
        <v>1</v>
      </c>
      <c r="J709" s="20" t="n">
        <v>55000</v>
      </c>
      <c r="K709" s="20" t="n">
        <v>55000</v>
      </c>
      <c r="L709" s="10">
        <f>IF($B709="","",TEXT($B709,"YYYY-MM"))</f>
        <v/>
      </c>
    </row>
    <row r="710">
      <c r="A710" s="10" t="inlineStr">
        <is>
          <t>INV-70244</t>
        </is>
      </c>
      <c r="B710" s="18" t="n">
        <v>45905</v>
      </c>
      <c r="C710" s="10" t="inlineStr">
        <is>
          <t>C1069</t>
        </is>
      </c>
      <c r="D710" s="10" t="inlineStr">
        <is>
          <t>loyal</t>
        </is>
      </c>
      <c r="E710" s="10" t="inlineStr">
        <is>
          <t>Tokopedia</t>
        </is>
      </c>
      <c r="F710" s="10" t="inlineStr">
        <is>
          <t>Lainnya</t>
        </is>
      </c>
      <c r="G710" s="10" t="inlineStr">
        <is>
          <t>Rumah Tangga</t>
        </is>
      </c>
      <c r="H710" s="10" t="inlineStr">
        <is>
          <t>Organizer Laci</t>
        </is>
      </c>
      <c r="I710" s="19" t="n">
        <v>4</v>
      </c>
      <c r="J710" s="20" t="n">
        <v>78000</v>
      </c>
      <c r="K710" s="20" t="n">
        <v>312000</v>
      </c>
      <c r="L710" s="10">
        <f>IF($B710="","",TEXT($B710,"YYYY-MM"))</f>
        <v/>
      </c>
    </row>
    <row r="711">
      <c r="A711" s="10" t="inlineStr">
        <is>
          <t>INV-70417</t>
        </is>
      </c>
      <c r="B711" s="18" t="n">
        <v>45906</v>
      </c>
      <c r="C711" s="10" t="inlineStr">
        <is>
          <t>C1116</t>
        </is>
      </c>
      <c r="D711" s="10" t="inlineStr">
        <is>
          <t>regular</t>
        </is>
      </c>
      <c r="E711" s="10" t="inlineStr">
        <is>
          <t>Offline Store</t>
        </is>
      </c>
      <c r="F711" s="10" t="inlineStr">
        <is>
          <t>Sumatera</t>
        </is>
      </c>
      <c r="G711" s="10" t="inlineStr">
        <is>
          <t>Rumah Tangga</t>
        </is>
      </c>
      <c r="H711" s="10" t="inlineStr">
        <is>
          <t>Set Wadah Kedap</t>
        </is>
      </c>
      <c r="I711" s="19" t="n">
        <v>2</v>
      </c>
      <c r="J711" s="20" t="n">
        <v>135000</v>
      </c>
      <c r="K711" s="20" t="n">
        <v>270000</v>
      </c>
      <c r="L711" s="10">
        <f>IF($B711="","",TEXT($B711,"YYYY-MM"))</f>
        <v/>
      </c>
    </row>
    <row r="712">
      <c r="A712" s="10" t="inlineStr">
        <is>
          <t>INV-70607</t>
        </is>
      </c>
      <c r="B712" s="18" t="n">
        <v>45906</v>
      </c>
      <c r="C712" s="10" t="inlineStr">
        <is>
          <t>C1164</t>
        </is>
      </c>
      <c r="D712" s="10" t="inlineStr">
        <is>
          <t>regular</t>
        </is>
      </c>
      <c r="E712" s="10" t="inlineStr">
        <is>
          <t>Shopee</t>
        </is>
      </c>
      <c r="F712" s="10" t="inlineStr">
        <is>
          <t>Sumatera</t>
        </is>
      </c>
      <c r="G712" s="10" t="inlineStr">
        <is>
          <t>Rumah Tangga</t>
        </is>
      </c>
      <c r="H712" s="10" t="inlineStr">
        <is>
          <t>Set Wadah Kedap</t>
        </is>
      </c>
      <c r="I712" s="19" t="n">
        <v>3</v>
      </c>
      <c r="J712" s="20" t="n">
        <v>135000</v>
      </c>
      <c r="K712" s="20" t="n">
        <v>405000</v>
      </c>
      <c r="L712" s="10">
        <f>IF($B712="","",TEXT($B712,"YYYY-MM"))</f>
        <v/>
      </c>
    </row>
    <row r="713">
      <c r="A713" s="10" t="inlineStr">
        <is>
          <t>INV-71083</t>
        </is>
      </c>
      <c r="B713" s="18" t="n">
        <v>45906</v>
      </c>
      <c r="C713" s="10" t="inlineStr">
        <is>
          <t>C1305</t>
        </is>
      </c>
      <c r="D713" s="10" t="inlineStr">
        <is>
          <t>champion</t>
        </is>
      </c>
      <c r="E713" s="10" t="inlineStr">
        <is>
          <t>Tokopedia</t>
        </is>
      </c>
      <c r="F713" s="10" t="inlineStr">
        <is>
          <t>Jabodetabek</t>
        </is>
      </c>
      <c r="G713" s="10" t="inlineStr">
        <is>
          <t>Elektronik</t>
        </is>
      </c>
      <c r="H713" s="10" t="inlineStr">
        <is>
          <t>Smartwatch</t>
        </is>
      </c>
      <c r="I713" s="19" t="n">
        <v>2</v>
      </c>
      <c r="J713" s="20" t="n">
        <v>450000</v>
      </c>
      <c r="K713" s="20" t="n">
        <v>900000</v>
      </c>
      <c r="L713" s="10">
        <f>IF($B713="","",TEXT($B713,"YYYY-MM"))</f>
        <v/>
      </c>
    </row>
    <row r="714">
      <c r="A714" s="10" t="inlineStr">
        <is>
          <t>INV-70518</t>
        </is>
      </c>
      <c r="B714" s="18" t="n">
        <v>45906</v>
      </c>
      <c r="C714" s="10" t="inlineStr">
        <is>
          <t>C1142</t>
        </is>
      </c>
      <c r="D714" s="10" t="inlineStr">
        <is>
          <t>champion</t>
        </is>
      </c>
      <c r="E714" s="10" t="inlineStr">
        <is>
          <t>Tokopedia</t>
        </is>
      </c>
      <c r="F714" s="10" t="inlineStr">
        <is>
          <t>Jabodetabek</t>
        </is>
      </c>
      <c r="G714" s="10" t="inlineStr">
        <is>
          <t>Rumah Tangga</t>
        </is>
      </c>
      <c r="H714" s="10" t="inlineStr">
        <is>
          <t>Set Wadah Kedap</t>
        </is>
      </c>
      <c r="I714" s="19" t="n">
        <v>1</v>
      </c>
      <c r="J714" s="20" t="n">
        <v>135000</v>
      </c>
      <c r="K714" s="20" t="n">
        <v>135000</v>
      </c>
      <c r="L714" s="10">
        <f>IF($B714="","",TEXT($B714,"YYYY-MM"))</f>
        <v/>
      </c>
    </row>
    <row r="715">
      <c r="A715" s="10" t="inlineStr">
        <is>
          <t>INV-70328</t>
        </is>
      </c>
      <c r="B715" s="18" t="n">
        <v>45906</v>
      </c>
      <c r="C715" s="10" t="inlineStr">
        <is>
          <t>C1090</t>
        </is>
      </c>
      <c r="D715" s="10" t="inlineStr">
        <is>
          <t>champion</t>
        </is>
      </c>
      <c r="E715" s="10" t="inlineStr">
        <is>
          <t>Tokopedia</t>
        </is>
      </c>
      <c r="F715" s="10" t="inlineStr">
        <is>
          <t>Jabodetabek</t>
        </is>
      </c>
      <c r="G715" s="10" t="inlineStr">
        <is>
          <t>Rumah Tangga</t>
        </is>
      </c>
      <c r="H715" s="10" t="inlineStr">
        <is>
          <t>Set Wadah Kedap</t>
        </is>
      </c>
      <c r="I715" s="19" t="n">
        <v>4</v>
      </c>
      <c r="J715" s="20" t="n">
        <v>135000</v>
      </c>
      <c r="K715" s="20" t="n">
        <v>540000</v>
      </c>
      <c r="L715" s="10">
        <f>IF($B715="","",TEXT($B715,"YYYY-MM"))</f>
        <v/>
      </c>
    </row>
    <row r="716">
      <c r="A716" s="10" t="inlineStr">
        <is>
          <t>INV-71187</t>
        </is>
      </c>
      <c r="B716" s="18" t="n">
        <v>45908</v>
      </c>
      <c r="C716" s="10" t="inlineStr">
        <is>
          <t>C1334</t>
        </is>
      </c>
      <c r="D716" s="10" t="inlineStr">
        <is>
          <t>champion</t>
        </is>
      </c>
      <c r="E716" s="10" t="inlineStr">
        <is>
          <t>Shopee</t>
        </is>
      </c>
      <c r="F716" s="10" t="inlineStr">
        <is>
          <t>Jabodetabek</t>
        </is>
      </c>
      <c r="G716" s="10" t="inlineStr">
        <is>
          <t>Rumah Tangga</t>
        </is>
      </c>
      <c r="H716" s="10" t="inlineStr">
        <is>
          <t>Set Wadah Kedap</t>
        </is>
      </c>
      <c r="I716" s="19" t="n">
        <v>2</v>
      </c>
      <c r="J716" s="20" t="n">
        <v>135000</v>
      </c>
      <c r="K716" s="20" t="n">
        <v>270000</v>
      </c>
      <c r="L716" s="10">
        <f>IF($B716="","",TEXT($B716,"YYYY-MM"))</f>
        <v/>
      </c>
    </row>
    <row r="717">
      <c r="A717" s="10" t="inlineStr">
        <is>
          <t>INV-71356</t>
        </is>
      </c>
      <c r="B717" s="18" t="n">
        <v>45909</v>
      </c>
      <c r="C717" s="10" t="inlineStr">
        <is>
          <t>C1375</t>
        </is>
      </c>
      <c r="D717" s="10" t="inlineStr">
        <is>
          <t>occasional</t>
        </is>
      </c>
      <c r="E717" s="10" t="inlineStr">
        <is>
          <t>Shopee</t>
        </is>
      </c>
      <c r="F717" s="10" t="inlineStr">
        <is>
          <t>Sumatera</t>
        </is>
      </c>
      <c r="G717" s="10" t="inlineStr">
        <is>
          <t>Kecantikan</t>
        </is>
      </c>
      <c r="H717" s="10" t="inlineStr">
        <is>
          <t>Masker Wajah (5s)</t>
        </is>
      </c>
      <c r="I717" s="19" t="n">
        <v>2</v>
      </c>
      <c r="J717" s="20" t="n">
        <v>55000</v>
      </c>
      <c r="K717" s="20" t="n">
        <v>110000</v>
      </c>
      <c r="L717" s="10">
        <f>IF($B717="","",TEXT($B717,"YYYY-MM"))</f>
        <v/>
      </c>
    </row>
    <row r="718">
      <c r="A718" s="10" t="inlineStr">
        <is>
          <t>INV-70677</t>
        </is>
      </c>
      <c r="B718" s="18" t="n">
        <v>45909</v>
      </c>
      <c r="C718" s="10" t="inlineStr">
        <is>
          <t>C1185</t>
        </is>
      </c>
      <c r="D718" s="10" t="inlineStr">
        <is>
          <t>occasional</t>
        </is>
      </c>
      <c r="E718" s="10" t="inlineStr">
        <is>
          <t>Tokopedia</t>
        </is>
      </c>
      <c r="F718" s="10" t="inlineStr">
        <is>
          <t>Jawa Tengah</t>
        </is>
      </c>
      <c r="G718" s="10" t="inlineStr">
        <is>
          <t>Elektronik</t>
        </is>
      </c>
      <c r="H718" s="10" t="inlineStr">
        <is>
          <t>Webcam HD</t>
        </is>
      </c>
      <c r="I718" s="19" t="n">
        <v>3</v>
      </c>
      <c r="J718" s="20" t="n">
        <v>210000</v>
      </c>
      <c r="K718" s="20" t="n">
        <v>630000</v>
      </c>
      <c r="L718" s="10">
        <f>IF($B718="","",TEXT($B718,"YYYY-MM"))</f>
        <v/>
      </c>
    </row>
    <row r="719">
      <c r="A719" s="10" t="inlineStr">
        <is>
          <t>INV-70392</t>
        </is>
      </c>
      <c r="B719" s="18" t="n">
        <v>45909</v>
      </c>
      <c r="C719" s="10" t="inlineStr">
        <is>
          <t>C1111</t>
        </is>
      </c>
      <c r="D719" s="10" t="inlineStr">
        <is>
          <t>champion</t>
        </is>
      </c>
      <c r="E719" s="10" t="inlineStr">
        <is>
          <t>Shopee</t>
        </is>
      </c>
      <c r="F719" s="10" t="inlineStr">
        <is>
          <t>Jawa Tengah</t>
        </is>
      </c>
      <c r="G719" s="10" t="inlineStr">
        <is>
          <t>Rumah Tangga</t>
        </is>
      </c>
      <c r="H719" s="10" t="inlineStr">
        <is>
          <t>Set Wadah Kedap</t>
        </is>
      </c>
      <c r="I719" s="19" t="n">
        <v>3</v>
      </c>
      <c r="J719" s="20" t="n">
        <v>135000</v>
      </c>
      <c r="K719" s="20" t="n">
        <v>405000</v>
      </c>
      <c r="L719" s="10">
        <f>IF($B719="","",TEXT($B719,"YYYY-MM"))</f>
        <v/>
      </c>
    </row>
    <row r="720">
      <c r="A720" s="10" t="inlineStr">
        <is>
          <t>INV-70114</t>
        </is>
      </c>
      <c r="B720" s="18" t="n">
        <v>45909</v>
      </c>
      <c r="C720" s="10" t="inlineStr">
        <is>
          <t>C1034</t>
        </is>
      </c>
      <c r="D720" s="10" t="inlineStr">
        <is>
          <t>onetime</t>
        </is>
      </c>
      <c r="E720" s="10" t="inlineStr">
        <is>
          <t>Shopee</t>
        </is>
      </c>
      <c r="F720" s="10" t="inlineStr">
        <is>
          <t>Sumatera</t>
        </is>
      </c>
      <c r="G720" s="10" t="inlineStr">
        <is>
          <t>Makanan</t>
        </is>
      </c>
      <c r="H720" s="10" t="inlineStr">
        <is>
          <t>Granola 500g</t>
        </is>
      </c>
      <c r="I720" s="19" t="n">
        <v>1</v>
      </c>
      <c r="J720" s="20" t="n">
        <v>92000</v>
      </c>
      <c r="K720" s="20" t="n">
        <v>92000</v>
      </c>
      <c r="L720" s="10">
        <f>IF($B720="","",TEXT($B720,"YYYY-MM"))</f>
        <v/>
      </c>
    </row>
    <row r="721">
      <c r="A721" s="10" t="inlineStr">
        <is>
          <t>INV-70507</t>
        </is>
      </c>
      <c r="B721" s="18" t="n">
        <v>45909</v>
      </c>
      <c r="C721" s="10" t="inlineStr">
        <is>
          <t>C1142</t>
        </is>
      </c>
      <c r="D721" s="10" t="inlineStr">
        <is>
          <t>champion</t>
        </is>
      </c>
      <c r="E721" s="10" t="inlineStr">
        <is>
          <t>Shopee</t>
        </is>
      </c>
      <c r="F721" s="10" t="inlineStr">
        <is>
          <t>Jawa Barat</t>
        </is>
      </c>
      <c r="G721" s="10" t="inlineStr">
        <is>
          <t>Rumah Tangga</t>
        </is>
      </c>
      <c r="H721" s="10" t="inlineStr">
        <is>
          <t>Set Wadah Kedap</t>
        </is>
      </c>
      <c r="I721" s="19" t="n">
        <v>4</v>
      </c>
      <c r="J721" s="20" t="n">
        <v>135000</v>
      </c>
      <c r="K721" s="20" t="n">
        <v>540000</v>
      </c>
      <c r="L721" s="10">
        <f>IF($B721="","",TEXT($B721,"YYYY-MM"))</f>
        <v/>
      </c>
    </row>
    <row r="722">
      <c r="A722" s="10" t="inlineStr">
        <is>
          <t>INV-70470</t>
        </is>
      </c>
      <c r="B722" s="18" t="n">
        <v>45910</v>
      </c>
      <c r="C722" s="10" t="inlineStr">
        <is>
          <t>C1135</t>
        </is>
      </c>
      <c r="D722" s="10" t="inlineStr">
        <is>
          <t>regular</t>
        </is>
      </c>
      <c r="E722" s="10" t="inlineStr">
        <is>
          <t>Shopee</t>
        </is>
      </c>
      <c r="F722" s="10" t="inlineStr">
        <is>
          <t>Jabodetabek</t>
        </is>
      </c>
      <c r="G722" s="10" t="inlineStr">
        <is>
          <t>Kecantikan</t>
        </is>
      </c>
      <c r="H722" s="10" t="inlineStr">
        <is>
          <t>Serum Vit C</t>
        </is>
      </c>
      <c r="I722" s="19" t="n">
        <v>1</v>
      </c>
      <c r="J722" s="20" t="n">
        <v>145000</v>
      </c>
      <c r="K722" s="20" t="n">
        <v>145000</v>
      </c>
      <c r="L722" s="10">
        <f>IF($B722="","",TEXT($B722,"YYYY-MM"))</f>
        <v/>
      </c>
    </row>
    <row r="723">
      <c r="A723" s="10" t="inlineStr">
        <is>
          <t>INV-71069</t>
        </is>
      </c>
      <c r="B723" s="18" t="n">
        <v>45910</v>
      </c>
      <c r="C723" s="10" t="inlineStr">
        <is>
          <t>C1302</t>
        </is>
      </c>
      <c r="D723" s="10" t="inlineStr">
        <is>
          <t>champion</t>
        </is>
      </c>
      <c r="E723" s="10" t="inlineStr">
        <is>
          <t>Shopee</t>
        </is>
      </c>
      <c r="F723" s="10" t="inlineStr">
        <is>
          <t>Lainnya</t>
        </is>
      </c>
      <c r="G723" s="10" t="inlineStr">
        <is>
          <t>Rumah Tangga</t>
        </is>
      </c>
      <c r="H723" s="10" t="inlineStr">
        <is>
          <t>Set Wadah Kedap</t>
        </is>
      </c>
      <c r="I723" s="19" t="n">
        <v>1</v>
      </c>
      <c r="J723" s="20" t="n">
        <v>135000</v>
      </c>
      <c r="K723" s="20" t="n">
        <v>135000</v>
      </c>
      <c r="L723" s="10">
        <f>IF($B723="","",TEXT($B723,"YYYY-MM"))</f>
        <v/>
      </c>
    </row>
    <row r="724">
      <c r="A724" s="10" t="inlineStr">
        <is>
          <t>INV-70545</t>
        </is>
      </c>
      <c r="B724" s="18" t="n">
        <v>45910</v>
      </c>
      <c r="C724" s="10" t="inlineStr">
        <is>
          <t>C1150</t>
        </is>
      </c>
      <c r="D724" s="10" t="inlineStr">
        <is>
          <t>champion</t>
        </is>
      </c>
      <c r="E724" s="10" t="inlineStr">
        <is>
          <t>TikTok Shop</t>
        </is>
      </c>
      <c r="F724" s="10" t="inlineStr">
        <is>
          <t>Jawa Barat</t>
        </is>
      </c>
      <c r="G724" s="10" t="inlineStr">
        <is>
          <t>Rumah Tangga</t>
        </is>
      </c>
      <c r="H724" s="10" t="inlineStr">
        <is>
          <t>Set Wadah Kedap</t>
        </is>
      </c>
      <c r="I724" s="19" t="n">
        <v>2</v>
      </c>
      <c r="J724" s="20" t="n">
        <v>135000</v>
      </c>
      <c r="K724" s="20" t="n">
        <v>270000</v>
      </c>
      <c r="L724" s="10">
        <f>IF($B724="","",TEXT($B724,"YYYY-MM"))</f>
        <v/>
      </c>
    </row>
    <row r="725">
      <c r="A725" s="10" t="inlineStr">
        <is>
          <t>INV-70337</t>
        </is>
      </c>
      <c r="B725" s="18" t="n">
        <v>45911</v>
      </c>
      <c r="C725" s="10" t="inlineStr">
        <is>
          <t>C1093</t>
        </is>
      </c>
      <c r="D725" s="10" t="inlineStr">
        <is>
          <t>champion</t>
        </is>
      </c>
      <c r="E725" s="10" t="inlineStr">
        <is>
          <t>Shopee</t>
        </is>
      </c>
      <c r="F725" s="10" t="inlineStr">
        <is>
          <t>Jabodetabek</t>
        </is>
      </c>
      <c r="G725" s="10" t="inlineStr">
        <is>
          <t>Fashion</t>
        </is>
      </c>
      <c r="H725" s="10" t="inlineStr">
        <is>
          <t>Dress Casual</t>
        </is>
      </c>
      <c r="I725" s="19" t="n">
        <v>1</v>
      </c>
      <c r="J725" s="20" t="n">
        <v>225000</v>
      </c>
      <c r="K725" s="20" t="n">
        <v>225000</v>
      </c>
      <c r="L725" s="10">
        <f>IF($B725="","",TEXT($B725,"YYYY-MM"))</f>
        <v/>
      </c>
    </row>
    <row r="726">
      <c r="A726" s="10" t="inlineStr">
        <is>
          <t>INV-70733</t>
        </is>
      </c>
      <c r="B726" s="18" t="n">
        <v>45911</v>
      </c>
      <c r="C726" s="10" t="inlineStr">
        <is>
          <t>C1207</t>
        </is>
      </c>
      <c r="D726" s="10" t="inlineStr">
        <is>
          <t>loyal</t>
        </is>
      </c>
      <c r="E726" s="10" t="inlineStr">
        <is>
          <t>TikTok Shop</t>
        </is>
      </c>
      <c r="F726" s="10" t="inlineStr">
        <is>
          <t>Jabodetabek</t>
        </is>
      </c>
      <c r="G726" s="10" t="inlineStr">
        <is>
          <t>Elektronik</t>
        </is>
      </c>
      <c r="H726" s="10" t="inlineStr">
        <is>
          <t>Smartwatch</t>
        </is>
      </c>
      <c r="I726" s="19" t="n">
        <v>2</v>
      </c>
      <c r="J726" s="20" t="n">
        <v>450000</v>
      </c>
      <c r="K726" s="20" t="n">
        <v>900000</v>
      </c>
      <c r="L726" s="10">
        <f>IF($B726="","",TEXT($B726,"YYYY-MM"))</f>
        <v/>
      </c>
    </row>
    <row r="727">
      <c r="A727" s="10" t="inlineStr">
        <is>
          <t>INV-71236</t>
        </is>
      </c>
      <c r="B727" s="18" t="n">
        <v>45911</v>
      </c>
      <c r="C727" s="10" t="inlineStr">
        <is>
          <t>C1349</t>
        </is>
      </c>
      <c r="D727" s="10" t="inlineStr">
        <is>
          <t>champion</t>
        </is>
      </c>
      <c r="E727" s="10" t="inlineStr">
        <is>
          <t>Shopee</t>
        </is>
      </c>
      <c r="F727" s="10" t="inlineStr">
        <is>
          <t>Jabodetabek</t>
        </is>
      </c>
      <c r="G727" s="10" t="inlineStr">
        <is>
          <t>Rumah Tangga</t>
        </is>
      </c>
      <c r="H727" s="10" t="inlineStr">
        <is>
          <t>Set Wadah Kedap</t>
        </is>
      </c>
      <c r="I727" s="19" t="n">
        <v>1</v>
      </c>
      <c r="J727" s="20" t="n">
        <v>135000</v>
      </c>
      <c r="K727" s="20" t="n">
        <v>135000</v>
      </c>
      <c r="L727" s="10">
        <f>IF($B727="","",TEXT($B727,"YYYY-MM"))</f>
        <v/>
      </c>
    </row>
    <row r="728">
      <c r="A728" s="10" t="inlineStr">
        <is>
          <t>INV-70031</t>
        </is>
      </c>
      <c r="B728" s="18" t="n">
        <v>45912</v>
      </c>
      <c r="C728" s="10" t="inlineStr">
        <is>
          <t>C1006</t>
        </is>
      </c>
      <c r="D728" s="10" t="inlineStr">
        <is>
          <t>regular</t>
        </is>
      </c>
      <c r="E728" s="10" t="inlineStr">
        <is>
          <t>Offline Store</t>
        </is>
      </c>
      <c r="F728" s="10" t="inlineStr">
        <is>
          <t>Jawa Timur</t>
        </is>
      </c>
      <c r="G728" s="10" t="inlineStr">
        <is>
          <t>Rumah Tangga</t>
        </is>
      </c>
      <c r="H728" s="10" t="inlineStr">
        <is>
          <t>Set Wadah Kedap</t>
        </is>
      </c>
      <c r="I728" s="19" t="n">
        <v>1</v>
      </c>
      <c r="J728" s="20" t="n">
        <v>135000</v>
      </c>
      <c r="K728" s="20" t="n">
        <v>135000</v>
      </c>
      <c r="L728" s="10">
        <f>IF($B728="","",TEXT($B728,"YYYY-MM"))</f>
        <v/>
      </c>
    </row>
    <row r="729">
      <c r="A729" s="10" t="inlineStr">
        <is>
          <t>INV-70231</t>
        </is>
      </c>
      <c r="B729" s="18" t="n">
        <v>45913</v>
      </c>
      <c r="C729" s="10" t="inlineStr">
        <is>
          <t>C1065</t>
        </is>
      </c>
      <c r="D729" s="10" t="inlineStr">
        <is>
          <t>occasional</t>
        </is>
      </c>
      <c r="E729" s="10" t="inlineStr">
        <is>
          <t>TikTok Shop</t>
        </is>
      </c>
      <c r="F729" s="10" t="inlineStr">
        <is>
          <t>Jabodetabek</t>
        </is>
      </c>
      <c r="G729" s="10" t="inlineStr">
        <is>
          <t>Kecantikan</t>
        </is>
      </c>
      <c r="H729" s="10" t="inlineStr">
        <is>
          <t>Masker Wajah (5s)</t>
        </is>
      </c>
      <c r="I729" s="19" t="n">
        <v>4</v>
      </c>
      <c r="J729" s="20" t="n">
        <v>55000</v>
      </c>
      <c r="K729" s="20" t="n">
        <v>220000</v>
      </c>
      <c r="L729" s="10">
        <f>IF($B729="","",TEXT($B729,"YYYY-MM"))</f>
        <v/>
      </c>
    </row>
    <row r="730">
      <c r="A730" s="10" t="inlineStr">
        <is>
          <t>INV-70284</t>
        </is>
      </c>
      <c r="B730" s="18" t="n">
        <v>45914</v>
      </c>
      <c r="C730" s="10" t="inlineStr">
        <is>
          <t>C1080</t>
        </is>
      </c>
      <c r="D730" s="10" t="inlineStr">
        <is>
          <t>regular</t>
        </is>
      </c>
      <c r="E730" s="10" t="inlineStr">
        <is>
          <t>TikTok Shop</t>
        </is>
      </c>
      <c r="F730" s="10" t="inlineStr">
        <is>
          <t>Jawa Barat</t>
        </is>
      </c>
      <c r="G730" s="10" t="inlineStr">
        <is>
          <t>Rumah Tangga</t>
        </is>
      </c>
      <c r="H730" s="10" t="inlineStr">
        <is>
          <t>Set Wadah Kedap</t>
        </is>
      </c>
      <c r="I730" s="19" t="n">
        <v>1</v>
      </c>
      <c r="J730" s="20" t="n">
        <v>135000</v>
      </c>
      <c r="K730" s="20" t="n">
        <v>135000</v>
      </c>
      <c r="L730" s="10">
        <f>IF($B730="","",TEXT($B730,"YYYY-MM"))</f>
        <v/>
      </c>
    </row>
    <row r="731">
      <c r="A731" s="10" t="inlineStr">
        <is>
          <t>INV-71348</t>
        </is>
      </c>
      <c r="B731" s="18" t="n">
        <v>45914</v>
      </c>
      <c r="C731" s="10" t="inlineStr">
        <is>
          <t>C1371</t>
        </is>
      </c>
      <c r="D731" s="10" t="inlineStr">
        <is>
          <t>regular</t>
        </is>
      </c>
      <c r="E731" s="10" t="inlineStr">
        <is>
          <t>TikTok Shop</t>
        </is>
      </c>
      <c r="F731" s="10" t="inlineStr">
        <is>
          <t>Sumatera</t>
        </is>
      </c>
      <c r="G731" s="10" t="inlineStr">
        <is>
          <t>Elektronik</t>
        </is>
      </c>
      <c r="H731" s="10" t="inlineStr">
        <is>
          <t>Smartwatch</t>
        </is>
      </c>
      <c r="I731" s="19" t="n">
        <v>2</v>
      </c>
      <c r="J731" s="20" t="n">
        <v>450000</v>
      </c>
      <c r="K731" s="20" t="n">
        <v>900000</v>
      </c>
      <c r="L731" s="10">
        <f>IF($B731="","",TEXT($B731,"YYYY-MM"))</f>
        <v/>
      </c>
    </row>
    <row r="732">
      <c r="A732" s="10" t="inlineStr">
        <is>
          <t>INV-71471</t>
        </is>
      </c>
      <c r="B732" s="18" t="n">
        <v>45914</v>
      </c>
      <c r="C732" s="10" t="inlineStr">
        <is>
          <t>C1406</t>
        </is>
      </c>
      <c r="D732" s="10" t="inlineStr">
        <is>
          <t>regular</t>
        </is>
      </c>
      <c r="E732" s="10" t="inlineStr">
        <is>
          <t>TikTok Shop</t>
        </is>
      </c>
      <c r="F732" s="10" t="inlineStr">
        <is>
          <t>Jawa Tengah</t>
        </is>
      </c>
      <c r="G732" s="10" t="inlineStr">
        <is>
          <t>Fashion</t>
        </is>
      </c>
      <c r="H732" s="10" t="inlineStr">
        <is>
          <t>Kemeja Linen</t>
        </is>
      </c>
      <c r="I732" s="19" t="n">
        <v>1</v>
      </c>
      <c r="J732" s="20" t="n">
        <v>185000</v>
      </c>
      <c r="K732" s="20" t="n">
        <v>185000</v>
      </c>
      <c r="L732" s="10">
        <f>IF($B732="","",TEXT($B732,"YYYY-MM"))</f>
        <v/>
      </c>
    </row>
    <row r="733">
      <c r="A733" s="10" t="inlineStr">
        <is>
          <t>INV-70067</t>
        </is>
      </c>
      <c r="B733" s="18" t="n">
        <v>45915</v>
      </c>
      <c r="C733" s="10" t="inlineStr">
        <is>
          <t>C1020</t>
        </is>
      </c>
      <c r="D733" s="10" t="inlineStr">
        <is>
          <t>onetime</t>
        </is>
      </c>
      <c r="E733" s="10" t="inlineStr">
        <is>
          <t>Shopee</t>
        </is>
      </c>
      <c r="F733" s="10" t="inlineStr">
        <is>
          <t>Jawa Tengah</t>
        </is>
      </c>
      <c r="G733" s="10" t="inlineStr">
        <is>
          <t>Rumah Tangga</t>
        </is>
      </c>
      <c r="H733" s="10" t="inlineStr">
        <is>
          <t>Organizer Laci</t>
        </is>
      </c>
      <c r="I733" s="19" t="n">
        <v>2</v>
      </c>
      <c r="J733" s="20" t="n">
        <v>78000</v>
      </c>
      <c r="K733" s="20" t="n">
        <v>156000</v>
      </c>
      <c r="L733" s="10">
        <f>IF($B733="","",TEXT($B733,"YYYY-MM"))</f>
        <v/>
      </c>
    </row>
    <row r="734">
      <c r="A734" s="10" t="inlineStr">
        <is>
          <t>INV-70441</t>
        </is>
      </c>
      <c r="B734" s="18" t="n">
        <v>45915</v>
      </c>
      <c r="C734" s="10" t="inlineStr">
        <is>
          <t>C1124</t>
        </is>
      </c>
      <c r="D734" s="10" t="inlineStr">
        <is>
          <t>onetime</t>
        </is>
      </c>
      <c r="E734" s="10" t="inlineStr">
        <is>
          <t>Offline Store</t>
        </is>
      </c>
      <c r="F734" s="10" t="inlineStr">
        <is>
          <t>Jabodetabek</t>
        </is>
      </c>
      <c r="G734" s="10" t="inlineStr">
        <is>
          <t>Kecantikan</t>
        </is>
      </c>
      <c r="H734" s="10" t="inlineStr">
        <is>
          <t>Serum Vit C</t>
        </is>
      </c>
      <c r="I734" s="19" t="n">
        <v>2</v>
      </c>
      <c r="J734" s="20" t="n">
        <v>145000</v>
      </c>
      <c r="K734" s="20" t="n">
        <v>290000</v>
      </c>
      <c r="L734" s="10">
        <f>IF($B734="","",TEXT($B734,"YYYY-MM"))</f>
        <v/>
      </c>
    </row>
    <row r="735">
      <c r="A735" s="10" t="inlineStr">
        <is>
          <t>INV-70611</t>
        </is>
      </c>
      <c r="B735" s="18" t="n">
        <v>45915</v>
      </c>
      <c r="C735" s="10" t="inlineStr">
        <is>
          <t>C1165</t>
        </is>
      </c>
      <c r="D735" s="10" t="inlineStr">
        <is>
          <t>regular</t>
        </is>
      </c>
      <c r="E735" s="10" t="inlineStr">
        <is>
          <t>Offline Store</t>
        </is>
      </c>
      <c r="F735" s="10" t="inlineStr">
        <is>
          <t>Jabodetabek</t>
        </is>
      </c>
      <c r="G735" s="10" t="inlineStr">
        <is>
          <t>Fashion</t>
        </is>
      </c>
      <c r="H735" s="10" t="inlineStr">
        <is>
          <t>Dress Casual</t>
        </is>
      </c>
      <c r="I735" s="19" t="n">
        <v>3</v>
      </c>
      <c r="J735" s="20" t="n">
        <v>225000</v>
      </c>
      <c r="K735" s="20" t="n">
        <v>675000</v>
      </c>
      <c r="L735" s="10">
        <f>IF($B735="","",TEXT($B735,"YYYY-MM"))</f>
        <v/>
      </c>
    </row>
    <row r="736">
      <c r="A736" s="10" t="inlineStr">
        <is>
          <t>INV-70535</t>
        </is>
      </c>
      <c r="B736" s="18" t="n">
        <v>45915</v>
      </c>
      <c r="C736" s="10" t="inlineStr">
        <is>
          <t>C1147</t>
        </is>
      </c>
      <c r="D736" s="10" t="inlineStr">
        <is>
          <t>regular</t>
        </is>
      </c>
      <c r="E736" s="10" t="inlineStr">
        <is>
          <t>Shopee</t>
        </is>
      </c>
      <c r="F736" s="10" t="inlineStr">
        <is>
          <t>Jawa Tengah</t>
        </is>
      </c>
      <c r="G736" s="10" t="inlineStr">
        <is>
          <t>Fashion</t>
        </is>
      </c>
      <c r="H736" s="10" t="inlineStr">
        <is>
          <t>Kemeja Linen</t>
        </is>
      </c>
      <c r="I736" s="19" t="n">
        <v>1</v>
      </c>
      <c r="J736" s="20" t="n">
        <v>185000</v>
      </c>
      <c r="K736" s="20" t="n">
        <v>185000</v>
      </c>
      <c r="L736" s="10">
        <f>IF($B736="","",TEXT($B736,"YYYY-MM"))</f>
        <v/>
      </c>
    </row>
    <row r="737">
      <c r="A737" s="10" t="inlineStr">
        <is>
          <t>INV-70862</t>
        </is>
      </c>
      <c r="B737" s="18" t="n">
        <v>45915</v>
      </c>
      <c r="C737" s="10" t="inlineStr">
        <is>
          <t>C1243</t>
        </is>
      </c>
      <c r="D737" s="10" t="inlineStr">
        <is>
          <t>occasional</t>
        </is>
      </c>
      <c r="E737" s="10" t="inlineStr">
        <is>
          <t>Shopee</t>
        </is>
      </c>
      <c r="F737" s="10" t="inlineStr">
        <is>
          <t>Jabodetabek</t>
        </is>
      </c>
      <c r="G737" s="10" t="inlineStr">
        <is>
          <t>Rumah Tangga</t>
        </is>
      </c>
      <c r="H737" s="10" t="inlineStr">
        <is>
          <t>Organizer Laci</t>
        </is>
      </c>
      <c r="I737" s="19" t="n">
        <v>3</v>
      </c>
      <c r="J737" s="20" t="n">
        <v>78000</v>
      </c>
      <c r="K737" s="20" t="n">
        <v>234000</v>
      </c>
      <c r="L737" s="10">
        <f>IF($B737="","",TEXT($B737,"YYYY-MM"))</f>
        <v/>
      </c>
    </row>
    <row r="738">
      <c r="A738" s="10" t="inlineStr">
        <is>
          <t>INV-71436</t>
        </is>
      </c>
      <c r="B738" s="18" t="n">
        <v>45916</v>
      </c>
      <c r="C738" s="10" t="inlineStr">
        <is>
          <t>C1396</t>
        </is>
      </c>
      <c r="D738" s="10" t="inlineStr">
        <is>
          <t>loyal</t>
        </is>
      </c>
      <c r="E738" s="10" t="inlineStr">
        <is>
          <t>Shopee</t>
        </is>
      </c>
      <c r="F738" s="10" t="inlineStr">
        <is>
          <t>Jawa Barat</t>
        </is>
      </c>
      <c r="G738" s="10" t="inlineStr">
        <is>
          <t>Rumah Tangga</t>
        </is>
      </c>
      <c r="H738" s="10" t="inlineStr">
        <is>
          <t>Set Wadah Kedap</t>
        </is>
      </c>
      <c r="I738" s="19" t="n">
        <v>2</v>
      </c>
      <c r="J738" s="20" t="n">
        <v>135000</v>
      </c>
      <c r="K738" s="20" t="n">
        <v>270000</v>
      </c>
      <c r="L738" s="10">
        <f>IF($B738="","",TEXT($B738,"YYYY-MM"))</f>
        <v/>
      </c>
    </row>
    <row r="739">
      <c r="A739" s="10" t="inlineStr">
        <is>
          <t>INV-70863</t>
        </is>
      </c>
      <c r="B739" s="18" t="n">
        <v>45916</v>
      </c>
      <c r="C739" s="10" t="inlineStr">
        <is>
          <t>C1243</t>
        </is>
      </c>
      <c r="D739" s="10" t="inlineStr">
        <is>
          <t>occasional</t>
        </is>
      </c>
      <c r="E739" s="10" t="inlineStr">
        <is>
          <t>TikTok Shop</t>
        </is>
      </c>
      <c r="F739" s="10" t="inlineStr">
        <is>
          <t>Jabodetabek</t>
        </is>
      </c>
      <c r="G739" s="10" t="inlineStr">
        <is>
          <t>Kecantikan</t>
        </is>
      </c>
      <c r="H739" s="10" t="inlineStr">
        <is>
          <t>Masker Wajah (5s)</t>
        </is>
      </c>
      <c r="I739" s="19" t="n">
        <v>2</v>
      </c>
      <c r="J739" s="20" t="n">
        <v>55000</v>
      </c>
      <c r="K739" s="20" t="n">
        <v>110000</v>
      </c>
      <c r="L739" s="10">
        <f>IF($B739="","",TEXT($B739,"YYYY-MM"))</f>
        <v/>
      </c>
    </row>
    <row r="740">
      <c r="A740" s="10" t="inlineStr">
        <is>
          <t>INV-71125</t>
        </is>
      </c>
      <c r="B740" s="18" t="n">
        <v>45916</v>
      </c>
      <c r="C740" s="10" t="inlineStr">
        <is>
          <t>C1316</t>
        </is>
      </c>
      <c r="D740" s="10" t="inlineStr">
        <is>
          <t>occasional</t>
        </is>
      </c>
      <c r="E740" s="10" t="inlineStr">
        <is>
          <t>Shopee</t>
        </is>
      </c>
      <c r="F740" s="10" t="inlineStr">
        <is>
          <t>Sumatera</t>
        </is>
      </c>
      <c r="G740" s="10" t="inlineStr">
        <is>
          <t>Elektronik</t>
        </is>
      </c>
      <c r="H740" s="10" t="inlineStr">
        <is>
          <t>Power Bank 20K</t>
        </is>
      </c>
      <c r="I740" s="19" t="n">
        <v>1</v>
      </c>
      <c r="J740" s="20" t="n">
        <v>185000</v>
      </c>
      <c r="K740" s="20" t="n">
        <v>185000</v>
      </c>
      <c r="L740" s="10">
        <f>IF($B740="","",TEXT($B740,"YYYY-MM"))</f>
        <v/>
      </c>
    </row>
    <row r="741">
      <c r="A741" s="10" t="inlineStr">
        <is>
          <t>INV-70543</t>
        </is>
      </c>
      <c r="B741" s="18" t="n">
        <v>45916</v>
      </c>
      <c r="C741" s="10" t="inlineStr">
        <is>
          <t>C1150</t>
        </is>
      </c>
      <c r="D741" s="10" t="inlineStr">
        <is>
          <t>champion</t>
        </is>
      </c>
      <c r="E741" s="10" t="inlineStr">
        <is>
          <t>TikTok Shop</t>
        </is>
      </c>
      <c r="F741" s="10" t="inlineStr">
        <is>
          <t>Jawa Tengah</t>
        </is>
      </c>
      <c r="G741" s="10" t="inlineStr">
        <is>
          <t>Fashion</t>
        </is>
      </c>
      <c r="H741" s="10" t="inlineStr">
        <is>
          <t>Celana Chino</t>
        </is>
      </c>
      <c r="I741" s="19" t="n">
        <v>3</v>
      </c>
      <c r="J741" s="20" t="n">
        <v>195000</v>
      </c>
      <c r="K741" s="20" t="n">
        <v>585000</v>
      </c>
      <c r="L741" s="10">
        <f>IF($B741="","",TEXT($B741,"YYYY-MM"))</f>
        <v/>
      </c>
    </row>
    <row r="742">
      <c r="A742" s="10" t="inlineStr">
        <is>
          <t>INV-70583</t>
        </is>
      </c>
      <c r="B742" s="18" t="n">
        <v>45917</v>
      </c>
      <c r="C742" s="10" t="inlineStr">
        <is>
          <t>C1157</t>
        </is>
      </c>
      <c r="D742" s="10" t="inlineStr">
        <is>
          <t>loyal</t>
        </is>
      </c>
      <c r="E742" s="10" t="inlineStr">
        <is>
          <t>Offline Store</t>
        </is>
      </c>
      <c r="F742" s="10" t="inlineStr">
        <is>
          <t>Sumatera</t>
        </is>
      </c>
      <c r="G742" s="10" t="inlineStr">
        <is>
          <t>Rumah Tangga</t>
        </is>
      </c>
      <c r="H742" s="10" t="inlineStr">
        <is>
          <t>Organizer Laci</t>
        </is>
      </c>
      <c r="I742" s="19" t="n">
        <v>1</v>
      </c>
      <c r="J742" s="20" t="n">
        <v>78000</v>
      </c>
      <c r="K742" s="20" t="n">
        <v>78000</v>
      </c>
      <c r="L742" s="10">
        <f>IF($B742="","",TEXT($B742,"YYYY-MM"))</f>
        <v/>
      </c>
    </row>
    <row r="743">
      <c r="A743" s="10" t="inlineStr">
        <is>
          <t>INV-70150</t>
        </is>
      </c>
      <c r="B743" s="18" t="n">
        <v>45918</v>
      </c>
      <c r="C743" s="10" t="inlineStr">
        <is>
          <t>C1044</t>
        </is>
      </c>
      <c r="D743" s="10" t="inlineStr">
        <is>
          <t>regular</t>
        </is>
      </c>
      <c r="E743" s="10" t="inlineStr">
        <is>
          <t>Tokopedia</t>
        </is>
      </c>
      <c r="F743" s="10" t="inlineStr">
        <is>
          <t>Jabodetabek</t>
        </is>
      </c>
      <c r="G743" s="10" t="inlineStr">
        <is>
          <t>Rumah Tangga</t>
        </is>
      </c>
      <c r="H743" s="10" t="inlineStr">
        <is>
          <t>Set Wadah Kedap</t>
        </is>
      </c>
      <c r="I743" s="19" t="n">
        <v>4</v>
      </c>
      <c r="J743" s="20" t="n">
        <v>135000</v>
      </c>
      <c r="K743" s="20" t="n">
        <v>540000</v>
      </c>
      <c r="L743" s="10">
        <f>IF($B743="","",TEXT($B743,"YYYY-MM"))</f>
        <v/>
      </c>
    </row>
    <row r="744">
      <c r="A744" s="10" t="inlineStr">
        <is>
          <t>INV-70099</t>
        </is>
      </c>
      <c r="B744" s="18" t="n">
        <v>45918</v>
      </c>
      <c r="C744" s="10" t="inlineStr">
        <is>
          <t>C1029</t>
        </is>
      </c>
      <c r="D744" s="10" t="inlineStr">
        <is>
          <t>champion</t>
        </is>
      </c>
      <c r="E744" s="10" t="inlineStr">
        <is>
          <t>TikTok Shop</t>
        </is>
      </c>
      <c r="F744" s="10" t="inlineStr">
        <is>
          <t>Sumatera</t>
        </is>
      </c>
      <c r="G744" s="10" t="inlineStr">
        <is>
          <t>Rumah Tangga</t>
        </is>
      </c>
      <c r="H744" s="10" t="inlineStr">
        <is>
          <t>Set Wadah Kedap</t>
        </is>
      </c>
      <c r="I744" s="19" t="n">
        <v>1</v>
      </c>
      <c r="J744" s="20" t="n">
        <v>135000</v>
      </c>
      <c r="K744" s="20" t="n">
        <v>135000</v>
      </c>
      <c r="L744" s="10">
        <f>IF($B744="","",TEXT($B744,"YYYY-MM"))</f>
        <v/>
      </c>
    </row>
    <row r="745">
      <c r="A745" s="10" t="inlineStr">
        <is>
          <t>INV-71121</t>
        </is>
      </c>
      <c r="B745" s="18" t="n">
        <v>45918</v>
      </c>
      <c r="C745" s="10" t="inlineStr">
        <is>
          <t>C1314</t>
        </is>
      </c>
      <c r="D745" s="10" t="inlineStr">
        <is>
          <t>occasional</t>
        </is>
      </c>
      <c r="E745" s="10" t="inlineStr">
        <is>
          <t>TikTok Shop</t>
        </is>
      </c>
      <c r="F745" s="10" t="inlineStr">
        <is>
          <t>Jawa Tengah</t>
        </is>
      </c>
      <c r="G745" s="10" t="inlineStr">
        <is>
          <t>Rumah Tangga</t>
        </is>
      </c>
      <c r="H745" s="10" t="inlineStr">
        <is>
          <t>Set Wadah Kedap</t>
        </is>
      </c>
      <c r="I745" s="19" t="n">
        <v>1</v>
      </c>
      <c r="J745" s="20" t="n">
        <v>135000</v>
      </c>
      <c r="K745" s="20" t="n">
        <v>135000</v>
      </c>
      <c r="L745" s="10">
        <f>IF($B745="","",TEXT($B745,"YYYY-MM"))</f>
        <v/>
      </c>
    </row>
    <row r="746">
      <c r="A746" s="10" t="inlineStr">
        <is>
          <t>INV-70782</t>
        </is>
      </c>
      <c r="B746" s="18" t="n">
        <v>45918</v>
      </c>
      <c r="C746" s="10" t="inlineStr">
        <is>
          <t>C1220</t>
        </is>
      </c>
      <c r="D746" s="10" t="inlineStr">
        <is>
          <t>loyal</t>
        </is>
      </c>
      <c r="E746" s="10" t="inlineStr">
        <is>
          <t>Shopee</t>
        </is>
      </c>
      <c r="F746" s="10" t="inlineStr">
        <is>
          <t>Jabodetabek</t>
        </is>
      </c>
      <c r="G746" s="10" t="inlineStr">
        <is>
          <t>Fashion</t>
        </is>
      </c>
      <c r="H746" s="10" t="inlineStr">
        <is>
          <t>Celana Chino</t>
        </is>
      </c>
      <c r="I746" s="19" t="n">
        <v>2</v>
      </c>
      <c r="J746" s="20" t="n">
        <v>195000</v>
      </c>
      <c r="K746" s="20" t="n">
        <v>390000</v>
      </c>
      <c r="L746" s="10">
        <f>IF($B746="","",TEXT($B746,"YYYY-MM"))</f>
        <v/>
      </c>
    </row>
    <row r="747">
      <c r="A747" s="10" t="inlineStr">
        <is>
          <t>INV-70053</t>
        </is>
      </c>
      <c r="B747" s="18" t="n">
        <v>45918</v>
      </c>
      <c r="C747" s="10" t="inlineStr">
        <is>
          <t>C1013</t>
        </is>
      </c>
      <c r="D747" s="10" t="inlineStr">
        <is>
          <t>regular</t>
        </is>
      </c>
      <c r="E747" s="10" t="inlineStr">
        <is>
          <t>Shopee</t>
        </is>
      </c>
      <c r="F747" s="10" t="inlineStr">
        <is>
          <t>Jawa Tengah</t>
        </is>
      </c>
      <c r="G747" s="10" t="inlineStr">
        <is>
          <t>Makanan</t>
        </is>
      </c>
      <c r="H747" s="10" t="inlineStr">
        <is>
          <t>Granola 500g</t>
        </is>
      </c>
      <c r="I747" s="19" t="n">
        <v>2</v>
      </c>
      <c r="J747" s="20" t="n">
        <v>92000</v>
      </c>
      <c r="K747" s="20" t="n">
        <v>184000</v>
      </c>
      <c r="L747" s="10">
        <f>IF($B747="","",TEXT($B747,"YYYY-MM"))</f>
        <v/>
      </c>
    </row>
    <row r="748">
      <c r="A748" s="10" t="inlineStr">
        <is>
          <t>INV-71308</t>
        </is>
      </c>
      <c r="B748" s="18" t="n">
        <v>45918</v>
      </c>
      <c r="C748" s="10" t="inlineStr">
        <is>
          <t>C1362</t>
        </is>
      </c>
      <c r="D748" s="10" t="inlineStr">
        <is>
          <t>occasional</t>
        </is>
      </c>
      <c r="E748" s="10" t="inlineStr">
        <is>
          <t>Tokopedia</t>
        </is>
      </c>
      <c r="F748" s="10" t="inlineStr">
        <is>
          <t>Jabodetabek</t>
        </is>
      </c>
      <c r="G748" s="10" t="inlineStr">
        <is>
          <t>Fashion</t>
        </is>
      </c>
      <c r="H748" s="10" t="inlineStr">
        <is>
          <t>Kemeja Linen</t>
        </is>
      </c>
      <c r="I748" s="19" t="n">
        <v>3</v>
      </c>
      <c r="J748" s="20" t="n">
        <v>185000</v>
      </c>
      <c r="K748" s="20" t="n">
        <v>555000</v>
      </c>
      <c r="L748" s="10">
        <f>IF($B748="","",TEXT($B748,"YYYY-MM"))</f>
        <v/>
      </c>
    </row>
    <row r="749">
      <c r="A749" s="10" t="inlineStr">
        <is>
          <t>INV-71204</t>
        </is>
      </c>
      <c r="B749" s="18" t="n">
        <v>45918</v>
      </c>
      <c r="C749" s="10" t="inlineStr">
        <is>
          <t>C1341</t>
        </is>
      </c>
      <c r="D749" s="10" t="inlineStr">
        <is>
          <t>regular</t>
        </is>
      </c>
      <c r="E749" s="10" t="inlineStr">
        <is>
          <t>Shopee</t>
        </is>
      </c>
      <c r="F749" s="10" t="inlineStr">
        <is>
          <t>Sumatera</t>
        </is>
      </c>
      <c r="G749" s="10" t="inlineStr">
        <is>
          <t>Kecantikan</t>
        </is>
      </c>
      <c r="H749" s="10" t="inlineStr">
        <is>
          <t>Serum Vit C</t>
        </is>
      </c>
      <c r="I749" s="19" t="n">
        <v>3</v>
      </c>
      <c r="J749" s="20" t="n">
        <v>145000</v>
      </c>
      <c r="K749" s="20" t="n">
        <v>435000</v>
      </c>
      <c r="L749" s="10">
        <f>IF($B749="","",TEXT($B749,"YYYY-MM"))</f>
        <v/>
      </c>
    </row>
    <row r="750">
      <c r="A750" s="10" t="inlineStr">
        <is>
          <t>INV-70091</t>
        </is>
      </c>
      <c r="B750" s="18" t="n">
        <v>45919</v>
      </c>
      <c r="C750" s="10" t="inlineStr">
        <is>
          <t>C1027</t>
        </is>
      </c>
      <c r="D750" s="10" t="inlineStr">
        <is>
          <t>occasional</t>
        </is>
      </c>
      <c r="E750" s="10" t="inlineStr">
        <is>
          <t>Offline Store</t>
        </is>
      </c>
      <c r="F750" s="10" t="inlineStr">
        <is>
          <t>Sumatera</t>
        </is>
      </c>
      <c r="G750" s="10" t="inlineStr">
        <is>
          <t>Kecantikan</t>
        </is>
      </c>
      <c r="H750" s="10" t="inlineStr">
        <is>
          <t>Masker Wajah (5s)</t>
        </is>
      </c>
      <c r="I750" s="19" t="n">
        <v>2</v>
      </c>
      <c r="J750" s="20" t="n">
        <v>55000</v>
      </c>
      <c r="K750" s="20" t="n">
        <v>110000</v>
      </c>
      <c r="L750" s="10">
        <f>IF($B750="","",TEXT($B750,"YYYY-MM"))</f>
        <v/>
      </c>
    </row>
    <row r="751">
      <c r="A751" s="10" t="inlineStr">
        <is>
          <t>INV-70812</t>
        </is>
      </c>
      <c r="B751" s="18" t="n">
        <v>45919</v>
      </c>
      <c r="C751" s="10" t="inlineStr">
        <is>
          <t>C1229</t>
        </is>
      </c>
      <c r="D751" s="10" t="inlineStr">
        <is>
          <t>occasional</t>
        </is>
      </c>
      <c r="E751" s="10" t="inlineStr">
        <is>
          <t>Shopee</t>
        </is>
      </c>
      <c r="F751" s="10" t="inlineStr">
        <is>
          <t>Jabodetabek</t>
        </is>
      </c>
      <c r="G751" s="10" t="inlineStr">
        <is>
          <t>Elektronik</t>
        </is>
      </c>
      <c r="H751" s="10" t="inlineStr">
        <is>
          <t>Webcam HD</t>
        </is>
      </c>
      <c r="I751" s="19" t="n">
        <v>2</v>
      </c>
      <c r="J751" s="20" t="n">
        <v>210000</v>
      </c>
      <c r="K751" s="20" t="n">
        <v>420000</v>
      </c>
      <c r="L751" s="10">
        <f>IF($B751="","",TEXT($B751,"YYYY-MM"))</f>
        <v/>
      </c>
    </row>
    <row r="752">
      <c r="A752" s="10" t="inlineStr">
        <is>
          <t>INV-70509</t>
        </is>
      </c>
      <c r="B752" s="18" t="n">
        <v>45919</v>
      </c>
      <c r="C752" s="10" t="inlineStr">
        <is>
          <t>C1142</t>
        </is>
      </c>
      <c r="D752" s="10" t="inlineStr">
        <is>
          <t>champion</t>
        </is>
      </c>
      <c r="E752" s="10" t="inlineStr">
        <is>
          <t>Tokopedia</t>
        </is>
      </c>
      <c r="F752" s="10" t="inlineStr">
        <is>
          <t>Jawa Timur</t>
        </is>
      </c>
      <c r="G752" s="10" t="inlineStr">
        <is>
          <t>Elektronik</t>
        </is>
      </c>
      <c r="H752" s="10" t="inlineStr">
        <is>
          <t>Power Bank 20K</t>
        </is>
      </c>
      <c r="I752" s="19" t="n">
        <v>4</v>
      </c>
      <c r="J752" s="20" t="n">
        <v>185000</v>
      </c>
      <c r="K752" s="20" t="n">
        <v>740000</v>
      </c>
      <c r="L752" s="10">
        <f>IF($B752="","",TEXT($B752,"YYYY-MM"))</f>
        <v/>
      </c>
    </row>
    <row r="753">
      <c r="A753" s="10" t="inlineStr">
        <is>
          <t>INV-70600</t>
        </is>
      </c>
      <c r="B753" s="18" t="n">
        <v>45919</v>
      </c>
      <c r="C753" s="10" t="inlineStr">
        <is>
          <t>C1161</t>
        </is>
      </c>
      <c r="D753" s="10" t="inlineStr">
        <is>
          <t>champion</t>
        </is>
      </c>
      <c r="E753" s="10" t="inlineStr">
        <is>
          <t>Shopee</t>
        </is>
      </c>
      <c r="F753" s="10" t="inlineStr">
        <is>
          <t>Jabodetabek</t>
        </is>
      </c>
      <c r="G753" s="10" t="inlineStr">
        <is>
          <t>Rumah Tangga</t>
        </is>
      </c>
      <c r="H753" s="10" t="inlineStr">
        <is>
          <t>Set Wadah Kedap</t>
        </is>
      </c>
      <c r="I753" s="19" t="n">
        <v>1</v>
      </c>
      <c r="J753" s="20" t="n">
        <v>135000</v>
      </c>
      <c r="K753" s="20" t="n">
        <v>135000</v>
      </c>
      <c r="L753" s="10">
        <f>IF($B753="","",TEXT($B753,"YYYY-MM"))</f>
        <v/>
      </c>
    </row>
    <row r="754">
      <c r="A754" s="10" t="inlineStr">
        <is>
          <t>INV-70356</t>
        </is>
      </c>
      <c r="B754" s="18" t="n">
        <v>45919</v>
      </c>
      <c r="C754" s="10" t="inlineStr">
        <is>
          <t>C1097</t>
        </is>
      </c>
      <c r="D754" s="10" t="inlineStr">
        <is>
          <t>regular</t>
        </is>
      </c>
      <c r="E754" s="10" t="inlineStr">
        <is>
          <t>Shopee</t>
        </is>
      </c>
      <c r="F754" s="10" t="inlineStr">
        <is>
          <t>Jabodetabek</t>
        </is>
      </c>
      <c r="G754" s="10" t="inlineStr">
        <is>
          <t>Rumah Tangga</t>
        </is>
      </c>
      <c r="H754" s="10" t="inlineStr">
        <is>
          <t>Set Wadah Kedap</t>
        </is>
      </c>
      <c r="I754" s="19" t="n">
        <v>1</v>
      </c>
      <c r="J754" s="20" t="n">
        <v>135000</v>
      </c>
      <c r="K754" s="20" t="n">
        <v>135000</v>
      </c>
      <c r="L754" s="10">
        <f>IF($B754="","",TEXT($B754,"YYYY-MM"))</f>
        <v/>
      </c>
    </row>
    <row r="755">
      <c r="A755" s="10" t="inlineStr">
        <is>
          <t>INV-70970</t>
        </is>
      </c>
      <c r="B755" s="18" t="n">
        <v>45919</v>
      </c>
      <c r="C755" s="10" t="inlineStr">
        <is>
          <t>C1278</t>
        </is>
      </c>
      <c r="D755" s="10" t="inlineStr">
        <is>
          <t>occasional</t>
        </is>
      </c>
      <c r="E755" s="10" t="inlineStr">
        <is>
          <t>Shopee</t>
        </is>
      </c>
      <c r="F755" s="10" t="inlineStr">
        <is>
          <t>Jawa Timur</t>
        </is>
      </c>
      <c r="G755" s="10" t="inlineStr">
        <is>
          <t>Makanan</t>
        </is>
      </c>
      <c r="H755" s="10" t="inlineStr">
        <is>
          <t>Granola 500g</t>
        </is>
      </c>
      <c r="I755" s="19" t="n">
        <v>1</v>
      </c>
      <c r="J755" s="20" t="n">
        <v>92000</v>
      </c>
      <c r="K755" s="20" t="n">
        <v>92000</v>
      </c>
      <c r="L755" s="10">
        <f>IF($B755="","",TEXT($B755,"YYYY-MM"))</f>
        <v/>
      </c>
    </row>
    <row r="756">
      <c r="A756" s="10" t="inlineStr">
        <is>
          <t>INV-70978</t>
        </is>
      </c>
      <c r="B756" s="18" t="n">
        <v>45919</v>
      </c>
      <c r="C756" s="10" t="inlineStr">
        <is>
          <t>C1280</t>
        </is>
      </c>
      <c r="D756" s="10" t="inlineStr">
        <is>
          <t>regular</t>
        </is>
      </c>
      <c r="E756" s="10" t="inlineStr">
        <is>
          <t>TikTok Shop</t>
        </is>
      </c>
      <c r="F756" s="10" t="inlineStr">
        <is>
          <t>Jawa Barat</t>
        </is>
      </c>
      <c r="G756" s="10" t="inlineStr">
        <is>
          <t>Fashion</t>
        </is>
      </c>
      <c r="H756" s="10" t="inlineStr">
        <is>
          <t>Dress Casual</t>
        </is>
      </c>
      <c r="I756" s="19" t="n">
        <v>1</v>
      </c>
      <c r="J756" s="20" t="n">
        <v>225000</v>
      </c>
      <c r="K756" s="20" t="n">
        <v>225000</v>
      </c>
      <c r="L756" s="10">
        <f>IF($B756="","",TEXT($B756,"YYYY-MM"))</f>
        <v/>
      </c>
    </row>
    <row r="757">
      <c r="A757" s="10" t="inlineStr">
        <is>
          <t>INV-71324</t>
        </is>
      </c>
      <c r="B757" s="18" t="n">
        <v>45920</v>
      </c>
      <c r="C757" s="10" t="inlineStr">
        <is>
          <t>C1365</t>
        </is>
      </c>
      <c r="D757" s="10" t="inlineStr">
        <is>
          <t>regular</t>
        </is>
      </c>
      <c r="E757" s="10" t="inlineStr">
        <is>
          <t>TikTok Shop</t>
        </is>
      </c>
      <c r="F757" s="10" t="inlineStr">
        <is>
          <t>Jawa Timur</t>
        </is>
      </c>
      <c r="G757" s="10" t="inlineStr">
        <is>
          <t>Rumah Tangga</t>
        </is>
      </c>
      <c r="H757" s="10" t="inlineStr">
        <is>
          <t>Organizer Laci</t>
        </is>
      </c>
      <c r="I757" s="19" t="n">
        <v>2</v>
      </c>
      <c r="J757" s="20" t="n">
        <v>78000</v>
      </c>
      <c r="K757" s="20" t="n">
        <v>156000</v>
      </c>
      <c r="L757" s="10">
        <f>IF($B757="","",TEXT($B757,"YYYY-MM"))</f>
        <v/>
      </c>
    </row>
    <row r="758">
      <c r="A758" s="10" t="inlineStr">
        <is>
          <t>INV-70616</t>
        </is>
      </c>
      <c r="B758" s="18" t="n">
        <v>45920</v>
      </c>
      <c r="C758" s="10" t="inlineStr">
        <is>
          <t>C1167</t>
        </is>
      </c>
      <c r="D758" s="10" t="inlineStr">
        <is>
          <t>occasional</t>
        </is>
      </c>
      <c r="E758" s="10" t="inlineStr">
        <is>
          <t>TikTok Shop</t>
        </is>
      </c>
      <c r="F758" s="10" t="inlineStr">
        <is>
          <t>Jawa Tengah</t>
        </is>
      </c>
      <c r="G758" s="10" t="inlineStr">
        <is>
          <t>Makanan</t>
        </is>
      </c>
      <c r="H758" s="10" t="inlineStr">
        <is>
          <t>Granola 500g</t>
        </is>
      </c>
      <c r="I758" s="19" t="n">
        <v>4</v>
      </c>
      <c r="J758" s="20" t="n">
        <v>92000</v>
      </c>
      <c r="K758" s="20" t="n">
        <v>368000</v>
      </c>
      <c r="L758" s="10">
        <f>IF($B758="","",TEXT($B758,"YYYY-MM"))</f>
        <v/>
      </c>
    </row>
    <row r="759">
      <c r="A759" s="10" t="inlineStr">
        <is>
          <t>INV-71528</t>
        </is>
      </c>
      <c r="B759" s="18" t="n">
        <v>45921</v>
      </c>
      <c r="C759" s="10" t="inlineStr">
        <is>
          <t>C1419</t>
        </is>
      </c>
      <c r="D759" s="10" t="inlineStr">
        <is>
          <t>loyal</t>
        </is>
      </c>
      <c r="E759" s="10" t="inlineStr">
        <is>
          <t>Tokopedia</t>
        </is>
      </c>
      <c r="F759" s="10" t="inlineStr">
        <is>
          <t>Lainnya</t>
        </is>
      </c>
      <c r="G759" s="10" t="inlineStr">
        <is>
          <t>Fashion</t>
        </is>
      </c>
      <c r="H759" s="10" t="inlineStr">
        <is>
          <t>Dress Casual</t>
        </is>
      </c>
      <c r="I759" s="19" t="n">
        <v>1</v>
      </c>
      <c r="J759" s="20" t="n">
        <v>225000</v>
      </c>
      <c r="K759" s="20" t="n">
        <v>225000</v>
      </c>
      <c r="L759" s="10">
        <f>IF($B759="","",TEXT($B759,"YYYY-MM"))</f>
        <v/>
      </c>
    </row>
    <row r="760">
      <c r="A760" s="10" t="inlineStr">
        <is>
          <t>INV-70560</t>
        </is>
      </c>
      <c r="B760" s="18" t="n">
        <v>45921</v>
      </c>
      <c r="C760" s="10" t="inlineStr">
        <is>
          <t>C1153</t>
        </is>
      </c>
      <c r="D760" s="10" t="inlineStr">
        <is>
          <t>loyal</t>
        </is>
      </c>
      <c r="E760" s="10" t="inlineStr">
        <is>
          <t>Shopee</t>
        </is>
      </c>
      <c r="F760" s="10" t="inlineStr">
        <is>
          <t>Sumatera</t>
        </is>
      </c>
      <c r="G760" s="10" t="inlineStr">
        <is>
          <t>Rumah Tangga</t>
        </is>
      </c>
      <c r="H760" s="10" t="inlineStr">
        <is>
          <t>Set Wadah Kedap</t>
        </is>
      </c>
      <c r="I760" s="19" t="n">
        <v>1</v>
      </c>
      <c r="J760" s="20" t="n">
        <v>135000</v>
      </c>
      <c r="K760" s="20" t="n">
        <v>135000</v>
      </c>
      <c r="L760" s="10">
        <f>IF($B760="","",TEXT($B760,"YYYY-MM"))</f>
        <v/>
      </c>
    </row>
    <row r="761">
      <c r="A761" s="10" t="inlineStr">
        <is>
          <t>INV-70057</t>
        </is>
      </c>
      <c r="B761" s="18" t="n">
        <v>45921</v>
      </c>
      <c r="C761" s="10" t="inlineStr">
        <is>
          <t>C1016</t>
        </is>
      </c>
      <c r="D761" s="10" t="inlineStr">
        <is>
          <t>regular</t>
        </is>
      </c>
      <c r="E761" s="10" t="inlineStr">
        <is>
          <t>Shopee</t>
        </is>
      </c>
      <c r="F761" s="10" t="inlineStr">
        <is>
          <t>Jawa Tengah</t>
        </is>
      </c>
      <c r="G761" s="10" t="inlineStr">
        <is>
          <t>Kecantikan</t>
        </is>
      </c>
      <c r="H761" s="10" t="inlineStr">
        <is>
          <t>Masker Wajah (5s)</t>
        </is>
      </c>
      <c r="I761" s="19" t="n">
        <v>1</v>
      </c>
      <c r="J761" s="20" t="n">
        <v>55000</v>
      </c>
      <c r="K761" s="20" t="n">
        <v>55000</v>
      </c>
      <c r="L761" s="10">
        <f>IF($B761="","",TEXT($B761,"YYYY-MM"))</f>
        <v/>
      </c>
    </row>
    <row r="762">
      <c r="A762" s="10" t="inlineStr">
        <is>
          <t>INV-71180</t>
        </is>
      </c>
      <c r="B762" s="18" t="n">
        <v>45921</v>
      </c>
      <c r="C762" s="10" t="inlineStr">
        <is>
          <t>C1334</t>
        </is>
      </c>
      <c r="D762" s="10" t="inlineStr">
        <is>
          <t>champion</t>
        </is>
      </c>
      <c r="E762" s="10" t="inlineStr">
        <is>
          <t>Tokopedia</t>
        </is>
      </c>
      <c r="F762" s="10" t="inlineStr">
        <is>
          <t>Jabodetabek</t>
        </is>
      </c>
      <c r="G762" s="10" t="inlineStr">
        <is>
          <t>Fashion</t>
        </is>
      </c>
      <c r="H762" s="10" t="inlineStr">
        <is>
          <t>Celana Chino</t>
        </is>
      </c>
      <c r="I762" s="19" t="n">
        <v>4</v>
      </c>
      <c r="J762" s="20" t="n">
        <v>195000</v>
      </c>
      <c r="K762" s="20" t="n">
        <v>780000</v>
      </c>
      <c r="L762" s="10">
        <f>IF($B762="","",TEXT($B762,"YYYY-MM"))</f>
        <v/>
      </c>
    </row>
    <row r="763">
      <c r="A763" s="10" t="inlineStr">
        <is>
          <t>INV-71457</t>
        </is>
      </c>
      <c r="B763" s="18" t="n">
        <v>45921</v>
      </c>
      <c r="C763" s="10" t="inlineStr">
        <is>
          <t>C1403</t>
        </is>
      </c>
      <c r="D763" s="10" t="inlineStr">
        <is>
          <t>regular</t>
        </is>
      </c>
      <c r="E763" s="10" t="inlineStr">
        <is>
          <t>Offline Store</t>
        </is>
      </c>
      <c r="F763" s="10" t="inlineStr">
        <is>
          <t>Jabodetabek</t>
        </is>
      </c>
      <c r="G763" s="10" t="inlineStr">
        <is>
          <t>Elektronik</t>
        </is>
      </c>
      <c r="H763" s="10" t="inlineStr">
        <is>
          <t>Power Bank 20K</t>
        </is>
      </c>
      <c r="I763" s="19" t="n">
        <v>4</v>
      </c>
      <c r="J763" s="20" t="n">
        <v>185000</v>
      </c>
      <c r="K763" s="20" t="n">
        <v>740000</v>
      </c>
      <c r="L763" s="10">
        <f>IF($B763="","",TEXT($B763,"YYYY-MM"))</f>
        <v/>
      </c>
    </row>
    <row r="764">
      <c r="A764" s="10" t="inlineStr">
        <is>
          <t>INV-70035</t>
        </is>
      </c>
      <c r="B764" s="18" t="n">
        <v>45921</v>
      </c>
      <c r="C764" s="10" t="inlineStr">
        <is>
          <t>C1008</t>
        </is>
      </c>
      <c r="D764" s="10" t="inlineStr">
        <is>
          <t>regular</t>
        </is>
      </c>
      <c r="E764" s="10" t="inlineStr">
        <is>
          <t>Offline Store</t>
        </is>
      </c>
      <c r="F764" s="10" t="inlineStr">
        <is>
          <t>Jabodetabek</t>
        </is>
      </c>
      <c r="G764" s="10" t="inlineStr">
        <is>
          <t>Rumah Tangga</t>
        </is>
      </c>
      <c r="H764" s="10" t="inlineStr">
        <is>
          <t>Set Wadah Kedap</t>
        </is>
      </c>
      <c r="I764" s="19" t="n">
        <v>1</v>
      </c>
      <c r="J764" s="20" t="n">
        <v>135000</v>
      </c>
      <c r="K764" s="20" t="n">
        <v>135000</v>
      </c>
      <c r="L764" s="10">
        <f>IF($B764="","",TEXT($B764,"YYYY-MM"))</f>
        <v/>
      </c>
    </row>
    <row r="765">
      <c r="A765" s="10" t="inlineStr">
        <is>
          <t>INV-71361</t>
        </is>
      </c>
      <c r="B765" s="18" t="n">
        <v>45922</v>
      </c>
      <c r="C765" s="10" t="inlineStr">
        <is>
          <t>C1377</t>
        </is>
      </c>
      <c r="D765" s="10" t="inlineStr">
        <is>
          <t>champion</t>
        </is>
      </c>
      <c r="E765" s="10" t="inlineStr">
        <is>
          <t>Offline Store</t>
        </is>
      </c>
      <c r="F765" s="10" t="inlineStr">
        <is>
          <t>Jabodetabek</t>
        </is>
      </c>
      <c r="G765" s="10" t="inlineStr">
        <is>
          <t>Rumah Tangga</t>
        </is>
      </c>
      <c r="H765" s="10" t="inlineStr">
        <is>
          <t>Karpet Bulu</t>
        </is>
      </c>
      <c r="I765" s="19" t="n">
        <v>4</v>
      </c>
      <c r="J765" s="20" t="n">
        <v>240000</v>
      </c>
      <c r="K765" s="20" t="n">
        <v>960000</v>
      </c>
      <c r="L765" s="10">
        <f>IF($B765="","",TEXT($B765,"YYYY-MM"))</f>
        <v/>
      </c>
    </row>
    <row r="766">
      <c r="A766" s="10" t="inlineStr">
        <is>
          <t>INV-70376</t>
        </is>
      </c>
      <c r="B766" s="18" t="n">
        <v>45922</v>
      </c>
      <c r="C766" s="10" t="inlineStr">
        <is>
          <t>C1110</t>
        </is>
      </c>
      <c r="D766" s="10" t="inlineStr">
        <is>
          <t>loyal</t>
        </is>
      </c>
      <c r="E766" s="10" t="inlineStr">
        <is>
          <t>Tokopedia</t>
        </is>
      </c>
      <c r="F766" s="10" t="inlineStr">
        <is>
          <t>Jabodetabek</t>
        </is>
      </c>
      <c r="G766" s="10" t="inlineStr">
        <is>
          <t>Elektronik</t>
        </is>
      </c>
      <c r="H766" s="10" t="inlineStr">
        <is>
          <t>Webcam HD</t>
        </is>
      </c>
      <c r="I766" s="19" t="n">
        <v>2</v>
      </c>
      <c r="J766" s="20" t="n">
        <v>210000</v>
      </c>
      <c r="K766" s="20" t="n">
        <v>420000</v>
      </c>
      <c r="L766" s="10">
        <f>IF($B766="","",TEXT($B766,"YYYY-MM"))</f>
        <v/>
      </c>
    </row>
    <row r="767">
      <c r="A767" s="10" t="inlineStr">
        <is>
          <t>INV-70655</t>
        </is>
      </c>
      <c r="B767" s="18" t="n">
        <v>45924</v>
      </c>
      <c r="C767" s="10" t="inlineStr">
        <is>
          <t>C1179</t>
        </is>
      </c>
      <c r="D767" s="10" t="inlineStr">
        <is>
          <t>loyal</t>
        </is>
      </c>
      <c r="E767" s="10" t="inlineStr">
        <is>
          <t>Offline Store</t>
        </is>
      </c>
      <c r="F767" s="10" t="inlineStr">
        <is>
          <t>Jabodetabek</t>
        </is>
      </c>
      <c r="G767" s="10" t="inlineStr">
        <is>
          <t>Rumah Tangga</t>
        </is>
      </c>
      <c r="H767" s="10" t="inlineStr">
        <is>
          <t>Set Wadah Kedap</t>
        </is>
      </c>
      <c r="I767" s="19" t="n">
        <v>1</v>
      </c>
      <c r="J767" s="20" t="n">
        <v>135000</v>
      </c>
      <c r="K767" s="20" t="n">
        <v>135000</v>
      </c>
      <c r="L767" s="10">
        <f>IF($B767="","",TEXT($B767,"YYYY-MM"))</f>
        <v/>
      </c>
    </row>
    <row r="768">
      <c r="A768" s="10" t="inlineStr">
        <is>
          <t>INV-71002</t>
        </is>
      </c>
      <c r="B768" s="18" t="n">
        <v>45924</v>
      </c>
      <c r="C768" s="10" t="inlineStr">
        <is>
          <t>C1287</t>
        </is>
      </c>
      <c r="D768" s="10" t="inlineStr">
        <is>
          <t>champion</t>
        </is>
      </c>
      <c r="E768" s="10" t="inlineStr">
        <is>
          <t>Shopee</t>
        </is>
      </c>
      <c r="F768" s="10" t="inlineStr">
        <is>
          <t>Sumatera</t>
        </is>
      </c>
      <c r="G768" s="10" t="inlineStr">
        <is>
          <t>Rumah Tangga</t>
        </is>
      </c>
      <c r="H768" s="10" t="inlineStr">
        <is>
          <t>Karpet Bulu</t>
        </is>
      </c>
      <c r="I768" s="19" t="n">
        <v>1</v>
      </c>
      <c r="J768" s="20" t="n">
        <v>240000</v>
      </c>
      <c r="K768" s="20" t="n">
        <v>240000</v>
      </c>
      <c r="L768" s="10">
        <f>IF($B768="","",TEXT($B768,"YYYY-MM"))</f>
        <v/>
      </c>
    </row>
    <row r="769">
      <c r="A769" s="10" t="inlineStr">
        <is>
          <t>INV-71425</t>
        </is>
      </c>
      <c r="B769" s="18" t="n">
        <v>45925</v>
      </c>
      <c r="C769" s="10" t="inlineStr">
        <is>
          <t>C1393</t>
        </is>
      </c>
      <c r="D769" s="10" t="inlineStr">
        <is>
          <t>regular</t>
        </is>
      </c>
      <c r="E769" s="10" t="inlineStr">
        <is>
          <t>Offline Store</t>
        </is>
      </c>
      <c r="F769" s="10" t="inlineStr">
        <is>
          <t>Jabodetabek</t>
        </is>
      </c>
      <c r="G769" s="10" t="inlineStr">
        <is>
          <t>Elektronik</t>
        </is>
      </c>
      <c r="H769" s="10" t="inlineStr">
        <is>
          <t>Power Bank 20K</t>
        </is>
      </c>
      <c r="I769" s="19" t="n">
        <v>1</v>
      </c>
      <c r="J769" s="20" t="n">
        <v>185000</v>
      </c>
      <c r="K769" s="20" t="n">
        <v>185000</v>
      </c>
      <c r="L769" s="10">
        <f>IF($B769="","",TEXT($B769,"YYYY-MM"))</f>
        <v/>
      </c>
    </row>
    <row r="770">
      <c r="A770" s="10" t="inlineStr">
        <is>
          <t>INV-70633</t>
        </is>
      </c>
      <c r="B770" s="18" t="n">
        <v>45925</v>
      </c>
      <c r="C770" s="10" t="inlineStr">
        <is>
          <t>C1173</t>
        </is>
      </c>
      <c r="D770" s="10" t="inlineStr">
        <is>
          <t>loyal</t>
        </is>
      </c>
      <c r="E770" s="10" t="inlineStr">
        <is>
          <t>Shopee</t>
        </is>
      </c>
      <c r="F770" s="10" t="inlineStr">
        <is>
          <t>Jawa Barat</t>
        </is>
      </c>
      <c r="G770" s="10" t="inlineStr">
        <is>
          <t>Makanan</t>
        </is>
      </c>
      <c r="H770" s="10" t="inlineStr">
        <is>
          <t>Teh Herbal (15s)</t>
        </is>
      </c>
      <c r="I770" s="19" t="n">
        <v>1</v>
      </c>
      <c r="J770" s="20" t="n">
        <v>58000</v>
      </c>
      <c r="K770" s="20" t="n">
        <v>58000</v>
      </c>
      <c r="L770" s="10">
        <f>IF($B770="","",TEXT($B770,"YYYY-MM"))</f>
        <v/>
      </c>
    </row>
    <row r="771">
      <c r="A771" s="10" t="inlineStr">
        <is>
          <t>INV-70827</t>
        </is>
      </c>
      <c r="B771" s="18" t="n">
        <v>45926</v>
      </c>
      <c r="C771" s="10" t="inlineStr">
        <is>
          <t>C1234</t>
        </is>
      </c>
      <c r="D771" s="10" t="inlineStr">
        <is>
          <t>loyal</t>
        </is>
      </c>
      <c r="E771" s="10" t="inlineStr">
        <is>
          <t>Offline Store</t>
        </is>
      </c>
      <c r="F771" s="10" t="inlineStr">
        <is>
          <t>Jabodetabek</t>
        </is>
      </c>
      <c r="G771" s="10" t="inlineStr">
        <is>
          <t>Rumah Tangga</t>
        </is>
      </c>
      <c r="H771" s="10" t="inlineStr">
        <is>
          <t>Karpet Bulu</t>
        </is>
      </c>
      <c r="I771" s="19" t="n">
        <v>3</v>
      </c>
      <c r="J771" s="20" t="n">
        <v>240000</v>
      </c>
      <c r="K771" s="20" t="n">
        <v>720000</v>
      </c>
      <c r="L771" s="10">
        <f>IF($B771="","",TEXT($B771,"YYYY-MM"))</f>
        <v/>
      </c>
    </row>
    <row r="772">
      <c r="A772" s="10" t="inlineStr">
        <is>
          <t>INV-71060</t>
        </is>
      </c>
      <c r="B772" s="18" t="n">
        <v>45926</v>
      </c>
      <c r="C772" s="10" t="inlineStr">
        <is>
          <t>C1300</t>
        </is>
      </c>
      <c r="D772" s="10" t="inlineStr">
        <is>
          <t>regular</t>
        </is>
      </c>
      <c r="E772" s="10" t="inlineStr">
        <is>
          <t>Shopee</t>
        </is>
      </c>
      <c r="F772" s="10" t="inlineStr">
        <is>
          <t>Sumatera</t>
        </is>
      </c>
      <c r="G772" s="10" t="inlineStr">
        <is>
          <t>Elektronik</t>
        </is>
      </c>
      <c r="H772" s="10" t="inlineStr">
        <is>
          <t>Power Bank 20K</t>
        </is>
      </c>
      <c r="I772" s="19" t="n">
        <v>1</v>
      </c>
      <c r="J772" s="20" t="n">
        <v>185000</v>
      </c>
      <c r="K772" s="20" t="n">
        <v>185000</v>
      </c>
      <c r="L772" s="10">
        <f>IF($B772="","",TEXT($B772,"YYYY-MM"))</f>
        <v/>
      </c>
    </row>
    <row r="773">
      <c r="A773" s="10" t="inlineStr">
        <is>
          <t>INV-71531</t>
        </is>
      </c>
      <c r="B773" s="18" t="n">
        <v>45927</v>
      </c>
      <c r="C773" s="10" t="inlineStr">
        <is>
          <t>C1421</t>
        </is>
      </c>
      <c r="D773" s="10" t="inlineStr">
        <is>
          <t>occasional</t>
        </is>
      </c>
      <c r="E773" s="10" t="inlineStr">
        <is>
          <t>Offline Store</t>
        </is>
      </c>
      <c r="F773" s="10" t="inlineStr">
        <is>
          <t>Jawa Tengah</t>
        </is>
      </c>
      <c r="G773" s="10" t="inlineStr">
        <is>
          <t>Fashion</t>
        </is>
      </c>
      <c r="H773" s="10" t="inlineStr">
        <is>
          <t>Dress Casual</t>
        </is>
      </c>
      <c r="I773" s="19" t="n">
        <v>1</v>
      </c>
      <c r="J773" s="20" t="n">
        <v>225000</v>
      </c>
      <c r="K773" s="20" t="n">
        <v>225000</v>
      </c>
      <c r="L773" s="10">
        <f>IF($B773="","",TEXT($B773,"YYYY-MM"))</f>
        <v/>
      </c>
    </row>
    <row r="774">
      <c r="A774" s="10" t="inlineStr">
        <is>
          <t>INV-70561</t>
        </is>
      </c>
      <c r="B774" s="18" t="n">
        <v>45927</v>
      </c>
      <c r="C774" s="10" t="inlineStr">
        <is>
          <t>C1154</t>
        </is>
      </c>
      <c r="D774" s="10" t="inlineStr">
        <is>
          <t>occasional</t>
        </is>
      </c>
      <c r="E774" s="10" t="inlineStr">
        <is>
          <t>Shopee</t>
        </is>
      </c>
      <c r="F774" s="10" t="inlineStr">
        <is>
          <t>Jabodetabek</t>
        </is>
      </c>
      <c r="G774" s="10" t="inlineStr">
        <is>
          <t>Rumah Tangga</t>
        </is>
      </c>
      <c r="H774" s="10" t="inlineStr">
        <is>
          <t>Set Wadah Kedap</t>
        </is>
      </c>
      <c r="I774" s="19" t="n">
        <v>3</v>
      </c>
      <c r="J774" s="20" t="n">
        <v>135000</v>
      </c>
      <c r="K774" s="20" t="n">
        <v>405000</v>
      </c>
      <c r="L774" s="10">
        <f>IF($B774="","",TEXT($B774,"YYYY-MM"))</f>
        <v/>
      </c>
    </row>
    <row r="775">
      <c r="A775" s="10" t="inlineStr">
        <is>
          <t>INV-70579</t>
        </is>
      </c>
      <c r="B775" s="18" t="n">
        <v>45927</v>
      </c>
      <c r="C775" s="10" t="inlineStr">
        <is>
          <t>C1157</t>
        </is>
      </c>
      <c r="D775" s="10" t="inlineStr">
        <is>
          <t>loyal</t>
        </is>
      </c>
      <c r="E775" s="10" t="inlineStr">
        <is>
          <t>Tokopedia</t>
        </is>
      </c>
      <c r="F775" s="10" t="inlineStr">
        <is>
          <t>Jabodetabek</t>
        </is>
      </c>
      <c r="G775" s="10" t="inlineStr">
        <is>
          <t>Kecantikan</t>
        </is>
      </c>
      <c r="H775" s="10" t="inlineStr">
        <is>
          <t>Masker Wajah (5s)</t>
        </is>
      </c>
      <c r="I775" s="19" t="n">
        <v>2</v>
      </c>
      <c r="J775" s="20" t="n">
        <v>55000</v>
      </c>
      <c r="K775" s="20" t="n">
        <v>110000</v>
      </c>
      <c r="L775" s="10">
        <f>IF($B775="","",TEXT($B775,"YYYY-MM"))</f>
        <v/>
      </c>
    </row>
    <row r="776">
      <c r="A776" s="10" t="inlineStr">
        <is>
          <t>INV-70910</t>
        </is>
      </c>
      <c r="B776" s="18" t="n">
        <v>45927</v>
      </c>
      <c r="C776" s="10" t="inlineStr">
        <is>
          <t>C1258</t>
        </is>
      </c>
      <c r="D776" s="10" t="inlineStr">
        <is>
          <t>regular</t>
        </is>
      </c>
      <c r="E776" s="10" t="inlineStr">
        <is>
          <t>Shopee</t>
        </is>
      </c>
      <c r="F776" s="10" t="inlineStr">
        <is>
          <t>Jawa Barat</t>
        </is>
      </c>
      <c r="G776" s="10" t="inlineStr">
        <is>
          <t>Kecantikan</t>
        </is>
      </c>
      <c r="H776" s="10" t="inlineStr">
        <is>
          <t>Masker Wajah (5s)</t>
        </is>
      </c>
      <c r="I776" s="19" t="n">
        <v>2</v>
      </c>
      <c r="J776" s="20" t="n">
        <v>55000</v>
      </c>
      <c r="K776" s="20" t="n">
        <v>110000</v>
      </c>
      <c r="L776" s="10">
        <f>IF($B776="","",TEXT($B776,"YYYY-MM"))</f>
        <v/>
      </c>
    </row>
    <row r="777">
      <c r="A777" s="10" t="inlineStr">
        <is>
          <t>INV-70352</t>
        </is>
      </c>
      <c r="B777" s="18" t="n">
        <v>45927</v>
      </c>
      <c r="C777" s="10" t="inlineStr">
        <is>
          <t>C1096</t>
        </is>
      </c>
      <c r="D777" s="10" t="inlineStr">
        <is>
          <t>occasional</t>
        </is>
      </c>
      <c r="E777" s="10" t="inlineStr">
        <is>
          <t>Shopee</t>
        </is>
      </c>
      <c r="F777" s="10" t="inlineStr">
        <is>
          <t>Jabodetabek</t>
        </is>
      </c>
      <c r="G777" s="10" t="inlineStr">
        <is>
          <t>Fashion</t>
        </is>
      </c>
      <c r="H777" s="10" t="inlineStr">
        <is>
          <t>Celana Chino</t>
        </is>
      </c>
      <c r="I777" s="19" t="n">
        <v>4</v>
      </c>
      <c r="J777" s="20" t="n">
        <v>195000</v>
      </c>
      <c r="K777" s="20" t="n">
        <v>780000</v>
      </c>
      <c r="L777" s="10">
        <f>IF($B777="","",TEXT($B777,"YYYY-MM"))</f>
        <v/>
      </c>
    </row>
    <row r="778">
      <c r="A778" s="10" t="inlineStr">
        <is>
          <t>INV-70506</t>
        </is>
      </c>
      <c r="B778" s="18" t="n">
        <v>45927</v>
      </c>
      <c r="C778" s="10" t="inlineStr">
        <is>
          <t>C1142</t>
        </is>
      </c>
      <c r="D778" s="10" t="inlineStr">
        <is>
          <t>champion</t>
        </is>
      </c>
      <c r="E778" s="10" t="inlineStr">
        <is>
          <t>Offline Store</t>
        </is>
      </c>
      <c r="F778" s="10" t="inlineStr">
        <is>
          <t>Jawa Timur</t>
        </is>
      </c>
      <c r="G778" s="10" t="inlineStr">
        <is>
          <t>Elektronik</t>
        </is>
      </c>
      <c r="H778" s="10" t="inlineStr">
        <is>
          <t>Power Bank 20K</t>
        </is>
      </c>
      <c r="I778" s="19" t="n">
        <v>2</v>
      </c>
      <c r="J778" s="20" t="n">
        <v>185000</v>
      </c>
      <c r="K778" s="20" t="n">
        <v>370000</v>
      </c>
      <c r="L778" s="10">
        <f>IF($B778="","",TEXT($B778,"YYYY-MM"))</f>
        <v/>
      </c>
    </row>
    <row r="779">
      <c r="A779" s="10" t="inlineStr">
        <is>
          <t>INV-70445</t>
        </is>
      </c>
      <c r="B779" s="18" t="n">
        <v>45932</v>
      </c>
      <c r="C779" s="10" t="inlineStr">
        <is>
          <t>C1125</t>
        </is>
      </c>
      <c r="D779" s="10" t="inlineStr">
        <is>
          <t>regular</t>
        </is>
      </c>
      <c r="E779" s="10" t="inlineStr">
        <is>
          <t>Offline Store</t>
        </is>
      </c>
      <c r="F779" s="10" t="inlineStr">
        <is>
          <t>Jawa Timur</t>
        </is>
      </c>
      <c r="G779" s="10" t="inlineStr">
        <is>
          <t>Rumah Tangga</t>
        </is>
      </c>
      <c r="H779" s="10" t="inlineStr">
        <is>
          <t>Organizer Laci</t>
        </is>
      </c>
      <c r="I779" s="19" t="n">
        <v>2</v>
      </c>
      <c r="J779" s="20" t="n">
        <v>78000</v>
      </c>
      <c r="K779" s="20" t="n">
        <v>156000</v>
      </c>
      <c r="L779" s="10">
        <f>IF($B779="","",TEXT($B779,"YYYY-MM"))</f>
        <v/>
      </c>
    </row>
    <row r="780">
      <c r="A780" s="10" t="inlineStr">
        <is>
          <t>INV-71313</t>
        </is>
      </c>
      <c r="B780" s="18" t="n">
        <v>45932</v>
      </c>
      <c r="C780" s="10" t="inlineStr">
        <is>
          <t>C1364</t>
        </is>
      </c>
      <c r="D780" s="10" t="inlineStr">
        <is>
          <t>champion</t>
        </is>
      </c>
      <c r="E780" s="10" t="inlineStr">
        <is>
          <t>Shopee</t>
        </is>
      </c>
      <c r="F780" s="10" t="inlineStr">
        <is>
          <t>Jabodetabek</t>
        </is>
      </c>
      <c r="G780" s="10" t="inlineStr">
        <is>
          <t>Elektronik</t>
        </is>
      </c>
      <c r="H780" s="10" t="inlineStr">
        <is>
          <t>Webcam HD</t>
        </is>
      </c>
      <c r="I780" s="19" t="n">
        <v>1</v>
      </c>
      <c r="J780" s="20" t="n">
        <v>210000</v>
      </c>
      <c r="K780" s="20" t="n">
        <v>210000</v>
      </c>
      <c r="L780" s="10">
        <f>IF($B780="","",TEXT($B780,"YYYY-MM"))</f>
        <v/>
      </c>
    </row>
    <row r="781">
      <c r="A781" s="10" t="inlineStr">
        <is>
          <t>INV-71243</t>
        </is>
      </c>
      <c r="B781" s="18" t="n">
        <v>45933</v>
      </c>
      <c r="C781" s="10" t="inlineStr">
        <is>
          <t>C1350</t>
        </is>
      </c>
      <c r="D781" s="10" t="inlineStr">
        <is>
          <t>occasional</t>
        </is>
      </c>
      <c r="E781" s="10" t="inlineStr">
        <is>
          <t>Shopee</t>
        </is>
      </c>
      <c r="F781" s="10" t="inlineStr">
        <is>
          <t>Jawa Barat</t>
        </is>
      </c>
      <c r="G781" s="10" t="inlineStr">
        <is>
          <t>Rumah Tangga</t>
        </is>
      </c>
      <c r="H781" s="10" t="inlineStr">
        <is>
          <t>Set Wadah Kedap</t>
        </is>
      </c>
      <c r="I781" s="19" t="n">
        <v>2</v>
      </c>
      <c r="J781" s="20" t="n">
        <v>135000</v>
      </c>
      <c r="K781" s="20" t="n">
        <v>270000</v>
      </c>
      <c r="L781" s="10">
        <f>IF($B781="","",TEXT($B781,"YYYY-MM"))</f>
        <v/>
      </c>
    </row>
    <row r="782">
      <c r="A782" s="10" t="inlineStr">
        <is>
          <t>INV-71396</t>
        </is>
      </c>
      <c r="B782" s="18" t="n">
        <v>45933</v>
      </c>
      <c r="C782" s="10" t="inlineStr">
        <is>
          <t>C1386</t>
        </is>
      </c>
      <c r="D782" s="10" t="inlineStr">
        <is>
          <t>loyal</t>
        </is>
      </c>
      <c r="E782" s="10" t="inlineStr">
        <is>
          <t>Shopee</t>
        </is>
      </c>
      <c r="F782" s="10" t="inlineStr">
        <is>
          <t>Jawa Barat</t>
        </is>
      </c>
      <c r="G782" s="10" t="inlineStr">
        <is>
          <t>Rumah Tangga</t>
        </is>
      </c>
      <c r="H782" s="10" t="inlineStr">
        <is>
          <t>Set Wadah Kedap</t>
        </is>
      </c>
      <c r="I782" s="19" t="n">
        <v>1</v>
      </c>
      <c r="J782" s="20" t="n">
        <v>135000</v>
      </c>
      <c r="K782" s="20" t="n">
        <v>135000</v>
      </c>
      <c r="L782" s="10">
        <f>IF($B782="","",TEXT($B782,"YYYY-MM"))</f>
        <v/>
      </c>
    </row>
    <row r="783">
      <c r="A783" s="10" t="inlineStr">
        <is>
          <t>INV-70679</t>
        </is>
      </c>
      <c r="B783" s="18" t="n">
        <v>45933</v>
      </c>
      <c r="C783" s="10" t="inlineStr">
        <is>
          <t>C1186</t>
        </is>
      </c>
      <c r="D783" s="10" t="inlineStr">
        <is>
          <t>loyal</t>
        </is>
      </c>
      <c r="E783" s="10" t="inlineStr">
        <is>
          <t>Offline Store</t>
        </is>
      </c>
      <c r="F783" s="10" t="inlineStr">
        <is>
          <t>Jawa Timur</t>
        </is>
      </c>
      <c r="G783" s="10" t="inlineStr">
        <is>
          <t>Elektronik</t>
        </is>
      </c>
      <c r="H783" s="10" t="inlineStr">
        <is>
          <t>Power Bank 20K</t>
        </is>
      </c>
      <c r="I783" s="19" t="n">
        <v>2</v>
      </c>
      <c r="J783" s="20" t="n">
        <v>185000</v>
      </c>
      <c r="K783" s="20" t="n">
        <v>370000</v>
      </c>
      <c r="L783" s="10">
        <f>IF($B783="","",TEXT($B783,"YYYY-MM"))</f>
        <v/>
      </c>
    </row>
    <row r="784">
      <c r="A784" s="10" t="inlineStr">
        <is>
          <t>INV-70681</t>
        </is>
      </c>
      <c r="B784" s="18" t="n">
        <v>45934</v>
      </c>
      <c r="C784" s="10" t="inlineStr">
        <is>
          <t>C1186</t>
        </is>
      </c>
      <c r="D784" s="10" t="inlineStr">
        <is>
          <t>loyal</t>
        </is>
      </c>
      <c r="E784" s="10" t="inlineStr">
        <is>
          <t>Shopee</t>
        </is>
      </c>
      <c r="F784" s="10" t="inlineStr">
        <is>
          <t>Jabodetabek</t>
        </is>
      </c>
      <c r="G784" s="10" t="inlineStr">
        <is>
          <t>Fashion</t>
        </is>
      </c>
      <c r="H784" s="10" t="inlineStr">
        <is>
          <t>Dress Casual</t>
        </is>
      </c>
      <c r="I784" s="19" t="n">
        <v>2</v>
      </c>
      <c r="J784" s="20" t="n">
        <v>225000</v>
      </c>
      <c r="K784" s="20" t="n">
        <v>450000</v>
      </c>
      <c r="L784" s="10">
        <f>IF($B784="","",TEXT($B784,"YYYY-MM"))</f>
        <v/>
      </c>
    </row>
    <row r="785">
      <c r="A785" s="10" t="inlineStr">
        <is>
          <t>INV-70274</t>
        </is>
      </c>
      <c r="B785" s="18" t="n">
        <v>45934</v>
      </c>
      <c r="C785" s="10" t="inlineStr">
        <is>
          <t>C1077</t>
        </is>
      </c>
      <c r="D785" s="10" t="inlineStr">
        <is>
          <t>regular</t>
        </is>
      </c>
      <c r="E785" s="10" t="inlineStr">
        <is>
          <t>Shopee</t>
        </is>
      </c>
      <c r="F785" s="10" t="inlineStr">
        <is>
          <t>Jabodetabek</t>
        </is>
      </c>
      <c r="G785" s="10" t="inlineStr">
        <is>
          <t>Kecantikan</t>
        </is>
      </c>
      <c r="H785" s="10" t="inlineStr">
        <is>
          <t>Masker Wajah (5s)</t>
        </is>
      </c>
      <c r="I785" s="19" t="n">
        <v>2</v>
      </c>
      <c r="J785" s="20" t="n">
        <v>55000</v>
      </c>
      <c r="K785" s="20" t="n">
        <v>110000</v>
      </c>
      <c r="L785" s="10">
        <f>IF($B785="","",TEXT($B785,"YYYY-MM"))</f>
        <v/>
      </c>
    </row>
    <row r="786">
      <c r="A786" s="10" t="inlineStr">
        <is>
          <t>INV-70516</t>
        </is>
      </c>
      <c r="B786" s="18" t="n">
        <v>45934</v>
      </c>
      <c r="C786" s="10" t="inlineStr">
        <is>
          <t>C1142</t>
        </is>
      </c>
      <c r="D786" s="10" t="inlineStr">
        <is>
          <t>champion</t>
        </is>
      </c>
      <c r="E786" s="10" t="inlineStr">
        <is>
          <t>Shopee</t>
        </is>
      </c>
      <c r="F786" s="10" t="inlineStr">
        <is>
          <t>Jabodetabek</t>
        </is>
      </c>
      <c r="G786" s="10" t="inlineStr">
        <is>
          <t>Rumah Tangga</t>
        </is>
      </c>
      <c r="H786" s="10" t="inlineStr">
        <is>
          <t>Set Wadah Kedap</t>
        </is>
      </c>
      <c r="I786" s="19" t="n">
        <v>1</v>
      </c>
      <c r="J786" s="20" t="n">
        <v>135000</v>
      </c>
      <c r="K786" s="20" t="n">
        <v>135000</v>
      </c>
      <c r="L786" s="10">
        <f>IF($B786="","",TEXT($B786,"YYYY-MM"))</f>
        <v/>
      </c>
    </row>
    <row r="787">
      <c r="A787" s="10" t="inlineStr">
        <is>
          <t>INV-71118</t>
        </is>
      </c>
      <c r="B787" s="18" t="n">
        <v>45935</v>
      </c>
      <c r="C787" s="10" t="inlineStr">
        <is>
          <t>C1312</t>
        </is>
      </c>
      <c r="D787" s="10" t="inlineStr">
        <is>
          <t>champion</t>
        </is>
      </c>
      <c r="E787" s="10" t="inlineStr">
        <is>
          <t>Offline Store</t>
        </is>
      </c>
      <c r="F787" s="10" t="inlineStr">
        <is>
          <t>Jabodetabek</t>
        </is>
      </c>
      <c r="G787" s="10" t="inlineStr">
        <is>
          <t>Elektronik</t>
        </is>
      </c>
      <c r="H787" s="10" t="inlineStr">
        <is>
          <t>Webcam HD</t>
        </is>
      </c>
      <c r="I787" s="19" t="n">
        <v>1</v>
      </c>
      <c r="J787" s="20" t="n">
        <v>210000</v>
      </c>
      <c r="K787" s="20" t="n">
        <v>210000</v>
      </c>
      <c r="L787" s="10">
        <f>IF($B787="","",TEXT($B787,"YYYY-MM"))</f>
        <v/>
      </c>
    </row>
    <row r="788">
      <c r="A788" s="10" t="inlineStr">
        <is>
          <t>INV-70013</t>
        </is>
      </c>
      <c r="B788" s="18" t="n">
        <v>45935</v>
      </c>
      <c r="C788" s="10" t="inlineStr">
        <is>
          <t>C1002</t>
        </is>
      </c>
      <c r="D788" s="10" t="inlineStr">
        <is>
          <t>loyal</t>
        </is>
      </c>
      <c r="E788" s="10" t="inlineStr">
        <is>
          <t>Shopee</t>
        </is>
      </c>
      <c r="F788" s="10" t="inlineStr">
        <is>
          <t>Jabodetabek</t>
        </is>
      </c>
      <c r="G788" s="10" t="inlineStr">
        <is>
          <t>Rumah Tangga</t>
        </is>
      </c>
      <c r="H788" s="10" t="inlineStr">
        <is>
          <t>Set Wadah Kedap</t>
        </is>
      </c>
      <c r="I788" s="19" t="n">
        <v>1</v>
      </c>
      <c r="J788" s="20" t="n">
        <v>135000</v>
      </c>
      <c r="K788" s="20" t="n">
        <v>135000</v>
      </c>
      <c r="L788" s="10">
        <f>IF($B788="","",TEXT($B788,"YYYY-MM"))</f>
        <v/>
      </c>
    </row>
    <row r="789">
      <c r="A789" s="10" t="inlineStr">
        <is>
          <t>INV-70991</t>
        </is>
      </c>
      <c r="B789" s="18" t="n">
        <v>45936</v>
      </c>
      <c r="C789" s="10" t="inlineStr">
        <is>
          <t>C1285</t>
        </is>
      </c>
      <c r="D789" s="10" t="inlineStr">
        <is>
          <t>loyal</t>
        </is>
      </c>
      <c r="E789" s="10" t="inlineStr">
        <is>
          <t>Shopee</t>
        </is>
      </c>
      <c r="F789" s="10" t="inlineStr">
        <is>
          <t>Jabodetabek</t>
        </is>
      </c>
      <c r="G789" s="10" t="inlineStr">
        <is>
          <t>Rumah Tangga</t>
        </is>
      </c>
      <c r="H789" s="10" t="inlineStr">
        <is>
          <t>Set Wadah Kedap</t>
        </is>
      </c>
      <c r="I789" s="19" t="n">
        <v>2</v>
      </c>
      <c r="J789" s="20" t="n">
        <v>135000</v>
      </c>
      <c r="K789" s="20" t="n">
        <v>270000</v>
      </c>
      <c r="L789" s="10">
        <f>IF($B789="","",TEXT($B789,"YYYY-MM"))</f>
        <v/>
      </c>
    </row>
    <row r="790">
      <c r="A790" s="10" t="inlineStr">
        <is>
          <t>INV-70941</t>
        </is>
      </c>
      <c r="B790" s="18" t="n">
        <v>45936</v>
      </c>
      <c r="C790" s="10" t="inlineStr">
        <is>
          <t>C1265</t>
        </is>
      </c>
      <c r="D790" s="10" t="inlineStr">
        <is>
          <t>loyal</t>
        </is>
      </c>
      <c r="E790" s="10" t="inlineStr">
        <is>
          <t>Offline Store</t>
        </is>
      </c>
      <c r="F790" s="10" t="inlineStr">
        <is>
          <t>Jabodetabek</t>
        </is>
      </c>
      <c r="G790" s="10" t="inlineStr">
        <is>
          <t>Elektronik</t>
        </is>
      </c>
      <c r="H790" s="10" t="inlineStr">
        <is>
          <t>Smartwatch</t>
        </is>
      </c>
      <c r="I790" s="19" t="n">
        <v>3</v>
      </c>
      <c r="J790" s="20" t="n">
        <v>450000</v>
      </c>
      <c r="K790" s="20" t="n">
        <v>1350000</v>
      </c>
      <c r="L790" s="10">
        <f>IF($B790="","",TEXT($B790,"YYYY-MM"))</f>
        <v/>
      </c>
    </row>
    <row r="791">
      <c r="A791" s="10" t="inlineStr">
        <is>
          <t>INV-70536</t>
        </is>
      </c>
      <c r="B791" s="18" t="n">
        <v>45936</v>
      </c>
      <c r="C791" s="10" t="inlineStr">
        <is>
          <t>C1148</t>
        </is>
      </c>
      <c r="D791" s="10" t="inlineStr">
        <is>
          <t>occasional</t>
        </is>
      </c>
      <c r="E791" s="10" t="inlineStr">
        <is>
          <t>Tokopedia</t>
        </is>
      </c>
      <c r="F791" s="10" t="inlineStr">
        <is>
          <t>Jabodetabek</t>
        </is>
      </c>
      <c r="G791" s="10" t="inlineStr">
        <is>
          <t>Fashion</t>
        </is>
      </c>
      <c r="H791" s="10" t="inlineStr">
        <is>
          <t>Dress Casual</t>
        </is>
      </c>
      <c r="I791" s="19" t="n">
        <v>2</v>
      </c>
      <c r="J791" s="20" t="n">
        <v>225000</v>
      </c>
      <c r="K791" s="20" t="n">
        <v>450000</v>
      </c>
      <c r="L791" s="10">
        <f>IF($B791="","",TEXT($B791,"YYYY-MM"))</f>
        <v/>
      </c>
    </row>
    <row r="792">
      <c r="A792" s="10" t="inlineStr">
        <is>
          <t>INV-70686</t>
        </is>
      </c>
      <c r="B792" s="18" t="n">
        <v>45937</v>
      </c>
      <c r="C792" s="10" t="inlineStr">
        <is>
          <t>C1186</t>
        </is>
      </c>
      <c r="D792" s="10" t="inlineStr">
        <is>
          <t>loyal</t>
        </is>
      </c>
      <c r="E792" s="10" t="inlineStr">
        <is>
          <t>Offline Store</t>
        </is>
      </c>
      <c r="F792" s="10" t="inlineStr">
        <is>
          <t>Jabodetabek</t>
        </is>
      </c>
      <c r="G792" s="10" t="inlineStr">
        <is>
          <t>Rumah Tangga</t>
        </is>
      </c>
      <c r="H792" s="10" t="inlineStr">
        <is>
          <t>Organizer Laci</t>
        </is>
      </c>
      <c r="I792" s="19" t="n">
        <v>2</v>
      </c>
      <c r="J792" s="20" t="n">
        <v>78000</v>
      </c>
      <c r="K792" s="20" t="n">
        <v>156000</v>
      </c>
      <c r="L792" s="10">
        <f>IF($B792="","",TEXT($B792,"YYYY-MM"))</f>
        <v/>
      </c>
    </row>
    <row r="793">
      <c r="A793" s="10" t="inlineStr">
        <is>
          <t>INV-71343</t>
        </is>
      </c>
      <c r="B793" s="18" t="n">
        <v>45937</v>
      </c>
      <c r="C793" s="10" t="inlineStr">
        <is>
          <t>C1369</t>
        </is>
      </c>
      <c r="D793" s="10" t="inlineStr">
        <is>
          <t>loyal</t>
        </is>
      </c>
      <c r="E793" s="10" t="inlineStr">
        <is>
          <t>Tokopedia</t>
        </is>
      </c>
      <c r="F793" s="10" t="inlineStr">
        <is>
          <t>Jawa Barat</t>
        </is>
      </c>
      <c r="G793" s="10" t="inlineStr">
        <is>
          <t>Makanan</t>
        </is>
      </c>
      <c r="H793" s="10" t="inlineStr">
        <is>
          <t>Granola 500g</t>
        </is>
      </c>
      <c r="I793" s="19" t="n">
        <v>4</v>
      </c>
      <c r="J793" s="20" t="n">
        <v>92000</v>
      </c>
      <c r="K793" s="20" t="n">
        <v>368000</v>
      </c>
      <c r="L793" s="10">
        <f>IF($B793="","",TEXT($B793,"YYYY-MM"))</f>
        <v/>
      </c>
    </row>
    <row r="794">
      <c r="A794" s="10" t="inlineStr">
        <is>
          <t>INV-71241</t>
        </is>
      </c>
      <c r="B794" s="18" t="n">
        <v>45937</v>
      </c>
      <c r="C794" s="10" t="inlineStr">
        <is>
          <t>C1349</t>
        </is>
      </c>
      <c r="D794" s="10" t="inlineStr">
        <is>
          <t>champion</t>
        </is>
      </c>
      <c r="E794" s="10" t="inlineStr">
        <is>
          <t>Shopee</t>
        </is>
      </c>
      <c r="F794" s="10" t="inlineStr">
        <is>
          <t>Sumatera</t>
        </is>
      </c>
      <c r="G794" s="10" t="inlineStr">
        <is>
          <t>Makanan</t>
        </is>
      </c>
      <c r="H794" s="10" t="inlineStr">
        <is>
          <t>Granola 500g</t>
        </is>
      </c>
      <c r="I794" s="19" t="n">
        <v>1</v>
      </c>
      <c r="J794" s="20" t="n">
        <v>92000</v>
      </c>
      <c r="K794" s="20" t="n">
        <v>92000</v>
      </c>
      <c r="L794" s="10">
        <f>IF($B794="","",TEXT($B794,"YYYY-MM"))</f>
        <v/>
      </c>
    </row>
    <row r="795">
      <c r="A795" s="10" t="inlineStr">
        <is>
          <t>INV-70698</t>
        </is>
      </c>
      <c r="B795" s="18" t="n">
        <v>45937</v>
      </c>
      <c r="C795" s="10" t="inlineStr">
        <is>
          <t>C1193</t>
        </is>
      </c>
      <c r="D795" s="10" t="inlineStr">
        <is>
          <t>loyal</t>
        </is>
      </c>
      <c r="E795" s="10" t="inlineStr">
        <is>
          <t>TikTok Shop</t>
        </is>
      </c>
      <c r="F795" s="10" t="inlineStr">
        <is>
          <t>Jawa Timur</t>
        </is>
      </c>
      <c r="G795" s="10" t="inlineStr">
        <is>
          <t>Makanan</t>
        </is>
      </c>
      <c r="H795" s="10" t="inlineStr">
        <is>
          <t>Madu Hutan 250ml</t>
        </is>
      </c>
      <c r="I795" s="19" t="n">
        <v>1</v>
      </c>
      <c r="J795" s="20" t="n">
        <v>110000</v>
      </c>
      <c r="K795" s="20" t="n">
        <v>110000</v>
      </c>
      <c r="L795" s="10">
        <f>IF($B795="","",TEXT($B795,"YYYY-MM"))</f>
        <v/>
      </c>
    </row>
    <row r="796">
      <c r="A796" s="10" t="inlineStr">
        <is>
          <t>INV-70377</t>
        </is>
      </c>
      <c r="B796" s="18" t="n">
        <v>45937</v>
      </c>
      <c r="C796" s="10" t="inlineStr">
        <is>
          <t>C1110</t>
        </is>
      </c>
      <c r="D796" s="10" t="inlineStr">
        <is>
          <t>loyal</t>
        </is>
      </c>
      <c r="E796" s="10" t="inlineStr">
        <is>
          <t>Offline Store</t>
        </is>
      </c>
      <c r="F796" s="10" t="inlineStr">
        <is>
          <t>Sumatera</t>
        </is>
      </c>
      <c r="G796" s="10" t="inlineStr">
        <is>
          <t>Kecantikan</t>
        </is>
      </c>
      <c r="H796" s="10" t="inlineStr">
        <is>
          <t>Masker Wajah (5s)</t>
        </is>
      </c>
      <c r="I796" s="19" t="n">
        <v>2</v>
      </c>
      <c r="J796" s="20" t="n">
        <v>55000</v>
      </c>
      <c r="K796" s="20" t="n">
        <v>110000</v>
      </c>
      <c r="L796" s="10">
        <f>IF($B796="","",TEXT($B796,"YYYY-MM"))</f>
        <v/>
      </c>
    </row>
    <row r="797">
      <c r="A797" s="10" t="inlineStr">
        <is>
          <t>INV-71053</t>
        </is>
      </c>
      <c r="B797" s="18" t="n">
        <v>45938</v>
      </c>
      <c r="C797" s="10" t="inlineStr">
        <is>
          <t>C1299</t>
        </is>
      </c>
      <c r="D797" s="10" t="inlineStr">
        <is>
          <t>occasional</t>
        </is>
      </c>
      <c r="E797" s="10" t="inlineStr">
        <is>
          <t>Shopee</t>
        </is>
      </c>
      <c r="F797" s="10" t="inlineStr">
        <is>
          <t>Jabodetabek</t>
        </is>
      </c>
      <c r="G797" s="10" t="inlineStr">
        <is>
          <t>Kecantikan</t>
        </is>
      </c>
      <c r="H797" s="10" t="inlineStr">
        <is>
          <t>Masker Wajah (5s)</t>
        </is>
      </c>
      <c r="I797" s="19" t="n">
        <v>3</v>
      </c>
      <c r="J797" s="20" t="n">
        <v>55000</v>
      </c>
      <c r="K797" s="20" t="n">
        <v>165000</v>
      </c>
      <c r="L797" s="10">
        <f>IF($B797="","",TEXT($B797,"YYYY-MM"))</f>
        <v/>
      </c>
    </row>
    <row r="798">
      <c r="A798" s="10" t="inlineStr">
        <is>
          <t>INV-71453</t>
        </is>
      </c>
      <c r="B798" s="18" t="n">
        <v>45938</v>
      </c>
      <c r="C798" s="10" t="inlineStr">
        <is>
          <t>C1401</t>
        </is>
      </c>
      <c r="D798" s="10" t="inlineStr">
        <is>
          <t>occasional</t>
        </is>
      </c>
      <c r="E798" s="10" t="inlineStr">
        <is>
          <t>Offline Store</t>
        </is>
      </c>
      <c r="F798" s="10" t="inlineStr">
        <is>
          <t>Jawa Barat</t>
        </is>
      </c>
      <c r="G798" s="10" t="inlineStr">
        <is>
          <t>Rumah Tangga</t>
        </is>
      </c>
      <c r="H798" s="10" t="inlineStr">
        <is>
          <t>Organizer Laci</t>
        </is>
      </c>
      <c r="I798" s="19" t="n">
        <v>2</v>
      </c>
      <c r="J798" s="20" t="n">
        <v>78000</v>
      </c>
      <c r="K798" s="20" t="n">
        <v>156000</v>
      </c>
      <c r="L798" s="10">
        <f>IF($B798="","",TEXT($B798,"YYYY-MM"))</f>
        <v/>
      </c>
    </row>
    <row r="799">
      <c r="A799" s="10" t="inlineStr">
        <is>
          <t>INV-70042</t>
        </is>
      </c>
      <c r="B799" s="18" t="n">
        <v>45938</v>
      </c>
      <c r="C799" s="10" t="inlineStr">
        <is>
          <t>C1011</t>
        </is>
      </c>
      <c r="D799" s="10" t="inlineStr">
        <is>
          <t>regular</t>
        </is>
      </c>
      <c r="E799" s="10" t="inlineStr">
        <is>
          <t>Shopee</t>
        </is>
      </c>
      <c r="F799" s="10" t="inlineStr">
        <is>
          <t>Jabodetabek</t>
        </is>
      </c>
      <c r="G799" s="10" t="inlineStr">
        <is>
          <t>Elektronik</t>
        </is>
      </c>
      <c r="H799" s="10" t="inlineStr">
        <is>
          <t>Power Bank 20K</t>
        </is>
      </c>
      <c r="I799" s="19" t="n">
        <v>2</v>
      </c>
      <c r="J799" s="20" t="n">
        <v>185000</v>
      </c>
      <c r="K799" s="20" t="n">
        <v>370000</v>
      </c>
      <c r="L799" s="10">
        <f>IF($B799="","",TEXT($B799,"YYYY-MM"))</f>
        <v/>
      </c>
    </row>
    <row r="800">
      <c r="A800" s="10" t="inlineStr">
        <is>
          <t>INV-70982</t>
        </is>
      </c>
      <c r="B800" s="18" t="n">
        <v>45938</v>
      </c>
      <c r="C800" s="10" t="inlineStr">
        <is>
          <t>C1282</t>
        </is>
      </c>
      <c r="D800" s="10" t="inlineStr">
        <is>
          <t>occasional</t>
        </is>
      </c>
      <c r="E800" s="10" t="inlineStr">
        <is>
          <t>Shopee</t>
        </is>
      </c>
      <c r="F800" s="10" t="inlineStr">
        <is>
          <t>Jabodetabek</t>
        </is>
      </c>
      <c r="G800" s="10" t="inlineStr">
        <is>
          <t>Rumah Tangga</t>
        </is>
      </c>
      <c r="H800" s="10" t="inlineStr">
        <is>
          <t>Set Wadah Kedap</t>
        </is>
      </c>
      <c r="I800" s="19" t="n">
        <v>1</v>
      </c>
      <c r="J800" s="20" t="n">
        <v>135000</v>
      </c>
      <c r="K800" s="20" t="n">
        <v>135000</v>
      </c>
      <c r="L800" s="10">
        <f>IF($B800="","",TEXT($B800,"YYYY-MM"))</f>
        <v/>
      </c>
    </row>
    <row r="801">
      <c r="A801" s="10" t="inlineStr">
        <is>
          <t>INV-71385</t>
        </is>
      </c>
      <c r="B801" s="18" t="n">
        <v>45938</v>
      </c>
      <c r="C801" s="10" t="inlineStr">
        <is>
          <t>C1383</t>
        </is>
      </c>
      <c r="D801" s="10" t="inlineStr">
        <is>
          <t>loyal</t>
        </is>
      </c>
      <c r="E801" s="10" t="inlineStr">
        <is>
          <t>Tokopedia</t>
        </is>
      </c>
      <c r="F801" s="10" t="inlineStr">
        <is>
          <t>Jawa Barat</t>
        </is>
      </c>
      <c r="G801" s="10" t="inlineStr">
        <is>
          <t>Fashion</t>
        </is>
      </c>
      <c r="H801" s="10" t="inlineStr">
        <is>
          <t>Dress Casual</t>
        </is>
      </c>
      <c r="I801" s="19" t="n">
        <v>2</v>
      </c>
      <c r="J801" s="20" t="n">
        <v>225000</v>
      </c>
      <c r="K801" s="20" t="n">
        <v>450000</v>
      </c>
      <c r="L801" s="10">
        <f>IF($B801="","",TEXT($B801,"YYYY-MM"))</f>
        <v/>
      </c>
    </row>
    <row r="802">
      <c r="A802" s="10" t="inlineStr">
        <is>
          <t>INV-71023</t>
        </is>
      </c>
      <c r="B802" s="18" t="n">
        <v>45939</v>
      </c>
      <c r="C802" s="10" t="inlineStr">
        <is>
          <t>C1291</t>
        </is>
      </c>
      <c r="D802" s="10" t="inlineStr">
        <is>
          <t>regular</t>
        </is>
      </c>
      <c r="E802" s="10" t="inlineStr">
        <is>
          <t>TikTok Shop</t>
        </is>
      </c>
      <c r="F802" s="10" t="inlineStr">
        <is>
          <t>Jawa Barat</t>
        </is>
      </c>
      <c r="G802" s="10" t="inlineStr">
        <is>
          <t>Rumah Tangga</t>
        </is>
      </c>
      <c r="H802" s="10" t="inlineStr">
        <is>
          <t>Set Wadah Kedap</t>
        </is>
      </c>
      <c r="I802" s="19" t="n">
        <v>2</v>
      </c>
      <c r="J802" s="20" t="n">
        <v>135000</v>
      </c>
      <c r="K802" s="20" t="n">
        <v>270000</v>
      </c>
      <c r="L802" s="10">
        <f>IF($B802="","",TEXT($B802,"YYYY-MM"))</f>
        <v/>
      </c>
    </row>
    <row r="803">
      <c r="A803" s="10" t="inlineStr">
        <is>
          <t>INV-71127</t>
        </is>
      </c>
      <c r="B803" s="18" t="n">
        <v>45939</v>
      </c>
      <c r="C803" s="10" t="inlineStr">
        <is>
          <t>C1318</t>
        </is>
      </c>
      <c r="D803" s="10" t="inlineStr">
        <is>
          <t>occasional</t>
        </is>
      </c>
      <c r="E803" s="10" t="inlineStr">
        <is>
          <t>TikTok Shop</t>
        </is>
      </c>
      <c r="F803" s="10" t="inlineStr">
        <is>
          <t>Jawa Timur</t>
        </is>
      </c>
      <c r="G803" s="10" t="inlineStr">
        <is>
          <t>Elektronik</t>
        </is>
      </c>
      <c r="H803" s="10" t="inlineStr">
        <is>
          <t>Power Bank 20K</t>
        </is>
      </c>
      <c r="I803" s="19" t="n">
        <v>2</v>
      </c>
      <c r="J803" s="20" t="n">
        <v>185000</v>
      </c>
      <c r="K803" s="20" t="n">
        <v>370000</v>
      </c>
      <c r="L803" s="10">
        <f>IF($B803="","",TEXT($B803,"YYYY-MM"))</f>
        <v/>
      </c>
    </row>
    <row r="804">
      <c r="A804" s="10" t="inlineStr">
        <is>
          <t>INV-71218</t>
        </is>
      </c>
      <c r="B804" s="18" t="n">
        <v>45939</v>
      </c>
      <c r="C804" s="10" t="inlineStr">
        <is>
          <t>C1346</t>
        </is>
      </c>
      <c r="D804" s="10" t="inlineStr">
        <is>
          <t>regular</t>
        </is>
      </c>
      <c r="E804" s="10" t="inlineStr">
        <is>
          <t>Tokopedia</t>
        </is>
      </c>
      <c r="F804" s="10" t="inlineStr">
        <is>
          <t>Jabodetabek</t>
        </is>
      </c>
      <c r="G804" s="10" t="inlineStr">
        <is>
          <t>Elektronik</t>
        </is>
      </c>
      <c r="H804" s="10" t="inlineStr">
        <is>
          <t>Webcam HD</t>
        </is>
      </c>
      <c r="I804" s="19" t="n">
        <v>3</v>
      </c>
      <c r="J804" s="20" t="n">
        <v>210000</v>
      </c>
      <c r="K804" s="20" t="n">
        <v>630000</v>
      </c>
      <c r="L804" s="10">
        <f>IF($B804="","",TEXT($B804,"YYYY-MM"))</f>
        <v/>
      </c>
    </row>
    <row r="805">
      <c r="A805" s="10" t="inlineStr">
        <is>
          <t>INV-70032</t>
        </is>
      </c>
      <c r="B805" s="18" t="n">
        <v>45939</v>
      </c>
      <c r="C805" s="10" t="inlineStr">
        <is>
          <t>C1006</t>
        </is>
      </c>
      <c r="D805" s="10" t="inlineStr">
        <is>
          <t>regular</t>
        </is>
      </c>
      <c r="E805" s="10" t="inlineStr">
        <is>
          <t>Offline Store</t>
        </is>
      </c>
      <c r="F805" s="10" t="inlineStr">
        <is>
          <t>Sumatera</t>
        </is>
      </c>
      <c r="G805" s="10" t="inlineStr">
        <is>
          <t>Elektronik</t>
        </is>
      </c>
      <c r="H805" s="10" t="inlineStr">
        <is>
          <t>Earbuds TWS</t>
        </is>
      </c>
      <c r="I805" s="19" t="n">
        <v>2</v>
      </c>
      <c r="J805" s="20" t="n">
        <v>265000</v>
      </c>
      <c r="K805" s="20" t="n">
        <v>530000</v>
      </c>
      <c r="L805" s="10">
        <f>IF($B805="","",TEXT($B805,"YYYY-MM"))</f>
        <v/>
      </c>
    </row>
    <row r="806">
      <c r="A806" s="10" t="inlineStr">
        <is>
          <t>INV-70630</t>
        </is>
      </c>
      <c r="B806" s="18" t="n">
        <v>45939</v>
      </c>
      <c r="C806" s="10" t="inlineStr">
        <is>
          <t>C1173</t>
        </is>
      </c>
      <c r="D806" s="10" t="inlineStr">
        <is>
          <t>loyal</t>
        </is>
      </c>
      <c r="E806" s="10" t="inlineStr">
        <is>
          <t>Offline Store</t>
        </is>
      </c>
      <c r="F806" s="10" t="inlineStr">
        <is>
          <t>Sumatera</t>
        </is>
      </c>
      <c r="G806" s="10" t="inlineStr">
        <is>
          <t>Rumah Tangga</t>
        </is>
      </c>
      <c r="H806" s="10" t="inlineStr">
        <is>
          <t>Set Wadah Kedap</t>
        </is>
      </c>
      <c r="I806" s="19" t="n">
        <v>1</v>
      </c>
      <c r="J806" s="20" t="n">
        <v>135000</v>
      </c>
      <c r="K806" s="20" t="n">
        <v>135000</v>
      </c>
      <c r="L806" s="10">
        <f>IF($B806="","",TEXT($B806,"YYYY-MM"))</f>
        <v/>
      </c>
    </row>
    <row r="807">
      <c r="A807" s="10" t="inlineStr">
        <is>
          <t>INV-71452</t>
        </is>
      </c>
      <c r="B807" s="18" t="n">
        <v>45940</v>
      </c>
      <c r="C807" s="10" t="inlineStr">
        <is>
          <t>C1401</t>
        </is>
      </c>
      <c r="D807" s="10" t="inlineStr">
        <is>
          <t>occasional</t>
        </is>
      </c>
      <c r="E807" s="10" t="inlineStr">
        <is>
          <t>Shopee</t>
        </is>
      </c>
      <c r="F807" s="10" t="inlineStr">
        <is>
          <t>Jawa Timur</t>
        </is>
      </c>
      <c r="G807" s="10" t="inlineStr">
        <is>
          <t>Elektronik</t>
        </is>
      </c>
      <c r="H807" s="10" t="inlineStr">
        <is>
          <t>Webcam HD</t>
        </is>
      </c>
      <c r="I807" s="19" t="n">
        <v>2</v>
      </c>
      <c r="J807" s="20" t="n">
        <v>210000</v>
      </c>
      <c r="K807" s="20" t="n">
        <v>420000</v>
      </c>
      <c r="L807" s="10">
        <f>IF($B807="","",TEXT($B807,"YYYY-MM"))</f>
        <v/>
      </c>
    </row>
    <row r="808">
      <c r="A808" s="10" t="inlineStr">
        <is>
          <t>INV-71390</t>
        </is>
      </c>
      <c r="B808" s="18" t="n">
        <v>45940</v>
      </c>
      <c r="C808" s="10" t="inlineStr">
        <is>
          <t>C1384</t>
        </is>
      </c>
      <c r="D808" s="10" t="inlineStr">
        <is>
          <t>regular</t>
        </is>
      </c>
      <c r="E808" s="10" t="inlineStr">
        <is>
          <t>Offline Store</t>
        </is>
      </c>
      <c r="F808" s="10" t="inlineStr">
        <is>
          <t>Jawa Timur</t>
        </is>
      </c>
      <c r="G808" s="10" t="inlineStr">
        <is>
          <t>Elektronik</t>
        </is>
      </c>
      <c r="H808" s="10" t="inlineStr">
        <is>
          <t>Power Bank 20K</t>
        </is>
      </c>
      <c r="I808" s="19" t="n">
        <v>1</v>
      </c>
      <c r="J808" s="20" t="n">
        <v>185000</v>
      </c>
      <c r="K808" s="20" t="n">
        <v>185000</v>
      </c>
      <c r="L808" s="10">
        <f>IF($B808="","",TEXT($B808,"YYYY-MM"))</f>
        <v/>
      </c>
    </row>
    <row r="809">
      <c r="A809" s="10" t="inlineStr">
        <is>
          <t>INV-70736</t>
        </is>
      </c>
      <c r="B809" s="18" t="n">
        <v>45941</v>
      </c>
      <c r="C809" s="10" t="inlineStr">
        <is>
          <t>C1207</t>
        </is>
      </c>
      <c r="D809" s="10" t="inlineStr">
        <is>
          <t>loyal</t>
        </is>
      </c>
      <c r="E809" s="10" t="inlineStr">
        <is>
          <t>Offline Store</t>
        </is>
      </c>
      <c r="F809" s="10" t="inlineStr">
        <is>
          <t>Jabodetabek</t>
        </is>
      </c>
      <c r="G809" s="10" t="inlineStr">
        <is>
          <t>Rumah Tangga</t>
        </is>
      </c>
      <c r="H809" s="10" t="inlineStr">
        <is>
          <t>Organizer Laci</t>
        </is>
      </c>
      <c r="I809" s="19" t="n">
        <v>2</v>
      </c>
      <c r="J809" s="20" t="n">
        <v>78000</v>
      </c>
      <c r="K809" s="20" t="n">
        <v>156000</v>
      </c>
      <c r="L809" s="10">
        <f>IF($B809="","",TEXT($B809,"YYYY-MM"))</f>
        <v/>
      </c>
    </row>
    <row r="810">
      <c r="A810" s="10" t="inlineStr">
        <is>
          <t>INV-70770</t>
        </is>
      </c>
      <c r="B810" s="18" t="n">
        <v>45941</v>
      </c>
      <c r="C810" s="10" t="inlineStr">
        <is>
          <t>C1215</t>
        </is>
      </c>
      <c r="D810" s="10" t="inlineStr">
        <is>
          <t>loyal</t>
        </is>
      </c>
      <c r="E810" s="10" t="inlineStr">
        <is>
          <t>Offline Store</t>
        </is>
      </c>
      <c r="F810" s="10" t="inlineStr">
        <is>
          <t>Jabodetabek</t>
        </is>
      </c>
      <c r="G810" s="10" t="inlineStr">
        <is>
          <t>Elektronik</t>
        </is>
      </c>
      <c r="H810" s="10" t="inlineStr">
        <is>
          <t>Power Bank 20K</t>
        </is>
      </c>
      <c r="I810" s="19" t="n">
        <v>1</v>
      </c>
      <c r="J810" s="20" t="n">
        <v>185000</v>
      </c>
      <c r="K810" s="20" t="n">
        <v>185000</v>
      </c>
      <c r="L810" s="10">
        <f>IF($B810="","",TEXT($B810,"YYYY-MM"))</f>
        <v/>
      </c>
    </row>
    <row r="811">
      <c r="A811" s="10" t="inlineStr">
        <is>
          <t>INV-71155</t>
        </is>
      </c>
      <c r="B811" s="18" t="n">
        <v>45942</v>
      </c>
      <c r="C811" s="10" t="inlineStr">
        <is>
          <t>C1326</t>
        </is>
      </c>
      <c r="D811" s="10" t="inlineStr">
        <is>
          <t>loyal</t>
        </is>
      </c>
      <c r="E811" s="10" t="inlineStr">
        <is>
          <t>Offline Store</t>
        </is>
      </c>
      <c r="F811" s="10" t="inlineStr">
        <is>
          <t>Jawa Barat</t>
        </is>
      </c>
      <c r="G811" s="10" t="inlineStr">
        <is>
          <t>Rumah Tangga</t>
        </is>
      </c>
      <c r="H811" s="10" t="inlineStr">
        <is>
          <t>Set Wadah Kedap</t>
        </is>
      </c>
      <c r="I811" s="19" t="n">
        <v>2</v>
      </c>
      <c r="J811" s="20" t="n">
        <v>135000</v>
      </c>
      <c r="K811" s="20" t="n">
        <v>270000</v>
      </c>
      <c r="L811" s="10">
        <f>IF($B811="","",TEXT($B811,"YYYY-MM"))</f>
        <v/>
      </c>
    </row>
    <row r="812">
      <c r="A812" s="10" t="inlineStr">
        <is>
          <t>INV-70724</t>
        </is>
      </c>
      <c r="B812" s="18" t="n">
        <v>45942</v>
      </c>
      <c r="C812" s="10" t="inlineStr">
        <is>
          <t>C1201</t>
        </is>
      </c>
      <c r="D812" s="10" t="inlineStr">
        <is>
          <t>regular</t>
        </is>
      </c>
      <c r="E812" s="10" t="inlineStr">
        <is>
          <t>Tokopedia</t>
        </is>
      </c>
      <c r="F812" s="10" t="inlineStr">
        <is>
          <t>Jawa Timur</t>
        </is>
      </c>
      <c r="G812" s="10" t="inlineStr">
        <is>
          <t>Elektronik</t>
        </is>
      </c>
      <c r="H812" s="10" t="inlineStr">
        <is>
          <t>Webcam HD</t>
        </is>
      </c>
      <c r="I812" s="19" t="n">
        <v>4</v>
      </c>
      <c r="J812" s="20" t="n">
        <v>210000</v>
      </c>
      <c r="K812" s="20" t="n">
        <v>840000</v>
      </c>
      <c r="L812" s="10">
        <f>IF($B812="","",TEXT($B812,"YYYY-MM"))</f>
        <v/>
      </c>
    </row>
    <row r="813">
      <c r="A813" s="10" t="inlineStr">
        <is>
          <t>INV-70162</t>
        </is>
      </c>
      <c r="B813" s="18" t="n">
        <v>45942</v>
      </c>
      <c r="C813" s="10" t="inlineStr">
        <is>
          <t>C1049</t>
        </is>
      </c>
      <c r="D813" s="10" t="inlineStr">
        <is>
          <t>champion</t>
        </is>
      </c>
      <c r="E813" s="10" t="inlineStr">
        <is>
          <t>Shopee</t>
        </is>
      </c>
      <c r="F813" s="10" t="inlineStr">
        <is>
          <t>Jabodetabek</t>
        </is>
      </c>
      <c r="G813" s="10" t="inlineStr">
        <is>
          <t>Rumah Tangga</t>
        </is>
      </c>
      <c r="H813" s="10" t="inlineStr">
        <is>
          <t>Diffuser Aroma</t>
        </is>
      </c>
      <c r="I813" s="19" t="n">
        <v>3</v>
      </c>
      <c r="J813" s="20" t="n">
        <v>195000</v>
      </c>
      <c r="K813" s="20" t="n">
        <v>585000</v>
      </c>
      <c r="L813" s="10">
        <f>IF($B813="","",TEXT($B813,"YYYY-MM"))</f>
        <v/>
      </c>
    </row>
    <row r="814">
      <c r="A814" s="10" t="inlineStr">
        <is>
          <t>INV-70026</t>
        </is>
      </c>
      <c r="B814" s="18" t="n">
        <v>45942</v>
      </c>
      <c r="C814" s="10" t="inlineStr">
        <is>
          <t>C1005</t>
        </is>
      </c>
      <c r="D814" s="10" t="inlineStr">
        <is>
          <t>occasional</t>
        </is>
      </c>
      <c r="E814" s="10" t="inlineStr">
        <is>
          <t>TikTok Shop</t>
        </is>
      </c>
      <c r="F814" s="10" t="inlineStr">
        <is>
          <t>Jawa Timur</t>
        </is>
      </c>
      <c r="G814" s="10" t="inlineStr">
        <is>
          <t>Rumah Tangga</t>
        </is>
      </c>
      <c r="H814" s="10" t="inlineStr">
        <is>
          <t>Set Wadah Kedap</t>
        </is>
      </c>
      <c r="I814" s="19" t="n">
        <v>1</v>
      </c>
      <c r="J814" s="20" t="n">
        <v>135000</v>
      </c>
      <c r="K814" s="20" t="n">
        <v>135000</v>
      </c>
      <c r="L814" s="10">
        <f>IF($B814="","",TEXT($B814,"YYYY-MM"))</f>
        <v/>
      </c>
    </row>
    <row r="815">
      <c r="A815" s="10" t="inlineStr">
        <is>
          <t>INV-70649</t>
        </is>
      </c>
      <c r="B815" s="18" t="n">
        <v>45943</v>
      </c>
      <c r="C815" s="10" t="inlineStr">
        <is>
          <t>C1177</t>
        </is>
      </c>
      <c r="D815" s="10" t="inlineStr">
        <is>
          <t>occasional</t>
        </is>
      </c>
      <c r="E815" s="10" t="inlineStr">
        <is>
          <t>Tokopedia</t>
        </is>
      </c>
      <c r="F815" s="10" t="inlineStr">
        <is>
          <t>Jabodetabek</t>
        </is>
      </c>
      <c r="G815" s="10" t="inlineStr">
        <is>
          <t>Rumah Tangga</t>
        </is>
      </c>
      <c r="H815" s="10" t="inlineStr">
        <is>
          <t>Set Wadah Kedap</t>
        </is>
      </c>
      <c r="I815" s="19" t="n">
        <v>1</v>
      </c>
      <c r="J815" s="20" t="n">
        <v>135000</v>
      </c>
      <c r="K815" s="20" t="n">
        <v>135000</v>
      </c>
      <c r="L815" s="10">
        <f>IF($B815="","",TEXT($B815,"YYYY-MM"))</f>
        <v/>
      </c>
    </row>
    <row r="816">
      <c r="A816" s="10" t="inlineStr">
        <is>
          <t>INV-70767</t>
        </is>
      </c>
      <c r="B816" s="18" t="n">
        <v>45944</v>
      </c>
      <c r="C816" s="10" t="inlineStr">
        <is>
          <t>C1215</t>
        </is>
      </c>
      <c r="D816" s="10" t="inlineStr">
        <is>
          <t>loyal</t>
        </is>
      </c>
      <c r="E816" s="10" t="inlineStr">
        <is>
          <t>Shopee</t>
        </is>
      </c>
      <c r="F816" s="10" t="inlineStr">
        <is>
          <t>Jawa Barat</t>
        </is>
      </c>
      <c r="G816" s="10" t="inlineStr">
        <is>
          <t>Rumah Tangga</t>
        </is>
      </c>
      <c r="H816" s="10" t="inlineStr">
        <is>
          <t>Set Wadah Kedap</t>
        </is>
      </c>
      <c r="I816" s="19" t="n">
        <v>1</v>
      </c>
      <c r="J816" s="20" t="n">
        <v>135000</v>
      </c>
      <c r="K816" s="20" t="n">
        <v>135000</v>
      </c>
      <c r="L816" s="10">
        <f>IF($B816="","",TEXT($B816,"YYYY-MM"))</f>
        <v/>
      </c>
    </row>
    <row r="817">
      <c r="A817" s="10" t="inlineStr">
        <is>
          <t>INV-71511</t>
        </is>
      </c>
      <c r="B817" s="18" t="n">
        <v>45944</v>
      </c>
      <c r="C817" s="10" t="inlineStr">
        <is>
          <t>C1415</t>
        </is>
      </c>
      <c r="D817" s="10" t="inlineStr">
        <is>
          <t>regular</t>
        </is>
      </c>
      <c r="E817" s="10" t="inlineStr">
        <is>
          <t>Shopee</t>
        </is>
      </c>
      <c r="F817" s="10" t="inlineStr">
        <is>
          <t>Jawa Barat</t>
        </is>
      </c>
      <c r="G817" s="10" t="inlineStr">
        <is>
          <t>Elektronik</t>
        </is>
      </c>
      <c r="H817" s="10" t="inlineStr">
        <is>
          <t>Smartwatch</t>
        </is>
      </c>
      <c r="I817" s="19" t="n">
        <v>1</v>
      </c>
      <c r="J817" s="20" t="n">
        <v>450000</v>
      </c>
      <c r="K817" s="20" t="n">
        <v>450000</v>
      </c>
      <c r="L817" s="10">
        <f>IF($B817="","",TEXT($B817,"YYYY-MM"))</f>
        <v/>
      </c>
    </row>
    <row r="818">
      <c r="A818" s="10" t="inlineStr">
        <is>
          <t>INV-71289</t>
        </is>
      </c>
      <c r="B818" s="18" t="n">
        <v>45944</v>
      </c>
      <c r="C818" s="10" t="inlineStr">
        <is>
          <t>C1359</t>
        </is>
      </c>
      <c r="D818" s="10" t="inlineStr">
        <is>
          <t>champion</t>
        </is>
      </c>
      <c r="E818" s="10" t="inlineStr">
        <is>
          <t>Shopee</t>
        </is>
      </c>
      <c r="F818" s="10" t="inlineStr">
        <is>
          <t>Jabodetabek</t>
        </is>
      </c>
      <c r="G818" s="10" t="inlineStr">
        <is>
          <t>Elektronik</t>
        </is>
      </c>
      <c r="H818" s="10" t="inlineStr">
        <is>
          <t>Keyboard Mekanik</t>
        </is>
      </c>
      <c r="I818" s="19" t="n">
        <v>4</v>
      </c>
      <c r="J818" s="20" t="n">
        <v>380000</v>
      </c>
      <c r="K818" s="20" t="n">
        <v>1520000</v>
      </c>
      <c r="L818" s="10">
        <f>IF($B818="","",TEXT($B818,"YYYY-MM"))</f>
        <v/>
      </c>
    </row>
    <row r="819">
      <c r="A819" s="10" t="inlineStr">
        <is>
          <t>INV-70675</t>
        </is>
      </c>
      <c r="B819" s="18" t="n">
        <v>45945</v>
      </c>
      <c r="C819" s="10" t="inlineStr">
        <is>
          <t>C1185</t>
        </is>
      </c>
      <c r="D819" s="10" t="inlineStr">
        <is>
          <t>occasional</t>
        </is>
      </c>
      <c r="E819" s="10" t="inlineStr">
        <is>
          <t>Shopee</t>
        </is>
      </c>
      <c r="F819" s="10" t="inlineStr">
        <is>
          <t>Jabodetabek</t>
        </is>
      </c>
      <c r="G819" s="10" t="inlineStr">
        <is>
          <t>Rumah Tangga</t>
        </is>
      </c>
      <c r="H819" s="10" t="inlineStr">
        <is>
          <t>Set Wadah Kedap</t>
        </is>
      </c>
      <c r="I819" s="19" t="n">
        <v>1</v>
      </c>
      <c r="J819" s="20" t="n">
        <v>135000</v>
      </c>
      <c r="K819" s="20" t="n">
        <v>135000</v>
      </c>
      <c r="L819" s="10">
        <f>IF($B819="","",TEXT($B819,"YYYY-MM"))</f>
        <v/>
      </c>
    </row>
    <row r="820">
      <c r="A820" s="10" t="inlineStr">
        <is>
          <t>INV-70277</t>
        </is>
      </c>
      <c r="B820" s="18" t="n">
        <v>45946</v>
      </c>
      <c r="C820" s="10" t="inlineStr">
        <is>
          <t>C1078</t>
        </is>
      </c>
      <c r="D820" s="10" t="inlineStr">
        <is>
          <t>regular</t>
        </is>
      </c>
      <c r="E820" s="10" t="inlineStr">
        <is>
          <t>Shopee</t>
        </is>
      </c>
      <c r="F820" s="10" t="inlineStr">
        <is>
          <t>Jabodetabek</t>
        </is>
      </c>
      <c r="G820" s="10" t="inlineStr">
        <is>
          <t>Kecantikan</t>
        </is>
      </c>
      <c r="H820" s="10" t="inlineStr">
        <is>
          <t>Serum Vit C</t>
        </is>
      </c>
      <c r="I820" s="19" t="n">
        <v>4</v>
      </c>
      <c r="J820" s="20" t="n">
        <v>145000</v>
      </c>
      <c r="K820" s="20" t="n">
        <v>580000</v>
      </c>
      <c r="L820" s="10">
        <f>IF($B820="","",TEXT($B820,"YYYY-MM"))</f>
        <v/>
      </c>
    </row>
    <row r="821">
      <c r="A821" s="10" t="inlineStr">
        <is>
          <t>INV-70106</t>
        </is>
      </c>
      <c r="B821" s="18" t="n">
        <v>45946</v>
      </c>
      <c r="C821" s="10" t="inlineStr">
        <is>
          <t>C1030</t>
        </is>
      </c>
      <c r="D821" s="10" t="inlineStr">
        <is>
          <t>onetime</t>
        </is>
      </c>
      <c r="E821" s="10" t="inlineStr">
        <is>
          <t>Tokopedia</t>
        </is>
      </c>
      <c r="F821" s="10" t="inlineStr">
        <is>
          <t>Jabodetabek</t>
        </is>
      </c>
      <c r="G821" s="10" t="inlineStr">
        <is>
          <t>Rumah Tangga</t>
        </is>
      </c>
      <c r="H821" s="10" t="inlineStr">
        <is>
          <t>Set Wadah Kedap</t>
        </is>
      </c>
      <c r="I821" s="19" t="n">
        <v>4</v>
      </c>
      <c r="J821" s="20" t="n">
        <v>135000</v>
      </c>
      <c r="K821" s="20" t="n">
        <v>540000</v>
      </c>
      <c r="L821" s="10">
        <f>IF($B821="","",TEXT($B821,"YYYY-MM"))</f>
        <v/>
      </c>
    </row>
    <row r="822">
      <c r="A822" s="10" t="inlineStr">
        <is>
          <t>INV-70615</t>
        </is>
      </c>
      <c r="B822" s="18" t="n">
        <v>45946</v>
      </c>
      <c r="C822" s="10" t="inlineStr">
        <is>
          <t>C1167</t>
        </is>
      </c>
      <c r="D822" s="10" t="inlineStr">
        <is>
          <t>occasional</t>
        </is>
      </c>
      <c r="E822" s="10" t="inlineStr">
        <is>
          <t>Shopee</t>
        </is>
      </c>
      <c r="F822" s="10" t="inlineStr">
        <is>
          <t>Jabodetabek</t>
        </is>
      </c>
      <c r="G822" s="10" t="inlineStr">
        <is>
          <t>Makanan</t>
        </is>
      </c>
      <c r="H822" s="10" t="inlineStr">
        <is>
          <t>Granola 500g</t>
        </is>
      </c>
      <c r="I822" s="19" t="n">
        <v>3</v>
      </c>
      <c r="J822" s="20" t="n">
        <v>92000</v>
      </c>
      <c r="K822" s="20" t="n">
        <v>276000</v>
      </c>
      <c r="L822" s="10">
        <f>IF($B822="","",TEXT($B822,"YYYY-MM"))</f>
        <v/>
      </c>
    </row>
    <row r="823">
      <c r="A823" s="10" t="inlineStr">
        <is>
          <t>INV-70184</t>
        </is>
      </c>
      <c r="B823" s="18" t="n">
        <v>45946</v>
      </c>
      <c r="C823" s="10" t="inlineStr">
        <is>
          <t>C1052</t>
        </is>
      </c>
      <c r="D823" s="10" t="inlineStr">
        <is>
          <t>regular</t>
        </is>
      </c>
      <c r="E823" s="10" t="inlineStr">
        <is>
          <t>TikTok Shop</t>
        </is>
      </c>
      <c r="F823" s="10" t="inlineStr">
        <is>
          <t>Lainnya</t>
        </is>
      </c>
      <c r="G823" s="10" t="inlineStr">
        <is>
          <t>Kecantikan</t>
        </is>
      </c>
      <c r="H823" s="10" t="inlineStr">
        <is>
          <t>Masker Wajah (5s)</t>
        </is>
      </c>
      <c r="I823" s="19" t="n">
        <v>2</v>
      </c>
      <c r="J823" s="20" t="n">
        <v>55000</v>
      </c>
      <c r="K823" s="20" t="n">
        <v>110000</v>
      </c>
      <c r="L823" s="10">
        <f>IF($B823="","",TEXT($B823,"YYYY-MM"))</f>
        <v/>
      </c>
    </row>
    <row r="824">
      <c r="A824" s="10" t="inlineStr">
        <is>
          <t>INV-70082</t>
        </is>
      </c>
      <c r="B824" s="18" t="n">
        <v>45947</v>
      </c>
      <c r="C824" s="10" t="inlineStr">
        <is>
          <t>C1025</t>
        </is>
      </c>
      <c r="D824" s="10" t="inlineStr">
        <is>
          <t>loyal</t>
        </is>
      </c>
      <c r="E824" s="10" t="inlineStr">
        <is>
          <t>Tokopedia</t>
        </is>
      </c>
      <c r="F824" s="10" t="inlineStr">
        <is>
          <t>Jabodetabek</t>
        </is>
      </c>
      <c r="G824" s="10" t="inlineStr">
        <is>
          <t>Makanan</t>
        </is>
      </c>
      <c r="H824" s="10" t="inlineStr">
        <is>
          <t>Granola 500g</t>
        </is>
      </c>
      <c r="I824" s="19" t="n">
        <v>2</v>
      </c>
      <c r="J824" s="20" t="n">
        <v>92000</v>
      </c>
      <c r="K824" s="20" t="n">
        <v>184000</v>
      </c>
      <c r="L824" s="10">
        <f>IF($B824="","",TEXT($B824,"YYYY-MM"))</f>
        <v/>
      </c>
    </row>
    <row r="825">
      <c r="A825" s="10" t="inlineStr">
        <is>
          <t>INV-71504</t>
        </is>
      </c>
      <c r="B825" s="18" t="n">
        <v>45947</v>
      </c>
      <c r="C825" s="10" t="inlineStr">
        <is>
          <t>C1412</t>
        </is>
      </c>
      <c r="D825" s="10" t="inlineStr">
        <is>
          <t>champion</t>
        </is>
      </c>
      <c r="E825" s="10" t="inlineStr">
        <is>
          <t>Offline Store</t>
        </is>
      </c>
      <c r="F825" s="10" t="inlineStr">
        <is>
          <t>Jawa Barat</t>
        </is>
      </c>
      <c r="G825" s="10" t="inlineStr">
        <is>
          <t>Elektronik</t>
        </is>
      </c>
      <c r="H825" s="10" t="inlineStr">
        <is>
          <t>Keyboard Mekanik</t>
        </is>
      </c>
      <c r="I825" s="19" t="n">
        <v>2</v>
      </c>
      <c r="J825" s="20" t="n">
        <v>380000</v>
      </c>
      <c r="K825" s="20" t="n">
        <v>760000</v>
      </c>
      <c r="L825" s="10">
        <f>IF($B825="","",TEXT($B825,"YYYY-MM"))</f>
        <v/>
      </c>
    </row>
    <row r="826">
      <c r="A826" s="10" t="inlineStr">
        <is>
          <t>INV-70931</t>
        </is>
      </c>
      <c r="B826" s="18" t="n">
        <v>45947</v>
      </c>
      <c r="C826" s="10" t="inlineStr">
        <is>
          <t>C1261</t>
        </is>
      </c>
      <c r="D826" s="10" t="inlineStr">
        <is>
          <t>champion</t>
        </is>
      </c>
      <c r="E826" s="10" t="inlineStr">
        <is>
          <t>TikTok Shop</t>
        </is>
      </c>
      <c r="F826" s="10" t="inlineStr">
        <is>
          <t>Jawa Timur</t>
        </is>
      </c>
      <c r="G826" s="10" t="inlineStr">
        <is>
          <t>Rumah Tangga</t>
        </is>
      </c>
      <c r="H826" s="10" t="inlineStr">
        <is>
          <t>Set Wadah Kedap</t>
        </is>
      </c>
      <c r="I826" s="19" t="n">
        <v>3</v>
      </c>
      <c r="J826" s="20" t="n">
        <v>135000</v>
      </c>
      <c r="K826" s="20" t="n">
        <v>405000</v>
      </c>
      <c r="L826" s="10">
        <f>IF($B826="","",TEXT($B826,"YYYY-MM"))</f>
        <v/>
      </c>
    </row>
    <row r="827">
      <c r="A827" s="10" t="inlineStr">
        <is>
          <t>INV-70962</t>
        </is>
      </c>
      <c r="B827" s="18" t="n">
        <v>45948</v>
      </c>
      <c r="C827" s="10" t="inlineStr">
        <is>
          <t>C1273</t>
        </is>
      </c>
      <c r="D827" s="10" t="inlineStr">
        <is>
          <t>loyal</t>
        </is>
      </c>
      <c r="E827" s="10" t="inlineStr">
        <is>
          <t>Shopee</t>
        </is>
      </c>
      <c r="F827" s="10" t="inlineStr">
        <is>
          <t>Jabodetabek</t>
        </is>
      </c>
      <c r="G827" s="10" t="inlineStr">
        <is>
          <t>Makanan</t>
        </is>
      </c>
      <c r="H827" s="10" t="inlineStr">
        <is>
          <t>Granola 500g</t>
        </is>
      </c>
      <c r="I827" s="19" t="n">
        <v>3</v>
      </c>
      <c r="J827" s="20" t="n">
        <v>92000</v>
      </c>
      <c r="K827" s="20" t="n">
        <v>276000</v>
      </c>
      <c r="L827" s="10">
        <f>IF($B827="","",TEXT($B827,"YYYY-MM"))</f>
        <v/>
      </c>
    </row>
    <row r="828">
      <c r="A828" s="10" t="inlineStr">
        <is>
          <t>INV-71466</t>
        </is>
      </c>
      <c r="B828" s="18" t="n">
        <v>45948</v>
      </c>
      <c r="C828" s="10" t="inlineStr">
        <is>
          <t>C1405</t>
        </is>
      </c>
      <c r="D828" s="10" t="inlineStr">
        <is>
          <t>regular</t>
        </is>
      </c>
      <c r="E828" s="10" t="inlineStr">
        <is>
          <t>Shopee</t>
        </is>
      </c>
      <c r="F828" s="10" t="inlineStr">
        <is>
          <t>Jabodetabek</t>
        </is>
      </c>
      <c r="G828" s="10" t="inlineStr">
        <is>
          <t>Rumah Tangga</t>
        </is>
      </c>
      <c r="H828" s="10" t="inlineStr">
        <is>
          <t>Set Wadah Kedap</t>
        </is>
      </c>
      <c r="I828" s="19" t="n">
        <v>2</v>
      </c>
      <c r="J828" s="20" t="n">
        <v>135000</v>
      </c>
      <c r="K828" s="20" t="n">
        <v>270000</v>
      </c>
      <c r="L828" s="10">
        <f>IF($B828="","",TEXT($B828,"YYYY-MM"))</f>
        <v/>
      </c>
    </row>
    <row r="829">
      <c r="A829" s="10" t="inlineStr">
        <is>
          <t>INV-70922</t>
        </is>
      </c>
      <c r="B829" s="18" t="n">
        <v>45948</v>
      </c>
      <c r="C829" s="10" t="inlineStr">
        <is>
          <t>C1261</t>
        </is>
      </c>
      <c r="D829" s="10" t="inlineStr">
        <is>
          <t>champion</t>
        </is>
      </c>
      <c r="E829" s="10" t="inlineStr">
        <is>
          <t>Offline Store</t>
        </is>
      </c>
      <c r="F829" s="10" t="inlineStr">
        <is>
          <t>Jabodetabek</t>
        </is>
      </c>
      <c r="G829" s="10" t="inlineStr">
        <is>
          <t>Fashion</t>
        </is>
      </c>
      <c r="H829" s="10" t="inlineStr">
        <is>
          <t>Kemeja Linen</t>
        </is>
      </c>
      <c r="I829" s="19" t="n">
        <v>2</v>
      </c>
      <c r="J829" s="20" t="n">
        <v>185000</v>
      </c>
      <c r="K829" s="20" t="n">
        <v>370000</v>
      </c>
      <c r="L829" s="10">
        <f>IF($B829="","",TEXT($B829,"YYYY-MM"))</f>
        <v/>
      </c>
    </row>
    <row r="830">
      <c r="A830" s="10" t="inlineStr">
        <is>
          <t>INV-71556</t>
        </is>
      </c>
      <c r="B830" s="18" t="n">
        <v>45948</v>
      </c>
      <c r="C830" s="10" t="inlineStr">
        <is>
          <t>C1428</t>
        </is>
      </c>
      <c r="D830" s="10" t="inlineStr">
        <is>
          <t>loyal</t>
        </is>
      </c>
      <c r="E830" s="10" t="inlineStr">
        <is>
          <t>Offline Store</t>
        </is>
      </c>
      <c r="F830" s="10" t="inlineStr">
        <is>
          <t>Jawa Barat</t>
        </is>
      </c>
      <c r="G830" s="10" t="inlineStr">
        <is>
          <t>Elektronik</t>
        </is>
      </c>
      <c r="H830" s="10" t="inlineStr">
        <is>
          <t>Webcam HD</t>
        </is>
      </c>
      <c r="I830" s="19" t="n">
        <v>3</v>
      </c>
      <c r="J830" s="20" t="n">
        <v>210000</v>
      </c>
      <c r="K830" s="20" t="n">
        <v>630000</v>
      </c>
      <c r="L830" s="10">
        <f>IF($B830="","",TEXT($B830,"YYYY-MM"))</f>
        <v/>
      </c>
    </row>
    <row r="831">
      <c r="A831" s="10" t="inlineStr">
        <is>
          <t>INV-71501</t>
        </is>
      </c>
      <c r="B831" s="18" t="n">
        <v>45948</v>
      </c>
      <c r="C831" s="10" t="inlineStr">
        <is>
          <t>C1412</t>
        </is>
      </c>
      <c r="D831" s="10" t="inlineStr">
        <is>
          <t>champion</t>
        </is>
      </c>
      <c r="E831" s="10" t="inlineStr">
        <is>
          <t>TikTok Shop</t>
        </is>
      </c>
      <c r="F831" s="10" t="inlineStr">
        <is>
          <t>Sumatera</t>
        </is>
      </c>
      <c r="G831" s="10" t="inlineStr">
        <is>
          <t>Elektronik</t>
        </is>
      </c>
      <c r="H831" s="10" t="inlineStr">
        <is>
          <t>Webcam HD</t>
        </is>
      </c>
      <c r="I831" s="19" t="n">
        <v>2</v>
      </c>
      <c r="J831" s="20" t="n">
        <v>210000</v>
      </c>
      <c r="K831" s="20" t="n">
        <v>420000</v>
      </c>
      <c r="L831" s="10">
        <f>IF($B831="","",TEXT($B831,"YYYY-MM"))</f>
        <v/>
      </c>
    </row>
    <row r="832">
      <c r="A832" s="10" t="inlineStr">
        <is>
          <t>INV-70565</t>
        </is>
      </c>
      <c r="B832" s="18" t="n">
        <v>45949</v>
      </c>
      <c r="C832" s="10" t="inlineStr">
        <is>
          <t>C1155</t>
        </is>
      </c>
      <c r="D832" s="10" t="inlineStr">
        <is>
          <t>onetime</t>
        </is>
      </c>
      <c r="E832" s="10" t="inlineStr">
        <is>
          <t>Shopee</t>
        </is>
      </c>
      <c r="F832" s="10" t="inlineStr">
        <is>
          <t>Jawa Timur</t>
        </is>
      </c>
      <c r="G832" s="10" t="inlineStr">
        <is>
          <t>Kecantikan</t>
        </is>
      </c>
      <c r="H832" s="10" t="inlineStr">
        <is>
          <t>Masker Wajah (5s)</t>
        </is>
      </c>
      <c r="I832" s="19" t="n">
        <v>1</v>
      </c>
      <c r="J832" s="20" t="n">
        <v>55000</v>
      </c>
      <c r="K832" s="20" t="n">
        <v>55000</v>
      </c>
      <c r="L832" s="10">
        <f>IF($B832="","",TEXT($B832,"YYYY-MM"))</f>
        <v/>
      </c>
    </row>
    <row r="833">
      <c r="A833" s="10" t="inlineStr">
        <is>
          <t>INV-70365</t>
        </is>
      </c>
      <c r="B833" s="18" t="n">
        <v>45949</v>
      </c>
      <c r="C833" s="10" t="inlineStr">
        <is>
          <t>C1102</t>
        </is>
      </c>
      <c r="D833" s="10" t="inlineStr">
        <is>
          <t>occasional</t>
        </is>
      </c>
      <c r="E833" s="10" t="inlineStr">
        <is>
          <t>Shopee</t>
        </is>
      </c>
      <c r="F833" s="10" t="inlineStr">
        <is>
          <t>Jawa Timur</t>
        </is>
      </c>
      <c r="G833" s="10" t="inlineStr">
        <is>
          <t>Rumah Tangga</t>
        </is>
      </c>
      <c r="H833" s="10" t="inlineStr">
        <is>
          <t>Organizer Laci</t>
        </is>
      </c>
      <c r="I833" s="19" t="n">
        <v>1</v>
      </c>
      <c r="J833" s="20" t="n">
        <v>78000</v>
      </c>
      <c r="K833" s="20" t="n">
        <v>78000</v>
      </c>
      <c r="L833" s="10">
        <f>IF($B833="","",TEXT($B833,"YYYY-MM"))</f>
        <v/>
      </c>
    </row>
    <row r="834">
      <c r="A834" s="10" t="inlineStr">
        <is>
          <t>INV-70456</t>
        </is>
      </c>
      <c r="B834" s="18" t="n">
        <v>45949</v>
      </c>
      <c r="C834" s="10" t="inlineStr">
        <is>
          <t>C1130</t>
        </is>
      </c>
      <c r="D834" s="10" t="inlineStr">
        <is>
          <t>loyal</t>
        </is>
      </c>
      <c r="E834" s="10" t="inlineStr">
        <is>
          <t>Shopee</t>
        </is>
      </c>
      <c r="F834" s="10" t="inlineStr">
        <is>
          <t>Jawa Tengah</t>
        </is>
      </c>
      <c r="G834" s="10" t="inlineStr">
        <is>
          <t>Rumah Tangga</t>
        </is>
      </c>
      <c r="H834" s="10" t="inlineStr">
        <is>
          <t>Organizer Laci</t>
        </is>
      </c>
      <c r="I834" s="19" t="n">
        <v>4</v>
      </c>
      <c r="J834" s="20" t="n">
        <v>78000</v>
      </c>
      <c r="K834" s="20" t="n">
        <v>312000</v>
      </c>
      <c r="L834" s="10">
        <f>IF($B834="","",TEXT($B834,"YYYY-MM"))</f>
        <v/>
      </c>
    </row>
    <row r="835">
      <c r="A835" s="10" t="inlineStr">
        <is>
          <t>INV-70718</t>
        </is>
      </c>
      <c r="B835" s="18" t="n">
        <v>45950</v>
      </c>
      <c r="C835" s="10" t="inlineStr">
        <is>
          <t>C1199</t>
        </is>
      </c>
      <c r="D835" s="10" t="inlineStr">
        <is>
          <t>loyal</t>
        </is>
      </c>
      <c r="E835" s="10" t="inlineStr">
        <is>
          <t>Shopee</t>
        </is>
      </c>
      <c r="F835" s="10" t="inlineStr">
        <is>
          <t>Jabodetabek</t>
        </is>
      </c>
      <c r="G835" s="10" t="inlineStr">
        <is>
          <t>Kecantikan</t>
        </is>
      </c>
      <c r="H835" s="10" t="inlineStr">
        <is>
          <t>Masker Wajah (5s)</t>
        </is>
      </c>
      <c r="I835" s="19" t="n">
        <v>2</v>
      </c>
      <c r="J835" s="20" t="n">
        <v>55000</v>
      </c>
      <c r="K835" s="20" t="n">
        <v>110000</v>
      </c>
      <c r="L835" s="10">
        <f>IF($B835="","",TEXT($B835,"YYYY-MM"))</f>
        <v/>
      </c>
    </row>
    <row r="836">
      <c r="A836" s="10" t="inlineStr">
        <is>
          <t>INV-70063</t>
        </is>
      </c>
      <c r="B836" s="18" t="n">
        <v>45951</v>
      </c>
      <c r="C836" s="10" t="inlineStr">
        <is>
          <t>C1017</t>
        </is>
      </c>
      <c r="D836" s="10" t="inlineStr">
        <is>
          <t>loyal</t>
        </is>
      </c>
      <c r="E836" s="10" t="inlineStr">
        <is>
          <t>Tokopedia</t>
        </is>
      </c>
      <c r="F836" s="10" t="inlineStr">
        <is>
          <t>Jawa Timur</t>
        </is>
      </c>
      <c r="G836" s="10" t="inlineStr">
        <is>
          <t>Rumah Tangga</t>
        </is>
      </c>
      <c r="H836" s="10" t="inlineStr">
        <is>
          <t>Set Wadah Kedap</t>
        </is>
      </c>
      <c r="I836" s="19" t="n">
        <v>3</v>
      </c>
      <c r="J836" s="20" t="n">
        <v>135000</v>
      </c>
      <c r="K836" s="20" t="n">
        <v>405000</v>
      </c>
      <c r="L836" s="10">
        <f>IF($B836="","",TEXT($B836,"YYYY-MM"))</f>
        <v/>
      </c>
    </row>
    <row r="837">
      <c r="A837" s="10" t="inlineStr">
        <is>
          <t>INV-71266</t>
        </is>
      </c>
      <c r="B837" s="18" t="n">
        <v>45951</v>
      </c>
      <c r="C837" s="10" t="inlineStr">
        <is>
          <t>C1358</t>
        </is>
      </c>
      <c r="D837" s="10" t="inlineStr">
        <is>
          <t>champion</t>
        </is>
      </c>
      <c r="E837" s="10" t="inlineStr">
        <is>
          <t>Shopee</t>
        </is>
      </c>
      <c r="F837" s="10" t="inlineStr">
        <is>
          <t>Jabodetabek</t>
        </is>
      </c>
      <c r="G837" s="10" t="inlineStr">
        <is>
          <t>Elektronik</t>
        </is>
      </c>
      <c r="H837" s="10" t="inlineStr">
        <is>
          <t>Webcam HD</t>
        </is>
      </c>
      <c r="I837" s="19" t="n">
        <v>3</v>
      </c>
      <c r="J837" s="20" t="n">
        <v>210000</v>
      </c>
      <c r="K837" s="20" t="n">
        <v>630000</v>
      </c>
      <c r="L837" s="10">
        <f>IF($B837="","",TEXT($B837,"YYYY-MM"))</f>
        <v/>
      </c>
    </row>
    <row r="838">
      <c r="A838" s="10" t="inlineStr">
        <is>
          <t>INV-70881</t>
        </is>
      </c>
      <c r="B838" s="18" t="n">
        <v>45951</v>
      </c>
      <c r="C838" s="10" t="inlineStr">
        <is>
          <t>C1247</t>
        </is>
      </c>
      <c r="D838" s="10" t="inlineStr">
        <is>
          <t>champion</t>
        </is>
      </c>
      <c r="E838" s="10" t="inlineStr">
        <is>
          <t>Shopee</t>
        </is>
      </c>
      <c r="F838" s="10" t="inlineStr">
        <is>
          <t>Jabodetabek</t>
        </is>
      </c>
      <c r="G838" s="10" t="inlineStr">
        <is>
          <t>Kecantikan</t>
        </is>
      </c>
      <c r="H838" s="10" t="inlineStr">
        <is>
          <t>Masker Wajah (5s)</t>
        </is>
      </c>
      <c r="I838" s="19" t="n">
        <v>1</v>
      </c>
      <c r="J838" s="20" t="n">
        <v>55000</v>
      </c>
      <c r="K838" s="20" t="n">
        <v>55000</v>
      </c>
      <c r="L838" s="10">
        <f>IF($B838="","",TEXT($B838,"YYYY-MM"))</f>
        <v/>
      </c>
    </row>
    <row r="839">
      <c r="A839" s="10" t="inlineStr">
        <is>
          <t>INV-70664</t>
        </is>
      </c>
      <c r="B839" s="18" t="n">
        <v>45951</v>
      </c>
      <c r="C839" s="10" t="inlineStr">
        <is>
          <t>C1182</t>
        </is>
      </c>
      <c r="D839" s="10" t="inlineStr">
        <is>
          <t>occasional</t>
        </is>
      </c>
      <c r="E839" s="10" t="inlineStr">
        <is>
          <t>Offline Store</t>
        </is>
      </c>
      <c r="F839" s="10" t="inlineStr">
        <is>
          <t>Jawa Timur</t>
        </is>
      </c>
      <c r="G839" s="10" t="inlineStr">
        <is>
          <t>Rumah Tangga</t>
        </is>
      </c>
      <c r="H839" s="10" t="inlineStr">
        <is>
          <t>Set Wadah Kedap</t>
        </is>
      </c>
      <c r="I839" s="19" t="n">
        <v>1</v>
      </c>
      <c r="J839" s="20" t="n">
        <v>135000</v>
      </c>
      <c r="K839" s="20" t="n">
        <v>135000</v>
      </c>
      <c r="L839" s="10">
        <f>IF($B839="","",TEXT($B839,"YYYY-MM"))</f>
        <v/>
      </c>
    </row>
    <row r="840">
      <c r="A840" s="10" t="inlineStr">
        <is>
          <t>INV-70563</t>
        </is>
      </c>
      <c r="B840" s="18" t="n">
        <v>45951</v>
      </c>
      <c r="C840" s="10" t="inlineStr">
        <is>
          <t>C1155</t>
        </is>
      </c>
      <c r="D840" s="10" t="inlineStr">
        <is>
          <t>onetime</t>
        </is>
      </c>
      <c r="E840" s="10" t="inlineStr">
        <is>
          <t>Offline Store</t>
        </is>
      </c>
      <c r="F840" s="10" t="inlineStr">
        <is>
          <t>Jawa Tengah</t>
        </is>
      </c>
      <c r="G840" s="10" t="inlineStr">
        <is>
          <t>Rumah Tangga</t>
        </is>
      </c>
      <c r="H840" s="10" t="inlineStr">
        <is>
          <t>Set Wadah Kedap</t>
        </is>
      </c>
      <c r="I840" s="19" t="n">
        <v>1</v>
      </c>
      <c r="J840" s="20" t="n">
        <v>135000</v>
      </c>
      <c r="K840" s="20" t="n">
        <v>135000</v>
      </c>
      <c r="L840" s="10">
        <f>IF($B840="","",TEXT($B840,"YYYY-MM"))</f>
        <v/>
      </c>
    </row>
    <row r="841">
      <c r="A841" s="10" t="inlineStr">
        <is>
          <t>INV-71268</t>
        </is>
      </c>
      <c r="B841" s="18" t="n">
        <v>45952</v>
      </c>
      <c r="C841" s="10" t="inlineStr">
        <is>
          <t>C1358</t>
        </is>
      </c>
      <c r="D841" s="10" t="inlineStr">
        <is>
          <t>champion</t>
        </is>
      </c>
      <c r="E841" s="10" t="inlineStr">
        <is>
          <t>Tokopedia</t>
        </is>
      </c>
      <c r="F841" s="10" t="inlineStr">
        <is>
          <t>Jawa Barat</t>
        </is>
      </c>
      <c r="G841" s="10" t="inlineStr">
        <is>
          <t>Elektronik</t>
        </is>
      </c>
      <c r="H841" s="10" t="inlineStr">
        <is>
          <t>Smartwatch</t>
        </is>
      </c>
      <c r="I841" s="19" t="n">
        <v>3</v>
      </c>
      <c r="J841" s="20" t="n">
        <v>450000</v>
      </c>
      <c r="K841" s="20" t="n">
        <v>1350000</v>
      </c>
      <c r="L841" s="10">
        <f>IF($B841="","",TEXT($B841,"YYYY-MM"))</f>
        <v/>
      </c>
    </row>
    <row r="842">
      <c r="A842" s="10" t="inlineStr">
        <is>
          <t>INV-71212</t>
        </is>
      </c>
      <c r="B842" s="18" t="n">
        <v>45952</v>
      </c>
      <c r="C842" s="10" t="inlineStr">
        <is>
          <t>C1344</t>
        </is>
      </c>
      <c r="D842" s="10" t="inlineStr">
        <is>
          <t>loyal</t>
        </is>
      </c>
      <c r="E842" s="10" t="inlineStr">
        <is>
          <t>TikTok Shop</t>
        </is>
      </c>
      <c r="F842" s="10" t="inlineStr">
        <is>
          <t>Jabodetabek</t>
        </is>
      </c>
      <c r="G842" s="10" t="inlineStr">
        <is>
          <t>Makanan</t>
        </is>
      </c>
      <c r="H842" s="10" t="inlineStr">
        <is>
          <t>Madu Hutan 250ml</t>
        </is>
      </c>
      <c r="I842" s="19" t="n">
        <v>1</v>
      </c>
      <c r="J842" s="20" t="n">
        <v>110000</v>
      </c>
      <c r="K842" s="20" t="n">
        <v>110000</v>
      </c>
      <c r="L842" s="10">
        <f>IF($B842="","",TEXT($B842,"YYYY-MM"))</f>
        <v/>
      </c>
    </row>
    <row r="843">
      <c r="A843" s="10" t="inlineStr">
        <is>
          <t>INV-70138</t>
        </is>
      </c>
      <c r="B843" s="18" t="n">
        <v>45953</v>
      </c>
      <c r="C843" s="10" t="inlineStr">
        <is>
          <t>C1039</t>
        </is>
      </c>
      <c r="D843" s="10" t="inlineStr">
        <is>
          <t>loyal</t>
        </is>
      </c>
      <c r="E843" s="10" t="inlineStr">
        <is>
          <t>Tokopedia</t>
        </is>
      </c>
      <c r="F843" s="10" t="inlineStr">
        <is>
          <t>Jawa Tengah</t>
        </is>
      </c>
      <c r="G843" s="10" t="inlineStr">
        <is>
          <t>Rumah Tangga</t>
        </is>
      </c>
      <c r="H843" s="10" t="inlineStr">
        <is>
          <t>Organizer Laci</t>
        </is>
      </c>
      <c r="I843" s="19" t="n">
        <v>1</v>
      </c>
      <c r="J843" s="20" t="n">
        <v>78000</v>
      </c>
      <c r="K843" s="20" t="n">
        <v>78000</v>
      </c>
      <c r="L843" s="10">
        <f>IF($B843="","",TEXT($B843,"YYYY-MM"))</f>
        <v/>
      </c>
    </row>
    <row r="844">
      <c r="A844" s="10" t="inlineStr">
        <is>
          <t>INV-70638</t>
        </is>
      </c>
      <c r="B844" s="18" t="n">
        <v>45953</v>
      </c>
      <c r="C844" s="10" t="inlineStr">
        <is>
          <t>C1174</t>
        </is>
      </c>
      <c r="D844" s="10" t="inlineStr">
        <is>
          <t>loyal</t>
        </is>
      </c>
      <c r="E844" s="10" t="inlineStr">
        <is>
          <t>Offline Store</t>
        </is>
      </c>
      <c r="F844" s="10" t="inlineStr">
        <is>
          <t>Sumatera</t>
        </is>
      </c>
      <c r="G844" s="10" t="inlineStr">
        <is>
          <t>Rumah Tangga</t>
        </is>
      </c>
      <c r="H844" s="10" t="inlineStr">
        <is>
          <t>Set Wadah Kedap</t>
        </is>
      </c>
      <c r="I844" s="19" t="n">
        <v>2</v>
      </c>
      <c r="J844" s="20" t="n">
        <v>135000</v>
      </c>
      <c r="K844" s="20" t="n">
        <v>270000</v>
      </c>
      <c r="L844" s="10">
        <f>IF($B844="","",TEXT($B844,"YYYY-MM"))</f>
        <v/>
      </c>
    </row>
    <row r="845">
      <c r="A845" s="10" t="inlineStr">
        <is>
          <t>INV-71131</t>
        </is>
      </c>
      <c r="B845" s="18" t="n">
        <v>45953</v>
      </c>
      <c r="C845" s="10" t="inlineStr">
        <is>
          <t>C1321</t>
        </is>
      </c>
      <c r="D845" s="10" t="inlineStr">
        <is>
          <t>occasional</t>
        </is>
      </c>
      <c r="E845" s="10" t="inlineStr">
        <is>
          <t>Offline Store</t>
        </is>
      </c>
      <c r="F845" s="10" t="inlineStr">
        <is>
          <t>Sumatera</t>
        </is>
      </c>
      <c r="G845" s="10" t="inlineStr">
        <is>
          <t>Elektronik</t>
        </is>
      </c>
      <c r="H845" s="10" t="inlineStr">
        <is>
          <t>Smartwatch</t>
        </is>
      </c>
      <c r="I845" s="19" t="n">
        <v>1</v>
      </c>
      <c r="J845" s="20" t="n">
        <v>450000</v>
      </c>
      <c r="K845" s="20" t="n">
        <v>450000</v>
      </c>
      <c r="L845" s="10">
        <f>IF($B845="","",TEXT($B845,"YYYY-MM"))</f>
        <v/>
      </c>
    </row>
    <row r="846">
      <c r="A846" s="10" t="inlineStr">
        <is>
          <t>INV-70014</t>
        </is>
      </c>
      <c r="B846" s="18" t="n">
        <v>45953</v>
      </c>
      <c r="C846" s="10" t="inlineStr">
        <is>
          <t>C1003</t>
        </is>
      </c>
      <c r="D846" s="10" t="inlineStr">
        <is>
          <t>regular</t>
        </is>
      </c>
      <c r="E846" s="10" t="inlineStr">
        <is>
          <t>Tokopedia</t>
        </is>
      </c>
      <c r="F846" s="10" t="inlineStr">
        <is>
          <t>Lainnya</t>
        </is>
      </c>
      <c r="G846" s="10" t="inlineStr">
        <is>
          <t>Elektronik</t>
        </is>
      </c>
      <c r="H846" s="10" t="inlineStr">
        <is>
          <t>Power Bank 20K</t>
        </is>
      </c>
      <c r="I846" s="19" t="n">
        <v>1</v>
      </c>
      <c r="J846" s="20" t="n">
        <v>185000</v>
      </c>
      <c r="K846" s="20" t="n">
        <v>185000</v>
      </c>
      <c r="L846" s="10">
        <f>IF($B846="","",TEXT($B846,"YYYY-MM"))</f>
        <v/>
      </c>
    </row>
    <row r="847">
      <c r="A847" s="10" t="inlineStr">
        <is>
          <t>INV-71219</t>
        </is>
      </c>
      <c r="B847" s="18" t="n">
        <v>45953</v>
      </c>
      <c r="C847" s="10" t="inlineStr">
        <is>
          <t>C1346</t>
        </is>
      </c>
      <c r="D847" s="10" t="inlineStr">
        <is>
          <t>regular</t>
        </is>
      </c>
      <c r="E847" s="10" t="inlineStr">
        <is>
          <t>Shopee</t>
        </is>
      </c>
      <c r="F847" s="10" t="inlineStr">
        <is>
          <t>Jabodetabek</t>
        </is>
      </c>
      <c r="G847" s="10" t="inlineStr">
        <is>
          <t>Rumah Tangga</t>
        </is>
      </c>
      <c r="H847" s="10" t="inlineStr">
        <is>
          <t>Set Wadah Kedap</t>
        </is>
      </c>
      <c r="I847" s="19" t="n">
        <v>2</v>
      </c>
      <c r="J847" s="20" t="n">
        <v>135000</v>
      </c>
      <c r="K847" s="20" t="n">
        <v>270000</v>
      </c>
      <c r="L847" s="10">
        <f>IF($B847="","",TEXT($B847,"YYYY-MM"))</f>
        <v/>
      </c>
    </row>
    <row r="848">
      <c r="A848" s="10" t="inlineStr">
        <is>
          <t>INV-71549</t>
        </is>
      </c>
      <c r="B848" s="18" t="n">
        <v>45953</v>
      </c>
      <c r="C848" s="10" t="inlineStr">
        <is>
          <t>C1427</t>
        </is>
      </c>
      <c r="D848" s="10" t="inlineStr">
        <is>
          <t>occasional</t>
        </is>
      </c>
      <c r="E848" s="10" t="inlineStr">
        <is>
          <t>TikTok Shop</t>
        </is>
      </c>
      <c r="F848" s="10" t="inlineStr">
        <is>
          <t>Sumatera</t>
        </is>
      </c>
      <c r="G848" s="10" t="inlineStr">
        <is>
          <t>Elektronik</t>
        </is>
      </c>
      <c r="H848" s="10" t="inlineStr">
        <is>
          <t>Keyboard Mekanik</t>
        </is>
      </c>
      <c r="I848" s="19" t="n">
        <v>2</v>
      </c>
      <c r="J848" s="20" t="n">
        <v>380000</v>
      </c>
      <c r="K848" s="20" t="n">
        <v>760000</v>
      </c>
      <c r="L848" s="10">
        <f>IF($B848="","",TEXT($B848,"YYYY-MM"))</f>
        <v/>
      </c>
    </row>
    <row r="849">
      <c r="A849" s="10" t="inlineStr">
        <is>
          <t>INV-71271</t>
        </is>
      </c>
      <c r="B849" s="18" t="n">
        <v>45953</v>
      </c>
      <c r="C849" s="10" t="inlineStr">
        <is>
          <t>C1358</t>
        </is>
      </c>
      <c r="D849" s="10" t="inlineStr">
        <is>
          <t>champion</t>
        </is>
      </c>
      <c r="E849" s="10" t="inlineStr">
        <is>
          <t>Tokopedia</t>
        </is>
      </c>
      <c r="F849" s="10" t="inlineStr">
        <is>
          <t>Jawa Timur</t>
        </is>
      </c>
      <c r="G849" s="10" t="inlineStr">
        <is>
          <t>Elektronik</t>
        </is>
      </c>
      <c r="H849" s="10" t="inlineStr">
        <is>
          <t>Webcam HD</t>
        </is>
      </c>
      <c r="I849" s="19" t="n">
        <v>3</v>
      </c>
      <c r="J849" s="20" t="n">
        <v>210000</v>
      </c>
      <c r="K849" s="20" t="n">
        <v>630000</v>
      </c>
      <c r="L849" s="10">
        <f>IF($B849="","",TEXT($B849,"YYYY-MM"))</f>
        <v/>
      </c>
    </row>
    <row r="850">
      <c r="A850" s="10" t="inlineStr">
        <is>
          <t>INV-71460</t>
        </is>
      </c>
      <c r="B850" s="18" t="n">
        <v>45953</v>
      </c>
      <c r="C850" s="10" t="inlineStr">
        <is>
          <t>C1404</t>
        </is>
      </c>
      <c r="D850" s="10" t="inlineStr">
        <is>
          <t>loyal</t>
        </is>
      </c>
      <c r="E850" s="10" t="inlineStr">
        <is>
          <t>Tokopedia</t>
        </is>
      </c>
      <c r="F850" s="10" t="inlineStr">
        <is>
          <t>Jawa Tengah</t>
        </is>
      </c>
      <c r="G850" s="10" t="inlineStr">
        <is>
          <t>Rumah Tangga</t>
        </is>
      </c>
      <c r="H850" s="10" t="inlineStr">
        <is>
          <t>Set Wadah Kedap</t>
        </is>
      </c>
      <c r="I850" s="19" t="n">
        <v>4</v>
      </c>
      <c r="J850" s="20" t="n">
        <v>135000</v>
      </c>
      <c r="K850" s="20" t="n">
        <v>540000</v>
      </c>
      <c r="L850" s="10">
        <f>IF($B850="","",TEXT($B850,"YYYY-MM"))</f>
        <v/>
      </c>
    </row>
    <row r="851">
      <c r="A851" s="10" t="inlineStr">
        <is>
          <t>INV-71024</t>
        </is>
      </c>
      <c r="B851" s="18" t="n">
        <v>45953</v>
      </c>
      <c r="C851" s="10" t="inlineStr">
        <is>
          <t>C1291</t>
        </is>
      </c>
      <c r="D851" s="10" t="inlineStr">
        <is>
          <t>regular</t>
        </is>
      </c>
      <c r="E851" s="10" t="inlineStr">
        <is>
          <t>Shopee</t>
        </is>
      </c>
      <c r="F851" s="10" t="inlineStr">
        <is>
          <t>Jawa Barat</t>
        </is>
      </c>
      <c r="G851" s="10" t="inlineStr">
        <is>
          <t>Elektronik</t>
        </is>
      </c>
      <c r="H851" s="10" t="inlineStr">
        <is>
          <t>Power Bank 20K</t>
        </is>
      </c>
      <c r="I851" s="19" t="n">
        <v>1</v>
      </c>
      <c r="J851" s="20" t="n">
        <v>185000</v>
      </c>
      <c r="K851" s="20" t="n">
        <v>185000</v>
      </c>
      <c r="L851" s="10">
        <f>IF($B851="","",TEXT($B851,"YYYY-MM"))</f>
        <v/>
      </c>
    </row>
    <row r="852">
      <c r="A852" s="10" t="inlineStr">
        <is>
          <t>INV-71400</t>
        </is>
      </c>
      <c r="B852" s="18" t="n">
        <v>45954</v>
      </c>
      <c r="C852" s="10" t="inlineStr">
        <is>
          <t>C1386</t>
        </is>
      </c>
      <c r="D852" s="10" t="inlineStr">
        <is>
          <t>loyal</t>
        </is>
      </c>
      <c r="E852" s="10" t="inlineStr">
        <is>
          <t>Shopee</t>
        </is>
      </c>
      <c r="F852" s="10" t="inlineStr">
        <is>
          <t>Jabodetabek</t>
        </is>
      </c>
      <c r="G852" s="10" t="inlineStr">
        <is>
          <t>Rumah Tangga</t>
        </is>
      </c>
      <c r="H852" s="10" t="inlineStr">
        <is>
          <t>Organizer Laci</t>
        </is>
      </c>
      <c r="I852" s="19" t="n">
        <v>4</v>
      </c>
      <c r="J852" s="20" t="n">
        <v>78000</v>
      </c>
      <c r="K852" s="20" t="n">
        <v>312000</v>
      </c>
      <c r="L852" s="10">
        <f>IF($B852="","",TEXT($B852,"YYYY-MM"))</f>
        <v/>
      </c>
    </row>
    <row r="853">
      <c r="A853" s="10" t="inlineStr">
        <is>
          <t>INV-71137</t>
        </is>
      </c>
      <c r="B853" s="18" t="n">
        <v>45954</v>
      </c>
      <c r="C853" s="10" t="inlineStr">
        <is>
          <t>C1322</t>
        </is>
      </c>
      <c r="D853" s="10" t="inlineStr">
        <is>
          <t>loyal</t>
        </is>
      </c>
      <c r="E853" s="10" t="inlineStr">
        <is>
          <t>Shopee</t>
        </is>
      </c>
      <c r="F853" s="10" t="inlineStr">
        <is>
          <t>Jabodetabek</t>
        </is>
      </c>
      <c r="G853" s="10" t="inlineStr">
        <is>
          <t>Rumah Tangga</t>
        </is>
      </c>
      <c r="H853" s="10" t="inlineStr">
        <is>
          <t>Set Wadah Kedap</t>
        </is>
      </c>
      <c r="I853" s="19" t="n">
        <v>1</v>
      </c>
      <c r="J853" s="20" t="n">
        <v>135000</v>
      </c>
      <c r="K853" s="20" t="n">
        <v>135000</v>
      </c>
      <c r="L853" s="10">
        <f>IF($B853="","",TEXT($B853,"YYYY-MM"))</f>
        <v/>
      </c>
    </row>
    <row r="854">
      <c r="A854" s="10" t="inlineStr">
        <is>
          <t>INV-70609</t>
        </is>
      </c>
      <c r="B854" s="18" t="n">
        <v>45954</v>
      </c>
      <c r="C854" s="10" t="inlineStr">
        <is>
          <t>C1165</t>
        </is>
      </c>
      <c r="D854" s="10" t="inlineStr">
        <is>
          <t>regular</t>
        </is>
      </c>
      <c r="E854" s="10" t="inlineStr">
        <is>
          <t>Offline Store</t>
        </is>
      </c>
      <c r="F854" s="10" t="inlineStr">
        <is>
          <t>Jabodetabek</t>
        </is>
      </c>
      <c r="G854" s="10" t="inlineStr">
        <is>
          <t>Makanan</t>
        </is>
      </c>
      <c r="H854" s="10" t="inlineStr">
        <is>
          <t>Madu Hutan 250ml</t>
        </is>
      </c>
      <c r="I854" s="19" t="n">
        <v>1</v>
      </c>
      <c r="J854" s="20" t="n">
        <v>110000</v>
      </c>
      <c r="K854" s="20" t="n">
        <v>110000</v>
      </c>
      <c r="L854" s="10">
        <f>IF($B854="","",TEXT($B854,"YYYY-MM"))</f>
        <v/>
      </c>
    </row>
    <row r="855">
      <c r="A855" s="10" t="inlineStr">
        <is>
          <t>INV-70984</t>
        </is>
      </c>
      <c r="B855" s="18" t="n">
        <v>45954</v>
      </c>
      <c r="C855" s="10" t="inlineStr">
        <is>
          <t>C1283</t>
        </is>
      </c>
      <c r="D855" s="10" t="inlineStr">
        <is>
          <t>loyal</t>
        </is>
      </c>
      <c r="E855" s="10" t="inlineStr">
        <is>
          <t>Offline Store</t>
        </is>
      </c>
      <c r="F855" s="10" t="inlineStr">
        <is>
          <t>Jabodetabek</t>
        </is>
      </c>
      <c r="G855" s="10" t="inlineStr">
        <is>
          <t>Fashion</t>
        </is>
      </c>
      <c r="H855" s="10" t="inlineStr">
        <is>
          <t>Jaket Denim</t>
        </is>
      </c>
      <c r="I855" s="19" t="n">
        <v>3</v>
      </c>
      <c r="J855" s="20" t="n">
        <v>320000</v>
      </c>
      <c r="K855" s="20" t="n">
        <v>960000</v>
      </c>
      <c r="L855" s="10">
        <f>IF($B855="","",TEXT($B855,"YYYY-MM"))</f>
        <v/>
      </c>
    </row>
    <row r="856">
      <c r="A856" s="10" t="inlineStr">
        <is>
          <t>INV-70430</t>
        </is>
      </c>
      <c r="B856" s="18" t="n">
        <v>45955</v>
      </c>
      <c r="C856" s="10" t="inlineStr">
        <is>
          <t>C1122</t>
        </is>
      </c>
      <c r="D856" s="10" t="inlineStr">
        <is>
          <t>loyal</t>
        </is>
      </c>
      <c r="E856" s="10" t="inlineStr">
        <is>
          <t>Tokopedia</t>
        </is>
      </c>
      <c r="F856" s="10" t="inlineStr">
        <is>
          <t>Jabodetabek</t>
        </is>
      </c>
      <c r="G856" s="10" t="inlineStr">
        <is>
          <t>Rumah Tangga</t>
        </is>
      </c>
      <c r="H856" s="10" t="inlineStr">
        <is>
          <t>Set Wadah Kedap</t>
        </is>
      </c>
      <c r="I856" s="19" t="n">
        <v>1</v>
      </c>
      <c r="J856" s="20" t="n">
        <v>135000</v>
      </c>
      <c r="K856" s="20" t="n">
        <v>135000</v>
      </c>
      <c r="L856" s="10">
        <f>IF($B856="","",TEXT($B856,"YYYY-MM"))</f>
        <v/>
      </c>
    </row>
    <row r="857">
      <c r="A857" s="10" t="inlineStr">
        <is>
          <t>INV-71330</t>
        </is>
      </c>
      <c r="B857" s="18" t="n">
        <v>45955</v>
      </c>
      <c r="C857" s="10" t="inlineStr">
        <is>
          <t>C1366</t>
        </is>
      </c>
      <c r="D857" s="10" t="inlineStr">
        <is>
          <t>loyal</t>
        </is>
      </c>
      <c r="E857" s="10" t="inlineStr">
        <is>
          <t>Shopee</t>
        </is>
      </c>
      <c r="F857" s="10" t="inlineStr">
        <is>
          <t>Jawa Barat</t>
        </is>
      </c>
      <c r="G857" s="10" t="inlineStr">
        <is>
          <t>Rumah Tangga</t>
        </is>
      </c>
      <c r="H857" s="10" t="inlineStr">
        <is>
          <t>Karpet Bulu</t>
        </is>
      </c>
      <c r="I857" s="19" t="n">
        <v>3</v>
      </c>
      <c r="J857" s="20" t="n">
        <v>240000</v>
      </c>
      <c r="K857" s="20" t="n">
        <v>720000</v>
      </c>
      <c r="L857" s="10">
        <f>IF($B857="","",TEXT($B857,"YYYY-MM"))</f>
        <v/>
      </c>
    </row>
    <row r="858">
      <c r="A858" s="10" t="inlineStr">
        <is>
          <t>INV-70366</t>
        </is>
      </c>
      <c r="B858" s="18" t="n">
        <v>45955</v>
      </c>
      <c r="C858" s="10" t="inlineStr">
        <is>
          <t>C1102</t>
        </is>
      </c>
      <c r="D858" s="10" t="inlineStr">
        <is>
          <t>occasional</t>
        </is>
      </c>
      <c r="E858" s="10" t="inlineStr">
        <is>
          <t>Shopee</t>
        </is>
      </c>
      <c r="F858" s="10" t="inlineStr">
        <is>
          <t>Jawa Tengah</t>
        </is>
      </c>
      <c r="G858" s="10" t="inlineStr">
        <is>
          <t>Elektronik</t>
        </is>
      </c>
      <c r="H858" s="10" t="inlineStr">
        <is>
          <t>Power Bank 20K</t>
        </is>
      </c>
      <c r="I858" s="19" t="n">
        <v>4</v>
      </c>
      <c r="J858" s="20" t="n">
        <v>185000</v>
      </c>
      <c r="K858" s="20" t="n">
        <v>740000</v>
      </c>
      <c r="L858" s="10">
        <f>IF($B858="","",TEXT($B858,"YYYY-MM"))</f>
        <v/>
      </c>
    </row>
    <row r="859">
      <c r="A859" s="10" t="inlineStr">
        <is>
          <t>INV-70008</t>
        </is>
      </c>
      <c r="B859" s="18" t="n">
        <v>45955</v>
      </c>
      <c r="C859" s="10" t="inlineStr">
        <is>
          <t>C1002</t>
        </is>
      </c>
      <c r="D859" s="10" t="inlineStr">
        <is>
          <t>loyal</t>
        </is>
      </c>
      <c r="E859" s="10" t="inlineStr">
        <is>
          <t>Offline Store</t>
        </is>
      </c>
      <c r="F859" s="10" t="inlineStr">
        <is>
          <t>Sumatera</t>
        </is>
      </c>
      <c r="G859" s="10" t="inlineStr">
        <is>
          <t>Kecantikan</t>
        </is>
      </c>
      <c r="H859" s="10" t="inlineStr">
        <is>
          <t>Lip Tint</t>
        </is>
      </c>
      <c r="I859" s="19" t="n">
        <v>1</v>
      </c>
      <c r="J859" s="20" t="n">
        <v>65000</v>
      </c>
      <c r="K859" s="20" t="n">
        <v>65000</v>
      </c>
      <c r="L859" s="10">
        <f>IF($B859="","",TEXT($B859,"YYYY-MM"))</f>
        <v/>
      </c>
    </row>
    <row r="860">
      <c r="A860" s="10" t="inlineStr">
        <is>
          <t>INV-71371</t>
        </is>
      </c>
      <c r="B860" s="18" t="n">
        <v>45955</v>
      </c>
      <c r="C860" s="10" t="inlineStr">
        <is>
          <t>C1378</t>
        </is>
      </c>
      <c r="D860" s="10" t="inlineStr">
        <is>
          <t>regular</t>
        </is>
      </c>
      <c r="E860" s="10" t="inlineStr">
        <is>
          <t>Shopee</t>
        </is>
      </c>
      <c r="F860" s="10" t="inlineStr">
        <is>
          <t>Jabodetabek</t>
        </is>
      </c>
      <c r="G860" s="10" t="inlineStr">
        <is>
          <t>Elektronik</t>
        </is>
      </c>
      <c r="H860" s="10" t="inlineStr">
        <is>
          <t>Webcam HD</t>
        </is>
      </c>
      <c r="I860" s="19" t="n">
        <v>4</v>
      </c>
      <c r="J860" s="20" t="n">
        <v>210000</v>
      </c>
      <c r="K860" s="20" t="n">
        <v>840000</v>
      </c>
      <c r="L860" s="10">
        <f>IF($B860="","",TEXT($B860,"YYYY-MM"))</f>
        <v/>
      </c>
    </row>
    <row r="861">
      <c r="A861" s="10" t="inlineStr">
        <is>
          <t>INV-71388</t>
        </is>
      </c>
      <c r="B861" s="18" t="n">
        <v>45956</v>
      </c>
      <c r="C861" s="10" t="inlineStr">
        <is>
          <t>C1384</t>
        </is>
      </c>
      <c r="D861" s="10" t="inlineStr">
        <is>
          <t>regular</t>
        </is>
      </c>
      <c r="E861" s="10" t="inlineStr">
        <is>
          <t>Offline Store</t>
        </is>
      </c>
      <c r="F861" s="10" t="inlineStr">
        <is>
          <t>Jawa Timur</t>
        </is>
      </c>
      <c r="G861" s="10" t="inlineStr">
        <is>
          <t>Rumah Tangga</t>
        </is>
      </c>
      <c r="H861" s="10" t="inlineStr">
        <is>
          <t>Set Wadah Kedap</t>
        </is>
      </c>
      <c r="I861" s="19" t="n">
        <v>1</v>
      </c>
      <c r="J861" s="20" t="n">
        <v>135000</v>
      </c>
      <c r="K861" s="20" t="n">
        <v>135000</v>
      </c>
      <c r="L861" s="10">
        <f>IF($B861="","",TEXT($B861,"YYYY-MM"))</f>
        <v/>
      </c>
    </row>
    <row r="862">
      <c r="A862" s="10" t="inlineStr">
        <is>
          <t>INV-70089</t>
        </is>
      </c>
      <c r="B862" s="18" t="n">
        <v>45956</v>
      </c>
      <c r="C862" s="10" t="inlineStr">
        <is>
          <t>C1027</t>
        </is>
      </c>
      <c r="D862" s="10" t="inlineStr">
        <is>
          <t>occasional</t>
        </is>
      </c>
      <c r="E862" s="10" t="inlineStr">
        <is>
          <t>Shopee</t>
        </is>
      </c>
      <c r="F862" s="10" t="inlineStr">
        <is>
          <t>Jawa Timur</t>
        </is>
      </c>
      <c r="G862" s="10" t="inlineStr">
        <is>
          <t>Elektronik</t>
        </is>
      </c>
      <c r="H862" s="10" t="inlineStr">
        <is>
          <t>Smartwatch</t>
        </is>
      </c>
      <c r="I862" s="19" t="n">
        <v>1</v>
      </c>
      <c r="J862" s="20" t="n">
        <v>450000</v>
      </c>
      <c r="K862" s="20" t="n">
        <v>450000</v>
      </c>
      <c r="L862" s="10">
        <f>IF($B862="","",TEXT($B862,"YYYY-MM"))</f>
        <v/>
      </c>
    </row>
    <row r="863">
      <c r="A863" s="10" t="inlineStr">
        <is>
          <t>INV-70220</t>
        </is>
      </c>
      <c r="B863" s="18" t="n">
        <v>45956</v>
      </c>
      <c r="C863" s="10" t="inlineStr">
        <is>
          <t>C1061</t>
        </is>
      </c>
      <c r="D863" s="10" t="inlineStr">
        <is>
          <t>occasional</t>
        </is>
      </c>
      <c r="E863" s="10" t="inlineStr">
        <is>
          <t>Shopee</t>
        </is>
      </c>
      <c r="F863" s="10" t="inlineStr">
        <is>
          <t>Jawa Timur</t>
        </is>
      </c>
      <c r="G863" s="10" t="inlineStr">
        <is>
          <t>Elektronik</t>
        </is>
      </c>
      <c r="H863" s="10" t="inlineStr">
        <is>
          <t>Power Bank 20K</t>
        </is>
      </c>
      <c r="I863" s="19" t="n">
        <v>2</v>
      </c>
      <c r="J863" s="20" t="n">
        <v>185000</v>
      </c>
      <c r="K863" s="20" t="n">
        <v>370000</v>
      </c>
      <c r="L863" s="10">
        <f>IF($B863="","",TEXT($B863,"YYYY-MM"))</f>
        <v/>
      </c>
    </row>
    <row r="864">
      <c r="A864" s="10" t="inlineStr">
        <is>
          <t>INV-70233</t>
        </is>
      </c>
      <c r="B864" s="18" t="n">
        <v>45956</v>
      </c>
      <c r="C864" s="10" t="inlineStr">
        <is>
          <t>C1066</t>
        </is>
      </c>
      <c r="D864" s="10" t="inlineStr">
        <is>
          <t>loyal</t>
        </is>
      </c>
      <c r="E864" s="10" t="inlineStr">
        <is>
          <t>Offline Store</t>
        </is>
      </c>
      <c r="F864" s="10" t="inlineStr">
        <is>
          <t>Jawa Barat</t>
        </is>
      </c>
      <c r="G864" s="10" t="inlineStr">
        <is>
          <t>Elektronik</t>
        </is>
      </c>
      <c r="H864" s="10" t="inlineStr">
        <is>
          <t>Power Bank 20K</t>
        </is>
      </c>
      <c r="I864" s="19" t="n">
        <v>2</v>
      </c>
      <c r="J864" s="20" t="n">
        <v>185000</v>
      </c>
      <c r="K864" s="20" t="n">
        <v>370000</v>
      </c>
      <c r="L864" s="10">
        <f>IF($B864="","",TEXT($B864,"YYYY-MM"))</f>
        <v/>
      </c>
    </row>
    <row r="865">
      <c r="A865" s="10" t="inlineStr">
        <is>
          <t>INV-70240</t>
        </is>
      </c>
      <c r="B865" s="18" t="n">
        <v>45956</v>
      </c>
      <c r="C865" s="10" t="inlineStr">
        <is>
          <t>C1068</t>
        </is>
      </c>
      <c r="D865" s="10" t="inlineStr">
        <is>
          <t>onetime</t>
        </is>
      </c>
      <c r="E865" s="10" t="inlineStr">
        <is>
          <t>Tokopedia</t>
        </is>
      </c>
      <c r="F865" s="10" t="inlineStr">
        <is>
          <t>Jawa Timur</t>
        </is>
      </c>
      <c r="G865" s="10" t="inlineStr">
        <is>
          <t>Rumah Tangga</t>
        </is>
      </c>
      <c r="H865" s="10" t="inlineStr">
        <is>
          <t>Set Wadah Kedap</t>
        </is>
      </c>
      <c r="I865" s="19" t="n">
        <v>4</v>
      </c>
      <c r="J865" s="20" t="n">
        <v>135000</v>
      </c>
      <c r="K865" s="20" t="n">
        <v>540000</v>
      </c>
      <c r="L865" s="10">
        <f>IF($B865="","",TEXT($B865,"YYYY-MM"))</f>
        <v/>
      </c>
    </row>
    <row r="866">
      <c r="A866" s="10" t="inlineStr">
        <is>
          <t>INV-71410</t>
        </is>
      </c>
      <c r="B866" s="18" t="n">
        <v>45956</v>
      </c>
      <c r="C866" s="10" t="inlineStr">
        <is>
          <t>C1389</t>
        </is>
      </c>
      <c r="D866" s="10" t="inlineStr">
        <is>
          <t>regular</t>
        </is>
      </c>
      <c r="E866" s="10" t="inlineStr">
        <is>
          <t>Shopee</t>
        </is>
      </c>
      <c r="F866" s="10" t="inlineStr">
        <is>
          <t>Sumatera</t>
        </is>
      </c>
      <c r="G866" s="10" t="inlineStr">
        <is>
          <t>Rumah Tangga</t>
        </is>
      </c>
      <c r="H866" s="10" t="inlineStr">
        <is>
          <t>Diffuser Aroma</t>
        </is>
      </c>
      <c r="I866" s="19" t="n">
        <v>1</v>
      </c>
      <c r="J866" s="20" t="n">
        <v>195000</v>
      </c>
      <c r="K866" s="20" t="n">
        <v>195000</v>
      </c>
      <c r="L866" s="10">
        <f>IF($B866="","",TEXT($B866,"YYYY-MM"))</f>
        <v/>
      </c>
    </row>
    <row r="867">
      <c r="A867" s="10" t="inlineStr">
        <is>
          <t>INV-70320</t>
        </is>
      </c>
      <c r="B867" s="18" t="n">
        <v>45957</v>
      </c>
      <c r="C867" s="10" t="inlineStr">
        <is>
          <t>C1088</t>
        </is>
      </c>
      <c r="D867" s="10" t="inlineStr">
        <is>
          <t>champion</t>
        </is>
      </c>
      <c r="E867" s="10" t="inlineStr">
        <is>
          <t>Tokopedia</t>
        </is>
      </c>
      <c r="F867" s="10" t="inlineStr">
        <is>
          <t>Jabodetabek</t>
        </is>
      </c>
      <c r="G867" s="10" t="inlineStr">
        <is>
          <t>Rumah Tangga</t>
        </is>
      </c>
      <c r="H867" s="10" t="inlineStr">
        <is>
          <t>Set Wadah Kedap</t>
        </is>
      </c>
      <c r="I867" s="19" t="n">
        <v>1</v>
      </c>
      <c r="J867" s="20" t="n">
        <v>135000</v>
      </c>
      <c r="K867" s="20" t="n">
        <v>135000</v>
      </c>
      <c r="L867" s="10">
        <f>IF($B867="","",TEXT($B867,"YYYY-MM"))</f>
        <v/>
      </c>
    </row>
    <row r="868">
      <c r="A868" s="10" t="inlineStr">
        <is>
          <t>INV-70714</t>
        </is>
      </c>
      <c r="B868" s="18" t="n">
        <v>45957</v>
      </c>
      <c r="C868" s="10" t="inlineStr">
        <is>
          <t>C1199</t>
        </is>
      </c>
      <c r="D868" s="10" t="inlineStr">
        <is>
          <t>loyal</t>
        </is>
      </c>
      <c r="E868" s="10" t="inlineStr">
        <is>
          <t>Shopee</t>
        </is>
      </c>
      <c r="F868" s="10" t="inlineStr">
        <is>
          <t>Jabodetabek</t>
        </is>
      </c>
      <c r="G868" s="10" t="inlineStr">
        <is>
          <t>Rumah Tangga</t>
        </is>
      </c>
      <c r="H868" s="10" t="inlineStr">
        <is>
          <t>Organizer Laci</t>
        </is>
      </c>
      <c r="I868" s="19" t="n">
        <v>1</v>
      </c>
      <c r="J868" s="20" t="n">
        <v>78000</v>
      </c>
      <c r="K868" s="20" t="n">
        <v>78000</v>
      </c>
      <c r="L868" s="10">
        <f>IF($B868="","",TEXT($B868,"YYYY-MM"))</f>
        <v/>
      </c>
    </row>
    <row r="869">
      <c r="A869" s="10" t="inlineStr">
        <is>
          <t>INV-71045</t>
        </is>
      </c>
      <c r="B869" s="18" t="n">
        <v>45957</v>
      </c>
      <c r="C869" s="10" t="inlineStr">
        <is>
          <t>C1296</t>
        </is>
      </c>
      <c r="D869" s="10" t="inlineStr">
        <is>
          <t>loyal</t>
        </is>
      </c>
      <c r="E869" s="10" t="inlineStr">
        <is>
          <t>Shopee</t>
        </is>
      </c>
      <c r="F869" s="10" t="inlineStr">
        <is>
          <t>Sumatera</t>
        </is>
      </c>
      <c r="G869" s="10" t="inlineStr">
        <is>
          <t>Makanan</t>
        </is>
      </c>
      <c r="H869" s="10" t="inlineStr">
        <is>
          <t>Granola 500g</t>
        </is>
      </c>
      <c r="I869" s="19" t="n">
        <v>1</v>
      </c>
      <c r="J869" s="20" t="n">
        <v>92000</v>
      </c>
      <c r="K869" s="20" t="n">
        <v>92000</v>
      </c>
      <c r="L869" s="10">
        <f>IF($B869="","",TEXT($B869,"YYYY-MM"))</f>
        <v/>
      </c>
    </row>
    <row r="870">
      <c r="A870" s="10" t="inlineStr">
        <is>
          <t>INV-71056</t>
        </is>
      </c>
      <c r="B870" s="18" t="n">
        <v>45957</v>
      </c>
      <c r="C870" s="10" t="inlineStr">
        <is>
          <t>C1299</t>
        </is>
      </c>
      <c r="D870" s="10" t="inlineStr">
        <is>
          <t>occasional</t>
        </is>
      </c>
      <c r="E870" s="10" t="inlineStr">
        <is>
          <t>Tokopedia</t>
        </is>
      </c>
      <c r="F870" s="10" t="inlineStr">
        <is>
          <t>Jawa Tengah</t>
        </is>
      </c>
      <c r="G870" s="10" t="inlineStr">
        <is>
          <t>Rumah Tangga</t>
        </is>
      </c>
      <c r="H870" s="10" t="inlineStr">
        <is>
          <t>Set Wadah Kedap</t>
        </is>
      </c>
      <c r="I870" s="19" t="n">
        <v>2</v>
      </c>
      <c r="J870" s="20" t="n">
        <v>135000</v>
      </c>
      <c r="K870" s="20" t="n">
        <v>270000</v>
      </c>
      <c r="L870" s="10">
        <f>IF($B870="","",TEXT($B870,"YYYY-MM"))</f>
        <v/>
      </c>
    </row>
    <row r="871">
      <c r="A871" s="10" t="inlineStr">
        <is>
          <t>INV-71280</t>
        </is>
      </c>
      <c r="B871" s="18" t="n">
        <v>45957</v>
      </c>
      <c r="C871" s="10" t="inlineStr">
        <is>
          <t>C1358</t>
        </is>
      </c>
      <c r="D871" s="10" t="inlineStr">
        <is>
          <t>champion</t>
        </is>
      </c>
      <c r="E871" s="10" t="inlineStr">
        <is>
          <t>Offline Store</t>
        </is>
      </c>
      <c r="F871" s="10" t="inlineStr">
        <is>
          <t>Jawa Barat</t>
        </is>
      </c>
      <c r="G871" s="10" t="inlineStr">
        <is>
          <t>Rumah Tangga</t>
        </is>
      </c>
      <c r="H871" s="10" t="inlineStr">
        <is>
          <t>Set Wadah Kedap</t>
        </is>
      </c>
      <c r="I871" s="19" t="n">
        <v>2</v>
      </c>
      <c r="J871" s="20" t="n">
        <v>135000</v>
      </c>
      <c r="K871" s="20" t="n">
        <v>270000</v>
      </c>
      <c r="L871" s="10">
        <f>IF($B871="","",TEXT($B871,"YYYY-MM"))</f>
        <v/>
      </c>
    </row>
    <row r="872">
      <c r="A872" s="10" t="inlineStr">
        <is>
          <t>INV-71533</t>
        </is>
      </c>
      <c r="B872" s="18" t="n">
        <v>45962</v>
      </c>
      <c r="C872" s="10" t="inlineStr">
        <is>
          <t>C1422</t>
        </is>
      </c>
      <c r="D872" s="10" t="inlineStr">
        <is>
          <t>regular</t>
        </is>
      </c>
      <c r="E872" s="10" t="inlineStr">
        <is>
          <t>Tokopedia</t>
        </is>
      </c>
      <c r="F872" s="10" t="inlineStr">
        <is>
          <t>Jawa Barat</t>
        </is>
      </c>
      <c r="G872" s="10" t="inlineStr">
        <is>
          <t>Kecantikan</t>
        </is>
      </c>
      <c r="H872" s="10" t="inlineStr">
        <is>
          <t>Masker Wajah (5s)</t>
        </is>
      </c>
      <c r="I872" s="19" t="n">
        <v>3</v>
      </c>
      <c r="J872" s="20" t="n">
        <v>55000</v>
      </c>
      <c r="K872" s="20" t="n">
        <v>165000</v>
      </c>
      <c r="L872" s="10">
        <f>IF($B872="","",TEXT($B872,"YYYY-MM"))</f>
        <v/>
      </c>
    </row>
    <row r="873">
      <c r="A873" s="10" t="inlineStr">
        <is>
          <t>INV-71550</t>
        </is>
      </c>
      <c r="B873" s="18" t="n">
        <v>45962</v>
      </c>
      <c r="C873" s="10" t="inlineStr">
        <is>
          <t>C1427</t>
        </is>
      </c>
      <c r="D873" s="10" t="inlineStr">
        <is>
          <t>occasional</t>
        </is>
      </c>
      <c r="E873" s="10" t="inlineStr">
        <is>
          <t>Shopee</t>
        </is>
      </c>
      <c r="F873" s="10" t="inlineStr">
        <is>
          <t>Jawa Barat</t>
        </is>
      </c>
      <c r="G873" s="10" t="inlineStr">
        <is>
          <t>Rumah Tangga</t>
        </is>
      </c>
      <c r="H873" s="10" t="inlineStr">
        <is>
          <t>Diffuser Aroma</t>
        </is>
      </c>
      <c r="I873" s="19" t="n">
        <v>3</v>
      </c>
      <c r="J873" s="20" t="n">
        <v>195000</v>
      </c>
      <c r="K873" s="20" t="n">
        <v>585000</v>
      </c>
      <c r="L873" s="10">
        <f>IF($B873="","",TEXT($B873,"YYYY-MM"))</f>
        <v/>
      </c>
    </row>
    <row r="874">
      <c r="A874" s="10" t="inlineStr">
        <is>
          <t>INV-70705</t>
        </is>
      </c>
      <c r="B874" s="18" t="n">
        <v>45962</v>
      </c>
      <c r="C874" s="10" t="inlineStr">
        <is>
          <t>C1195</t>
        </is>
      </c>
      <c r="D874" s="10" t="inlineStr">
        <is>
          <t>champion</t>
        </is>
      </c>
      <c r="E874" s="10" t="inlineStr">
        <is>
          <t>Shopee</t>
        </is>
      </c>
      <c r="F874" s="10" t="inlineStr">
        <is>
          <t>Sumatera</t>
        </is>
      </c>
      <c r="G874" s="10" t="inlineStr">
        <is>
          <t>Elektronik</t>
        </is>
      </c>
      <c r="H874" s="10" t="inlineStr">
        <is>
          <t>Smartwatch</t>
        </is>
      </c>
      <c r="I874" s="19" t="n">
        <v>1</v>
      </c>
      <c r="J874" s="20" t="n">
        <v>450000</v>
      </c>
      <c r="K874" s="20" t="n">
        <v>450000</v>
      </c>
      <c r="L874" s="10">
        <f>IF($B874="","",TEXT($B874,"YYYY-MM"))</f>
        <v/>
      </c>
    </row>
    <row r="875">
      <c r="A875" s="10" t="inlineStr">
        <is>
          <t>INV-70282</t>
        </is>
      </c>
      <c r="B875" s="18" t="n">
        <v>45962</v>
      </c>
      <c r="C875" s="10" t="inlineStr">
        <is>
          <t>C1079</t>
        </is>
      </c>
      <c r="D875" s="10" t="inlineStr">
        <is>
          <t>regular</t>
        </is>
      </c>
      <c r="E875" s="10" t="inlineStr">
        <is>
          <t>Offline Store</t>
        </is>
      </c>
      <c r="F875" s="10" t="inlineStr">
        <is>
          <t>Jabodetabek</t>
        </is>
      </c>
      <c r="G875" s="10" t="inlineStr">
        <is>
          <t>Elektronik</t>
        </is>
      </c>
      <c r="H875" s="10" t="inlineStr">
        <is>
          <t>Earbuds TWS</t>
        </is>
      </c>
      <c r="I875" s="19" t="n">
        <v>4</v>
      </c>
      <c r="J875" s="20" t="n">
        <v>265000</v>
      </c>
      <c r="K875" s="20" t="n">
        <v>1060000</v>
      </c>
      <c r="L875" s="10">
        <f>IF($B875="","",TEXT($B875,"YYYY-MM"))</f>
        <v/>
      </c>
    </row>
    <row r="876">
      <c r="A876" s="10" t="inlineStr">
        <is>
          <t>INV-70261</t>
        </is>
      </c>
      <c r="B876" s="18" t="n">
        <v>45963</v>
      </c>
      <c r="C876" s="10" t="inlineStr">
        <is>
          <t>C1073</t>
        </is>
      </c>
      <c r="D876" s="10" t="inlineStr">
        <is>
          <t>regular</t>
        </is>
      </c>
      <c r="E876" s="10" t="inlineStr">
        <is>
          <t>Offline Store</t>
        </is>
      </c>
      <c r="F876" s="10" t="inlineStr">
        <is>
          <t>Jawa Barat</t>
        </is>
      </c>
      <c r="G876" s="10" t="inlineStr">
        <is>
          <t>Rumah Tangga</t>
        </is>
      </c>
      <c r="H876" s="10" t="inlineStr">
        <is>
          <t>Set Wadah Kedap</t>
        </is>
      </c>
      <c r="I876" s="19" t="n">
        <v>4</v>
      </c>
      <c r="J876" s="20" t="n">
        <v>135000</v>
      </c>
      <c r="K876" s="20" t="n">
        <v>540000</v>
      </c>
      <c r="L876" s="10">
        <f>IF($B876="","",TEXT($B876,"YYYY-MM"))</f>
        <v/>
      </c>
    </row>
    <row r="877">
      <c r="A877" s="10" t="inlineStr">
        <is>
          <t>INV-70279</t>
        </is>
      </c>
      <c r="B877" s="18" t="n">
        <v>45963</v>
      </c>
      <c r="C877" s="10" t="inlineStr">
        <is>
          <t>C1079</t>
        </is>
      </c>
      <c r="D877" s="10" t="inlineStr">
        <is>
          <t>regular</t>
        </is>
      </c>
      <c r="E877" s="10" t="inlineStr">
        <is>
          <t>TikTok Shop</t>
        </is>
      </c>
      <c r="F877" s="10" t="inlineStr">
        <is>
          <t>Jabodetabek</t>
        </is>
      </c>
      <c r="G877" s="10" t="inlineStr">
        <is>
          <t>Rumah Tangga</t>
        </is>
      </c>
      <c r="H877" s="10" t="inlineStr">
        <is>
          <t>Karpet Bulu</t>
        </is>
      </c>
      <c r="I877" s="19" t="n">
        <v>2</v>
      </c>
      <c r="J877" s="20" t="n">
        <v>240000</v>
      </c>
      <c r="K877" s="20" t="n">
        <v>480000</v>
      </c>
      <c r="L877" s="10">
        <f>IF($B877="","",TEXT($B877,"YYYY-MM"))</f>
        <v/>
      </c>
    </row>
    <row r="878">
      <c r="A878" s="10" t="inlineStr">
        <is>
          <t>INV-70928</t>
        </is>
      </c>
      <c r="B878" s="18" t="n">
        <v>45963</v>
      </c>
      <c r="C878" s="10" t="inlineStr">
        <is>
          <t>C1261</t>
        </is>
      </c>
      <c r="D878" s="10" t="inlineStr">
        <is>
          <t>champion</t>
        </is>
      </c>
      <c r="E878" s="10" t="inlineStr">
        <is>
          <t>Shopee</t>
        </is>
      </c>
      <c r="F878" s="10" t="inlineStr">
        <is>
          <t>Jawa Tengah</t>
        </is>
      </c>
      <c r="G878" s="10" t="inlineStr">
        <is>
          <t>Fashion</t>
        </is>
      </c>
      <c r="H878" s="10" t="inlineStr">
        <is>
          <t>Kemeja Linen</t>
        </is>
      </c>
      <c r="I878" s="19" t="n">
        <v>4</v>
      </c>
      <c r="J878" s="20" t="n">
        <v>185000</v>
      </c>
      <c r="K878" s="20" t="n">
        <v>740000</v>
      </c>
      <c r="L878" s="10">
        <f>IF($B878="","",TEXT($B878,"YYYY-MM"))</f>
        <v/>
      </c>
    </row>
    <row r="879">
      <c r="A879" s="10" t="inlineStr">
        <is>
          <t>INV-70592</t>
        </is>
      </c>
      <c r="B879" s="18" t="n">
        <v>45963</v>
      </c>
      <c r="C879" s="10" t="inlineStr">
        <is>
          <t>C1161</t>
        </is>
      </c>
      <c r="D879" s="10" t="inlineStr">
        <is>
          <t>champion</t>
        </is>
      </c>
      <c r="E879" s="10" t="inlineStr">
        <is>
          <t>Offline Store</t>
        </is>
      </c>
      <c r="F879" s="10" t="inlineStr">
        <is>
          <t>Jabodetabek</t>
        </is>
      </c>
      <c r="G879" s="10" t="inlineStr">
        <is>
          <t>Makanan</t>
        </is>
      </c>
      <c r="H879" s="10" t="inlineStr">
        <is>
          <t>Teh Herbal (15s)</t>
        </is>
      </c>
      <c r="I879" s="19" t="n">
        <v>2</v>
      </c>
      <c r="J879" s="20" t="n">
        <v>58000</v>
      </c>
      <c r="K879" s="20" t="n">
        <v>116000</v>
      </c>
      <c r="L879" s="10">
        <f>IF($B879="","",TEXT($B879,"YYYY-MM"))</f>
        <v/>
      </c>
    </row>
    <row r="880">
      <c r="A880" s="10" t="inlineStr">
        <is>
          <t>INV-70875</t>
        </is>
      </c>
      <c r="B880" s="18" t="n">
        <v>45963</v>
      </c>
      <c r="C880" s="10" t="inlineStr">
        <is>
          <t>C1246</t>
        </is>
      </c>
      <c r="D880" s="10" t="inlineStr">
        <is>
          <t>champion</t>
        </is>
      </c>
      <c r="E880" s="10" t="inlineStr">
        <is>
          <t>Tokopedia</t>
        </is>
      </c>
      <c r="F880" s="10" t="inlineStr">
        <is>
          <t>Jabodetabek</t>
        </is>
      </c>
      <c r="G880" s="10" t="inlineStr">
        <is>
          <t>Rumah Tangga</t>
        </is>
      </c>
      <c r="H880" s="10" t="inlineStr">
        <is>
          <t>Set Wadah Kedap</t>
        </is>
      </c>
      <c r="I880" s="19" t="n">
        <v>1</v>
      </c>
      <c r="J880" s="20" t="n">
        <v>135000</v>
      </c>
      <c r="K880" s="20" t="n">
        <v>135000</v>
      </c>
      <c r="L880" s="10">
        <f>IF($B880="","",TEXT($B880,"YYYY-MM"))</f>
        <v/>
      </c>
    </row>
    <row r="881">
      <c r="A881" s="10" t="inlineStr">
        <is>
          <t>INV-70100</t>
        </is>
      </c>
      <c r="B881" s="18" t="n">
        <v>45963</v>
      </c>
      <c r="C881" s="10" t="inlineStr">
        <is>
          <t>C1029</t>
        </is>
      </c>
      <c r="D881" s="10" t="inlineStr">
        <is>
          <t>champion</t>
        </is>
      </c>
      <c r="E881" s="10" t="inlineStr">
        <is>
          <t>Tokopedia</t>
        </is>
      </c>
      <c r="F881" s="10" t="inlineStr">
        <is>
          <t>Jawa Timur</t>
        </is>
      </c>
      <c r="G881" s="10" t="inlineStr">
        <is>
          <t>Rumah Tangga</t>
        </is>
      </c>
      <c r="H881" s="10" t="inlineStr">
        <is>
          <t>Set Wadah Kedap</t>
        </is>
      </c>
      <c r="I881" s="19" t="n">
        <v>1</v>
      </c>
      <c r="J881" s="20" t="n">
        <v>135000</v>
      </c>
      <c r="K881" s="20" t="n">
        <v>135000</v>
      </c>
      <c r="L881" s="10">
        <f>IF($B881="","",TEXT($B881,"YYYY-MM"))</f>
        <v/>
      </c>
    </row>
    <row r="882">
      <c r="A882" s="10" t="inlineStr">
        <is>
          <t>INV-70368</t>
        </is>
      </c>
      <c r="B882" s="18" t="n">
        <v>45963</v>
      </c>
      <c r="C882" s="10" t="inlineStr">
        <is>
          <t>C1103</t>
        </is>
      </c>
      <c r="D882" s="10" t="inlineStr">
        <is>
          <t>occasional</t>
        </is>
      </c>
      <c r="E882" s="10" t="inlineStr">
        <is>
          <t>Tokopedia</t>
        </is>
      </c>
      <c r="F882" s="10" t="inlineStr">
        <is>
          <t>Jabodetabek</t>
        </is>
      </c>
      <c r="G882" s="10" t="inlineStr">
        <is>
          <t>Kecantikan</t>
        </is>
      </c>
      <c r="H882" s="10" t="inlineStr">
        <is>
          <t>Masker Wajah (5s)</t>
        </is>
      </c>
      <c r="I882" s="19" t="n">
        <v>2</v>
      </c>
      <c r="J882" s="20" t="n">
        <v>55000</v>
      </c>
      <c r="K882" s="20" t="n">
        <v>110000</v>
      </c>
      <c r="L882" s="10">
        <f>IF($B882="","",TEXT($B882,"YYYY-MM"))</f>
        <v/>
      </c>
    </row>
    <row r="883">
      <c r="A883" s="10" t="inlineStr">
        <is>
          <t>INV-71064</t>
        </is>
      </c>
      <c r="B883" s="18" t="n">
        <v>45964</v>
      </c>
      <c r="C883" s="10" t="inlineStr">
        <is>
          <t>C1301</t>
        </is>
      </c>
      <c r="D883" s="10" t="inlineStr">
        <is>
          <t>regular</t>
        </is>
      </c>
      <c r="E883" s="10" t="inlineStr">
        <is>
          <t>TikTok Shop</t>
        </is>
      </c>
      <c r="F883" s="10" t="inlineStr">
        <is>
          <t>Jabodetabek</t>
        </is>
      </c>
      <c r="G883" s="10" t="inlineStr">
        <is>
          <t>Elektronik</t>
        </is>
      </c>
      <c r="H883" s="10" t="inlineStr">
        <is>
          <t>Power Bank 20K</t>
        </is>
      </c>
      <c r="I883" s="19" t="n">
        <v>1</v>
      </c>
      <c r="J883" s="20" t="n">
        <v>185000</v>
      </c>
      <c r="K883" s="20" t="n">
        <v>185000</v>
      </c>
      <c r="L883" s="10">
        <f>IF($B883="","",TEXT($B883,"YYYY-MM"))</f>
        <v/>
      </c>
    </row>
    <row r="884">
      <c r="A884" s="10" t="inlineStr">
        <is>
          <t>INV-71422</t>
        </is>
      </c>
      <c r="B884" s="18" t="n">
        <v>45964</v>
      </c>
      <c r="C884" s="10" t="inlineStr">
        <is>
          <t>C1393</t>
        </is>
      </c>
      <c r="D884" s="10" t="inlineStr">
        <is>
          <t>regular</t>
        </is>
      </c>
      <c r="E884" s="10" t="inlineStr">
        <is>
          <t>TikTok Shop</t>
        </is>
      </c>
      <c r="F884" s="10" t="inlineStr">
        <is>
          <t>Jabodetabek</t>
        </is>
      </c>
      <c r="G884" s="10" t="inlineStr">
        <is>
          <t>Makanan</t>
        </is>
      </c>
      <c r="H884" s="10" t="inlineStr">
        <is>
          <t>Granola 500g</t>
        </is>
      </c>
      <c r="I884" s="19" t="n">
        <v>2</v>
      </c>
      <c r="J884" s="20" t="n">
        <v>92000</v>
      </c>
      <c r="K884" s="20" t="n">
        <v>184000</v>
      </c>
      <c r="L884" s="10">
        <f>IF($B884="","",TEXT($B884,"YYYY-MM"))</f>
        <v/>
      </c>
    </row>
    <row r="885">
      <c r="A885" s="10" t="inlineStr">
        <is>
          <t>INV-71234</t>
        </is>
      </c>
      <c r="B885" s="18" t="n">
        <v>45964</v>
      </c>
      <c r="C885" s="10" t="inlineStr">
        <is>
          <t>C1349</t>
        </is>
      </c>
      <c r="D885" s="10" t="inlineStr">
        <is>
          <t>champion</t>
        </is>
      </c>
      <c r="E885" s="10" t="inlineStr">
        <is>
          <t>Offline Store</t>
        </is>
      </c>
      <c r="F885" s="10" t="inlineStr">
        <is>
          <t>Jawa Barat</t>
        </is>
      </c>
      <c r="G885" s="10" t="inlineStr">
        <is>
          <t>Rumah Tangga</t>
        </is>
      </c>
      <c r="H885" s="10" t="inlineStr">
        <is>
          <t>Set Wadah Kedap</t>
        </is>
      </c>
      <c r="I885" s="19" t="n">
        <v>1</v>
      </c>
      <c r="J885" s="20" t="n">
        <v>135000</v>
      </c>
      <c r="K885" s="20" t="n">
        <v>135000</v>
      </c>
      <c r="L885" s="10">
        <f>IF($B885="","",TEXT($B885,"YYYY-MM"))</f>
        <v/>
      </c>
    </row>
    <row r="886">
      <c r="A886" s="10" t="inlineStr">
        <is>
          <t>INV-71258</t>
        </is>
      </c>
      <c r="B886" s="18" t="n">
        <v>45964</v>
      </c>
      <c r="C886" s="10" t="inlineStr">
        <is>
          <t>C1355</t>
        </is>
      </c>
      <c r="D886" s="10" t="inlineStr">
        <is>
          <t>onetime</t>
        </is>
      </c>
      <c r="E886" s="10" t="inlineStr">
        <is>
          <t>Tokopedia</t>
        </is>
      </c>
      <c r="F886" s="10" t="inlineStr">
        <is>
          <t>Jabodetabek</t>
        </is>
      </c>
      <c r="G886" s="10" t="inlineStr">
        <is>
          <t>Rumah Tangga</t>
        </is>
      </c>
      <c r="H886" s="10" t="inlineStr">
        <is>
          <t>Set Wadah Kedap</t>
        </is>
      </c>
      <c r="I886" s="19" t="n">
        <v>2</v>
      </c>
      <c r="J886" s="20" t="n">
        <v>135000</v>
      </c>
      <c r="K886" s="20" t="n">
        <v>270000</v>
      </c>
      <c r="L886" s="10">
        <f>IF($B886="","",TEXT($B886,"YYYY-MM"))</f>
        <v/>
      </c>
    </row>
    <row r="887">
      <c r="A887" s="10" t="inlineStr">
        <is>
          <t>INV-70344</t>
        </is>
      </c>
      <c r="B887" s="18" t="n">
        <v>45965</v>
      </c>
      <c r="C887" s="10" t="inlineStr">
        <is>
          <t>C1093</t>
        </is>
      </c>
      <c r="D887" s="10" t="inlineStr">
        <is>
          <t>champion</t>
        </is>
      </c>
      <c r="E887" s="10" t="inlineStr">
        <is>
          <t>Tokopedia</t>
        </is>
      </c>
      <c r="F887" s="10" t="inlineStr">
        <is>
          <t>Lainnya</t>
        </is>
      </c>
      <c r="G887" s="10" t="inlineStr">
        <is>
          <t>Makanan</t>
        </is>
      </c>
      <c r="H887" s="10" t="inlineStr">
        <is>
          <t>Keripik Sehat</t>
        </is>
      </c>
      <c r="I887" s="19" t="n">
        <v>2</v>
      </c>
      <c r="J887" s="20" t="n">
        <v>45000</v>
      </c>
      <c r="K887" s="20" t="n">
        <v>90000</v>
      </c>
      <c r="L887" s="10">
        <f>IF($B887="","",TEXT($B887,"YYYY-MM"))</f>
        <v/>
      </c>
    </row>
    <row r="888">
      <c r="A888" s="10" t="inlineStr">
        <is>
          <t>INV-70382</t>
        </is>
      </c>
      <c r="B888" s="18" t="n">
        <v>45965</v>
      </c>
      <c r="C888" s="10" t="inlineStr">
        <is>
          <t>C1110</t>
        </is>
      </c>
      <c r="D888" s="10" t="inlineStr">
        <is>
          <t>loyal</t>
        </is>
      </c>
      <c r="E888" s="10" t="inlineStr">
        <is>
          <t>TikTok Shop</t>
        </is>
      </c>
      <c r="F888" s="10" t="inlineStr">
        <is>
          <t>Jabodetabek</t>
        </is>
      </c>
      <c r="G888" s="10" t="inlineStr">
        <is>
          <t>Elektronik</t>
        </is>
      </c>
      <c r="H888" s="10" t="inlineStr">
        <is>
          <t>Webcam HD</t>
        </is>
      </c>
      <c r="I888" s="19" t="n">
        <v>3</v>
      </c>
      <c r="J888" s="20" t="n">
        <v>210000</v>
      </c>
      <c r="K888" s="20" t="n">
        <v>630000</v>
      </c>
      <c r="L888" s="10">
        <f>IF($B888="","",TEXT($B888,"YYYY-MM"))</f>
        <v/>
      </c>
    </row>
    <row r="889">
      <c r="A889" s="10" t="inlineStr">
        <is>
          <t>INV-71283</t>
        </is>
      </c>
      <c r="B889" s="18" t="n">
        <v>45965</v>
      </c>
      <c r="C889" s="10" t="inlineStr">
        <is>
          <t>C1358</t>
        </is>
      </c>
      <c r="D889" s="10" t="inlineStr">
        <is>
          <t>champion</t>
        </is>
      </c>
      <c r="E889" s="10" t="inlineStr">
        <is>
          <t>Shopee</t>
        </is>
      </c>
      <c r="F889" s="10" t="inlineStr">
        <is>
          <t>Jabodetabek</t>
        </is>
      </c>
      <c r="G889" s="10" t="inlineStr">
        <is>
          <t>Rumah Tangga</t>
        </is>
      </c>
      <c r="H889" s="10" t="inlineStr">
        <is>
          <t>Diffuser Aroma</t>
        </is>
      </c>
      <c r="I889" s="19" t="n">
        <v>2</v>
      </c>
      <c r="J889" s="20" t="n">
        <v>195000</v>
      </c>
      <c r="K889" s="20" t="n">
        <v>390000</v>
      </c>
      <c r="L889" s="10">
        <f>IF($B889="","",TEXT($B889,"YYYY-MM"))</f>
        <v/>
      </c>
    </row>
    <row r="890">
      <c r="A890" s="10" t="inlineStr">
        <is>
          <t>INV-71319</t>
        </is>
      </c>
      <c r="B890" s="18" t="n">
        <v>45965</v>
      </c>
      <c r="C890" s="10" t="inlineStr">
        <is>
          <t>C1364</t>
        </is>
      </c>
      <c r="D890" s="10" t="inlineStr">
        <is>
          <t>champion</t>
        </is>
      </c>
      <c r="E890" s="10" t="inlineStr">
        <is>
          <t>Offline Store</t>
        </is>
      </c>
      <c r="F890" s="10" t="inlineStr">
        <is>
          <t>Jawa Timur</t>
        </is>
      </c>
      <c r="G890" s="10" t="inlineStr">
        <is>
          <t>Elektronik</t>
        </is>
      </c>
      <c r="H890" s="10" t="inlineStr">
        <is>
          <t>Earbuds TWS</t>
        </is>
      </c>
      <c r="I890" s="19" t="n">
        <v>1</v>
      </c>
      <c r="J890" s="20" t="n">
        <v>265000</v>
      </c>
      <c r="K890" s="20" t="n">
        <v>265000</v>
      </c>
      <c r="L890" s="10">
        <f>IF($B890="","",TEXT($B890,"YYYY-MM"))</f>
        <v/>
      </c>
    </row>
    <row r="891">
      <c r="A891" s="10" t="inlineStr">
        <is>
          <t>INV-70527</t>
        </is>
      </c>
      <c r="B891" s="18" t="n">
        <v>45966</v>
      </c>
      <c r="C891" s="10" t="inlineStr">
        <is>
          <t>C1146</t>
        </is>
      </c>
      <c r="D891" s="10" t="inlineStr">
        <is>
          <t>occasional</t>
        </is>
      </c>
      <c r="E891" s="10" t="inlineStr">
        <is>
          <t>Shopee</t>
        </is>
      </c>
      <c r="F891" s="10" t="inlineStr">
        <is>
          <t>Jawa Timur</t>
        </is>
      </c>
      <c r="G891" s="10" t="inlineStr">
        <is>
          <t>Makanan</t>
        </is>
      </c>
      <c r="H891" s="10" t="inlineStr">
        <is>
          <t>Madu Hutan 250ml</t>
        </is>
      </c>
      <c r="I891" s="19" t="n">
        <v>4</v>
      </c>
      <c r="J891" s="20" t="n">
        <v>110000</v>
      </c>
      <c r="K891" s="20" t="n">
        <v>440000</v>
      </c>
      <c r="L891" s="10">
        <f>IF($B891="","",TEXT($B891,"YYYY-MM"))</f>
        <v/>
      </c>
    </row>
    <row r="892">
      <c r="A892" s="10" t="inlineStr">
        <is>
          <t>INV-70916</t>
        </is>
      </c>
      <c r="B892" s="18" t="n">
        <v>45966</v>
      </c>
      <c r="C892" s="10" t="inlineStr">
        <is>
          <t>C1258</t>
        </is>
      </c>
      <c r="D892" s="10" t="inlineStr">
        <is>
          <t>regular</t>
        </is>
      </c>
      <c r="E892" s="10" t="inlineStr">
        <is>
          <t>TikTok Shop</t>
        </is>
      </c>
      <c r="F892" s="10" t="inlineStr">
        <is>
          <t>Jawa Barat</t>
        </is>
      </c>
      <c r="G892" s="10" t="inlineStr">
        <is>
          <t>Rumah Tangga</t>
        </is>
      </c>
      <c r="H892" s="10" t="inlineStr">
        <is>
          <t>Diffuser Aroma</t>
        </is>
      </c>
      <c r="I892" s="19" t="n">
        <v>2</v>
      </c>
      <c r="J892" s="20" t="n">
        <v>195000</v>
      </c>
      <c r="K892" s="20" t="n">
        <v>390000</v>
      </c>
      <c r="L892" s="10">
        <f>IF($B892="","",TEXT($B892,"YYYY-MM"))</f>
        <v/>
      </c>
    </row>
    <row r="893">
      <c r="A893" s="10" t="inlineStr">
        <is>
          <t>INV-70505</t>
        </is>
      </c>
      <c r="B893" s="18" t="n">
        <v>45966</v>
      </c>
      <c r="C893" s="10" t="inlineStr">
        <is>
          <t>C1141</t>
        </is>
      </c>
      <c r="D893" s="10" t="inlineStr">
        <is>
          <t>loyal</t>
        </is>
      </c>
      <c r="E893" s="10" t="inlineStr">
        <is>
          <t>Shopee</t>
        </is>
      </c>
      <c r="F893" s="10" t="inlineStr">
        <is>
          <t>Jawa Timur</t>
        </is>
      </c>
      <c r="G893" s="10" t="inlineStr">
        <is>
          <t>Rumah Tangga</t>
        </is>
      </c>
      <c r="H893" s="10" t="inlineStr">
        <is>
          <t>Set Wadah Kedap</t>
        </is>
      </c>
      <c r="I893" s="19" t="n">
        <v>2</v>
      </c>
      <c r="J893" s="20" t="n">
        <v>135000</v>
      </c>
      <c r="K893" s="20" t="n">
        <v>270000</v>
      </c>
      <c r="L893" s="10">
        <f>IF($B893="","",TEXT($B893,"YYYY-MM"))</f>
        <v/>
      </c>
    </row>
    <row r="894">
      <c r="A894" s="10" t="inlineStr">
        <is>
          <t>INV-70202</t>
        </is>
      </c>
      <c r="B894" s="18" t="n">
        <v>45967</v>
      </c>
      <c r="C894" s="10" t="inlineStr">
        <is>
          <t>C1057</t>
        </is>
      </c>
      <c r="D894" s="10" t="inlineStr">
        <is>
          <t>regular</t>
        </is>
      </c>
      <c r="E894" s="10" t="inlineStr">
        <is>
          <t>Tokopedia</t>
        </is>
      </c>
      <c r="F894" s="10" t="inlineStr">
        <is>
          <t>Jawa Tengah</t>
        </is>
      </c>
      <c r="G894" s="10" t="inlineStr">
        <is>
          <t>Elektronik</t>
        </is>
      </c>
      <c r="H894" s="10" t="inlineStr">
        <is>
          <t>Webcam HD</t>
        </is>
      </c>
      <c r="I894" s="19" t="n">
        <v>2</v>
      </c>
      <c r="J894" s="20" t="n">
        <v>210000</v>
      </c>
      <c r="K894" s="20" t="n">
        <v>420000</v>
      </c>
      <c r="L894" s="10">
        <f>IF($B894="","",TEXT($B894,"YYYY-MM"))</f>
        <v/>
      </c>
    </row>
    <row r="895">
      <c r="A895" s="10" t="inlineStr">
        <is>
          <t>INV-70300</t>
        </is>
      </c>
      <c r="B895" s="18" t="n">
        <v>45967</v>
      </c>
      <c r="C895" s="10" t="inlineStr">
        <is>
          <t>C1084</t>
        </is>
      </c>
      <c r="D895" s="10" t="inlineStr">
        <is>
          <t>loyal</t>
        </is>
      </c>
      <c r="E895" s="10" t="inlineStr">
        <is>
          <t>Shopee</t>
        </is>
      </c>
      <c r="F895" s="10" t="inlineStr">
        <is>
          <t>Jawa Tengah</t>
        </is>
      </c>
      <c r="G895" s="10" t="inlineStr">
        <is>
          <t>Elektronik</t>
        </is>
      </c>
      <c r="H895" s="10" t="inlineStr">
        <is>
          <t>Power Bank 20K</t>
        </is>
      </c>
      <c r="I895" s="19" t="n">
        <v>2</v>
      </c>
      <c r="J895" s="20" t="n">
        <v>185000</v>
      </c>
      <c r="K895" s="20" t="n">
        <v>370000</v>
      </c>
      <c r="L895" s="10">
        <f>IF($B895="","",TEXT($B895,"YYYY-MM"))</f>
        <v/>
      </c>
    </row>
    <row r="896">
      <c r="A896" s="10" t="inlineStr">
        <is>
          <t>INV-71375</t>
        </is>
      </c>
      <c r="B896" s="18" t="n">
        <v>45967</v>
      </c>
      <c r="C896" s="10" t="inlineStr">
        <is>
          <t>C1380</t>
        </is>
      </c>
      <c r="D896" s="10" t="inlineStr">
        <is>
          <t>onetime</t>
        </is>
      </c>
      <c r="E896" s="10" t="inlineStr">
        <is>
          <t>Shopee</t>
        </is>
      </c>
      <c r="F896" s="10" t="inlineStr">
        <is>
          <t>Jabodetabek</t>
        </is>
      </c>
      <c r="G896" s="10" t="inlineStr">
        <is>
          <t>Elektronik</t>
        </is>
      </c>
      <c r="H896" s="10" t="inlineStr">
        <is>
          <t>Webcam HD</t>
        </is>
      </c>
      <c r="I896" s="19" t="n">
        <v>1</v>
      </c>
      <c r="J896" s="20" t="n">
        <v>210000</v>
      </c>
      <c r="K896" s="20" t="n">
        <v>210000</v>
      </c>
      <c r="L896" s="10">
        <f>IF($B896="","",TEXT($B896,"YYYY-MM"))</f>
        <v/>
      </c>
    </row>
    <row r="897">
      <c r="A897" s="10" t="inlineStr">
        <is>
          <t>INV-71443</t>
        </is>
      </c>
      <c r="B897" s="18" t="n">
        <v>45967</v>
      </c>
      <c r="C897" s="10" t="inlineStr">
        <is>
          <t>C1398</t>
        </is>
      </c>
      <c r="D897" s="10" t="inlineStr">
        <is>
          <t>regular</t>
        </is>
      </c>
      <c r="E897" s="10" t="inlineStr">
        <is>
          <t>Tokopedia</t>
        </is>
      </c>
      <c r="F897" s="10" t="inlineStr">
        <is>
          <t>Jabodetabek</t>
        </is>
      </c>
      <c r="G897" s="10" t="inlineStr">
        <is>
          <t>Rumah Tangga</t>
        </is>
      </c>
      <c r="H897" s="10" t="inlineStr">
        <is>
          <t>Organizer Laci</t>
        </is>
      </c>
      <c r="I897" s="19" t="n">
        <v>1</v>
      </c>
      <c r="J897" s="20" t="n">
        <v>78000</v>
      </c>
      <c r="K897" s="20" t="n">
        <v>78000</v>
      </c>
      <c r="L897" s="10">
        <f>IF($B897="","",TEXT($B897,"YYYY-MM"))</f>
        <v/>
      </c>
    </row>
    <row r="898">
      <c r="A898" s="10" t="inlineStr">
        <is>
          <t>INV-70288</t>
        </is>
      </c>
      <c r="B898" s="18" t="n">
        <v>45968</v>
      </c>
      <c r="C898" s="10" t="inlineStr">
        <is>
          <t>C1082</t>
        </is>
      </c>
      <c r="D898" s="10" t="inlineStr">
        <is>
          <t>occasional</t>
        </is>
      </c>
      <c r="E898" s="10" t="inlineStr">
        <is>
          <t>Tokopedia</t>
        </is>
      </c>
      <c r="F898" s="10" t="inlineStr">
        <is>
          <t>Jawa Barat</t>
        </is>
      </c>
      <c r="G898" s="10" t="inlineStr">
        <is>
          <t>Makanan</t>
        </is>
      </c>
      <c r="H898" s="10" t="inlineStr">
        <is>
          <t>Granola 500g</t>
        </is>
      </c>
      <c r="I898" s="19" t="n">
        <v>2</v>
      </c>
      <c r="J898" s="20" t="n">
        <v>92000</v>
      </c>
      <c r="K898" s="20" t="n">
        <v>184000</v>
      </c>
      <c r="L898" s="10">
        <f>IF($B898="","",TEXT($B898,"YYYY-MM"))</f>
        <v/>
      </c>
    </row>
    <row r="899">
      <c r="A899" s="10" t="inlineStr">
        <is>
          <t>INV-70756</t>
        </is>
      </c>
      <c r="B899" s="18" t="n">
        <v>45968</v>
      </c>
      <c r="C899" s="10" t="inlineStr">
        <is>
          <t>C1211</t>
        </is>
      </c>
      <c r="D899" s="10" t="inlineStr">
        <is>
          <t>regular</t>
        </is>
      </c>
      <c r="E899" s="10" t="inlineStr">
        <is>
          <t>Shopee</t>
        </is>
      </c>
      <c r="F899" s="10" t="inlineStr">
        <is>
          <t>Jawa Timur</t>
        </is>
      </c>
      <c r="G899" s="10" t="inlineStr">
        <is>
          <t>Elektronik</t>
        </is>
      </c>
      <c r="H899" s="10" t="inlineStr">
        <is>
          <t>Earbuds TWS</t>
        </is>
      </c>
      <c r="I899" s="19" t="n">
        <v>1</v>
      </c>
      <c r="J899" s="20" t="n">
        <v>265000</v>
      </c>
      <c r="K899" s="20" t="n">
        <v>265000</v>
      </c>
      <c r="L899" s="10">
        <f>IF($B899="","",TEXT($B899,"YYYY-MM"))</f>
        <v/>
      </c>
    </row>
    <row r="900">
      <c r="A900" s="10" t="inlineStr">
        <is>
          <t>INV-70453</t>
        </is>
      </c>
      <c r="B900" s="18" t="n">
        <v>45968</v>
      </c>
      <c r="C900" s="10" t="inlineStr">
        <is>
          <t>C1129</t>
        </is>
      </c>
      <c r="D900" s="10" t="inlineStr">
        <is>
          <t>regular</t>
        </is>
      </c>
      <c r="E900" s="10" t="inlineStr">
        <is>
          <t>Tokopedia</t>
        </is>
      </c>
      <c r="F900" s="10" t="inlineStr">
        <is>
          <t>Jawa Tengah</t>
        </is>
      </c>
      <c r="G900" s="10" t="inlineStr">
        <is>
          <t>Makanan</t>
        </is>
      </c>
      <c r="H900" s="10" t="inlineStr">
        <is>
          <t>Granola 500g</t>
        </is>
      </c>
      <c r="I900" s="19" t="n">
        <v>1</v>
      </c>
      <c r="J900" s="20" t="n">
        <v>92000</v>
      </c>
      <c r="K900" s="20" t="n">
        <v>92000</v>
      </c>
      <c r="L900" s="10">
        <f>IF($B900="","",TEXT($B900,"YYYY-MM"))</f>
        <v/>
      </c>
    </row>
    <row r="901">
      <c r="A901" s="10" t="inlineStr">
        <is>
          <t>INV-71074</t>
        </is>
      </c>
      <c r="B901" s="18" t="n">
        <v>45968</v>
      </c>
      <c r="C901" s="10" t="inlineStr">
        <is>
          <t>C1302</t>
        </is>
      </c>
      <c r="D901" s="10" t="inlineStr">
        <is>
          <t>champion</t>
        </is>
      </c>
      <c r="E901" s="10" t="inlineStr">
        <is>
          <t>Shopee</t>
        </is>
      </c>
      <c r="F901" s="10" t="inlineStr">
        <is>
          <t>Jawa Barat</t>
        </is>
      </c>
      <c r="G901" s="10" t="inlineStr">
        <is>
          <t>Fashion</t>
        </is>
      </c>
      <c r="H901" s="10" t="inlineStr">
        <is>
          <t>Kaos Premium</t>
        </is>
      </c>
      <c r="I901" s="19" t="n">
        <v>3</v>
      </c>
      <c r="J901" s="20" t="n">
        <v>95000</v>
      </c>
      <c r="K901" s="20" t="n">
        <v>285000</v>
      </c>
      <c r="L901" s="10">
        <f>IF($B901="","",TEXT($B901,"YYYY-MM"))</f>
        <v/>
      </c>
    </row>
    <row r="902">
      <c r="A902" s="10" t="inlineStr">
        <is>
          <t>INV-71491</t>
        </is>
      </c>
      <c r="B902" s="18" t="n">
        <v>45968</v>
      </c>
      <c r="C902" s="10" t="inlineStr">
        <is>
          <t>C1411</t>
        </is>
      </c>
      <c r="D902" s="10" t="inlineStr">
        <is>
          <t>regular</t>
        </is>
      </c>
      <c r="E902" s="10" t="inlineStr">
        <is>
          <t>Tokopedia</t>
        </is>
      </c>
      <c r="F902" s="10" t="inlineStr">
        <is>
          <t>Jabodetabek</t>
        </is>
      </c>
      <c r="G902" s="10" t="inlineStr">
        <is>
          <t>Rumah Tangga</t>
        </is>
      </c>
      <c r="H902" s="10" t="inlineStr">
        <is>
          <t>Organizer Laci</t>
        </is>
      </c>
      <c r="I902" s="19" t="n">
        <v>2</v>
      </c>
      <c r="J902" s="20" t="n">
        <v>78000</v>
      </c>
      <c r="K902" s="20" t="n">
        <v>156000</v>
      </c>
      <c r="L902" s="10">
        <f>IF($B902="","",TEXT($B902,"YYYY-MM"))</f>
        <v/>
      </c>
    </row>
    <row r="903">
      <c r="A903" s="10" t="inlineStr">
        <is>
          <t>INV-71029</t>
        </is>
      </c>
      <c r="B903" s="18" t="n">
        <v>45968</v>
      </c>
      <c r="C903" s="10" t="inlineStr">
        <is>
          <t>C1292</t>
        </is>
      </c>
      <c r="D903" s="10" t="inlineStr">
        <is>
          <t>regular</t>
        </is>
      </c>
      <c r="E903" s="10" t="inlineStr">
        <is>
          <t>TikTok Shop</t>
        </is>
      </c>
      <c r="F903" s="10" t="inlineStr">
        <is>
          <t>Jabodetabek</t>
        </is>
      </c>
      <c r="G903" s="10" t="inlineStr">
        <is>
          <t>Rumah Tangga</t>
        </is>
      </c>
      <c r="H903" s="10" t="inlineStr">
        <is>
          <t>Set Wadah Kedap</t>
        </is>
      </c>
      <c r="I903" s="19" t="n">
        <v>2</v>
      </c>
      <c r="J903" s="20" t="n">
        <v>135000</v>
      </c>
      <c r="K903" s="20" t="n">
        <v>270000</v>
      </c>
      <c r="L903" s="10">
        <f>IF($B903="","",TEXT($B903,"YYYY-MM"))</f>
        <v/>
      </c>
    </row>
    <row r="904">
      <c r="A904" s="10" t="inlineStr">
        <is>
          <t>INV-71105</t>
        </is>
      </c>
      <c r="B904" s="18" t="n">
        <v>45969</v>
      </c>
      <c r="C904" s="10" t="inlineStr">
        <is>
          <t>C1310</t>
        </is>
      </c>
      <c r="D904" s="10" t="inlineStr">
        <is>
          <t>loyal</t>
        </is>
      </c>
      <c r="E904" s="10" t="inlineStr">
        <is>
          <t>Shopee</t>
        </is>
      </c>
      <c r="F904" s="10" t="inlineStr">
        <is>
          <t>Jawa Tengah</t>
        </is>
      </c>
      <c r="G904" s="10" t="inlineStr">
        <is>
          <t>Elektronik</t>
        </is>
      </c>
      <c r="H904" s="10" t="inlineStr">
        <is>
          <t>Power Bank 20K</t>
        </is>
      </c>
      <c r="I904" s="19" t="n">
        <v>1</v>
      </c>
      <c r="J904" s="20" t="n">
        <v>185000</v>
      </c>
      <c r="K904" s="20" t="n">
        <v>185000</v>
      </c>
      <c r="L904" s="10">
        <f>IF($B904="","",TEXT($B904,"YYYY-MM"))</f>
        <v/>
      </c>
    </row>
    <row r="905">
      <c r="A905" s="10" t="inlineStr">
        <is>
          <t>INV-70867</t>
        </is>
      </c>
      <c r="B905" s="18" t="n">
        <v>45969</v>
      </c>
      <c r="C905" s="10" t="inlineStr">
        <is>
          <t>C1245</t>
        </is>
      </c>
      <c r="D905" s="10" t="inlineStr">
        <is>
          <t>regular</t>
        </is>
      </c>
      <c r="E905" s="10" t="inlineStr">
        <is>
          <t>Tokopedia</t>
        </is>
      </c>
      <c r="F905" s="10" t="inlineStr">
        <is>
          <t>Jabodetabek</t>
        </is>
      </c>
      <c r="G905" s="10" t="inlineStr">
        <is>
          <t>Rumah Tangga</t>
        </is>
      </c>
      <c r="H905" s="10" t="inlineStr">
        <is>
          <t>Set Wadah Kedap</t>
        </is>
      </c>
      <c r="I905" s="19" t="n">
        <v>1</v>
      </c>
      <c r="J905" s="20" t="n">
        <v>135000</v>
      </c>
      <c r="K905" s="20" t="n">
        <v>135000</v>
      </c>
      <c r="L905" s="10">
        <f>IF($B905="","",TEXT($B905,"YYYY-MM"))</f>
        <v/>
      </c>
    </row>
    <row r="906">
      <c r="A906" s="10" t="inlineStr">
        <is>
          <t>INV-70933</t>
        </is>
      </c>
      <c r="B906" s="18" t="n">
        <v>45969</v>
      </c>
      <c r="C906" s="10" t="inlineStr">
        <is>
          <t>C1262</t>
        </is>
      </c>
      <c r="D906" s="10" t="inlineStr">
        <is>
          <t>regular</t>
        </is>
      </c>
      <c r="E906" s="10" t="inlineStr">
        <is>
          <t>TikTok Shop</t>
        </is>
      </c>
      <c r="F906" s="10" t="inlineStr">
        <is>
          <t>Jawa Barat</t>
        </is>
      </c>
      <c r="G906" s="10" t="inlineStr">
        <is>
          <t>Rumah Tangga</t>
        </is>
      </c>
      <c r="H906" s="10" t="inlineStr">
        <is>
          <t>Set Wadah Kedap</t>
        </is>
      </c>
      <c r="I906" s="19" t="n">
        <v>3</v>
      </c>
      <c r="J906" s="20" t="n">
        <v>135000</v>
      </c>
      <c r="K906" s="20" t="n">
        <v>405000</v>
      </c>
      <c r="L906" s="10">
        <f>IF($B906="","",TEXT($B906,"YYYY-MM"))</f>
        <v/>
      </c>
    </row>
    <row r="907">
      <c r="A907" s="10" t="inlineStr">
        <is>
          <t>INV-70467</t>
        </is>
      </c>
      <c r="B907" s="18" t="n">
        <v>45970</v>
      </c>
      <c r="C907" s="10" t="inlineStr">
        <is>
          <t>C1133</t>
        </is>
      </c>
      <c r="D907" s="10" t="inlineStr">
        <is>
          <t>regular</t>
        </is>
      </c>
      <c r="E907" s="10" t="inlineStr">
        <is>
          <t>Tokopedia</t>
        </is>
      </c>
      <c r="F907" s="10" t="inlineStr">
        <is>
          <t>Jawa Timur</t>
        </is>
      </c>
      <c r="G907" s="10" t="inlineStr">
        <is>
          <t>Kecantikan</t>
        </is>
      </c>
      <c r="H907" s="10" t="inlineStr">
        <is>
          <t>Masker Wajah (5s)</t>
        </is>
      </c>
      <c r="I907" s="19" t="n">
        <v>1</v>
      </c>
      <c r="J907" s="20" t="n">
        <v>55000</v>
      </c>
      <c r="K907" s="20" t="n">
        <v>55000</v>
      </c>
      <c r="L907" s="10">
        <f>IF($B907="","",TEXT($B907,"YYYY-MM"))</f>
        <v/>
      </c>
    </row>
    <row r="908">
      <c r="A908" s="10" t="inlineStr">
        <is>
          <t>INV-71311</t>
        </is>
      </c>
      <c r="B908" s="18" t="n">
        <v>45971</v>
      </c>
      <c r="C908" s="10" t="inlineStr">
        <is>
          <t>C1364</t>
        </is>
      </c>
      <c r="D908" s="10" t="inlineStr">
        <is>
          <t>champion</t>
        </is>
      </c>
      <c r="E908" s="10" t="inlineStr">
        <is>
          <t>TikTok Shop</t>
        </is>
      </c>
      <c r="F908" s="10" t="inlineStr">
        <is>
          <t>Jawa Timur</t>
        </is>
      </c>
      <c r="G908" s="10" t="inlineStr">
        <is>
          <t>Elektronik</t>
        </is>
      </c>
      <c r="H908" s="10" t="inlineStr">
        <is>
          <t>Power Bank 20K</t>
        </is>
      </c>
      <c r="I908" s="19" t="n">
        <v>2</v>
      </c>
      <c r="J908" s="20" t="n">
        <v>185000</v>
      </c>
      <c r="K908" s="20" t="n">
        <v>370000</v>
      </c>
      <c r="L908" s="10">
        <f>IF($B908="","",TEXT($B908,"YYYY-MM"))</f>
        <v/>
      </c>
    </row>
    <row r="909">
      <c r="A909" s="10" t="inlineStr">
        <is>
          <t>INV-70387</t>
        </is>
      </c>
      <c r="B909" s="18" t="n">
        <v>45971</v>
      </c>
      <c r="C909" s="10" t="inlineStr">
        <is>
          <t>C1111</t>
        </is>
      </c>
      <c r="D909" s="10" t="inlineStr">
        <is>
          <t>champion</t>
        </is>
      </c>
      <c r="E909" s="10" t="inlineStr">
        <is>
          <t>Offline Store</t>
        </is>
      </c>
      <c r="F909" s="10" t="inlineStr">
        <is>
          <t>Lainnya</t>
        </is>
      </c>
      <c r="G909" s="10" t="inlineStr">
        <is>
          <t>Rumah Tangga</t>
        </is>
      </c>
      <c r="H909" s="10" t="inlineStr">
        <is>
          <t>Set Wadah Kedap</t>
        </is>
      </c>
      <c r="I909" s="19" t="n">
        <v>2</v>
      </c>
      <c r="J909" s="20" t="n">
        <v>135000</v>
      </c>
      <c r="K909" s="20" t="n">
        <v>270000</v>
      </c>
      <c r="L909" s="10">
        <f>IF($B909="","",TEXT($B909,"YYYY-MM"))</f>
        <v/>
      </c>
    </row>
    <row r="910">
      <c r="A910" s="10" t="inlineStr">
        <is>
          <t>INV-70020</t>
        </is>
      </c>
      <c r="B910" s="18" t="n">
        <v>45971</v>
      </c>
      <c r="C910" s="10" t="inlineStr">
        <is>
          <t>C1003</t>
        </is>
      </c>
      <c r="D910" s="10" t="inlineStr">
        <is>
          <t>regular</t>
        </is>
      </c>
      <c r="E910" s="10" t="inlineStr">
        <is>
          <t>Tokopedia</t>
        </is>
      </c>
      <c r="F910" s="10" t="inlineStr">
        <is>
          <t>Jawa Barat</t>
        </is>
      </c>
      <c r="G910" s="10" t="inlineStr">
        <is>
          <t>Kecantikan</t>
        </is>
      </c>
      <c r="H910" s="10" t="inlineStr">
        <is>
          <t>Masker Wajah (5s)</t>
        </is>
      </c>
      <c r="I910" s="19" t="n">
        <v>4</v>
      </c>
      <c r="J910" s="20" t="n">
        <v>55000</v>
      </c>
      <c r="K910" s="20" t="n">
        <v>220000</v>
      </c>
      <c r="L910" s="10">
        <f>IF($B910="","",TEXT($B910,"YYYY-MM"))</f>
        <v/>
      </c>
    </row>
    <row r="911">
      <c r="A911" s="10" t="inlineStr">
        <is>
          <t>INV-71194</t>
        </is>
      </c>
      <c r="B911" s="18" t="n">
        <v>45972</v>
      </c>
      <c r="C911" s="10" t="inlineStr">
        <is>
          <t>C1336</t>
        </is>
      </c>
      <c r="D911" s="10" t="inlineStr">
        <is>
          <t>regular</t>
        </is>
      </c>
      <c r="E911" s="10" t="inlineStr">
        <is>
          <t>Offline Store</t>
        </is>
      </c>
      <c r="F911" s="10" t="inlineStr">
        <is>
          <t>Jabodetabek</t>
        </is>
      </c>
      <c r="G911" s="10" t="inlineStr">
        <is>
          <t>Makanan</t>
        </is>
      </c>
      <c r="H911" s="10" t="inlineStr">
        <is>
          <t>Madu Hutan 250ml</t>
        </is>
      </c>
      <c r="I911" s="19" t="n">
        <v>1</v>
      </c>
      <c r="J911" s="20" t="n">
        <v>110000</v>
      </c>
      <c r="K911" s="20" t="n">
        <v>110000</v>
      </c>
      <c r="L911" s="10">
        <f>IF($B911="","",TEXT($B911,"YYYY-MM"))</f>
        <v/>
      </c>
    </row>
    <row r="912">
      <c r="A912" s="10" t="inlineStr">
        <is>
          <t>INV-70132</t>
        </is>
      </c>
      <c r="B912" s="18" t="n">
        <v>45972</v>
      </c>
      <c r="C912" s="10" t="inlineStr">
        <is>
          <t>C1038</t>
        </is>
      </c>
      <c r="D912" s="10" t="inlineStr">
        <is>
          <t>champion</t>
        </is>
      </c>
      <c r="E912" s="10" t="inlineStr">
        <is>
          <t>TikTok Shop</t>
        </is>
      </c>
      <c r="F912" s="10" t="inlineStr">
        <is>
          <t>Sumatera</t>
        </is>
      </c>
      <c r="G912" s="10" t="inlineStr">
        <is>
          <t>Rumah Tangga</t>
        </is>
      </c>
      <c r="H912" s="10" t="inlineStr">
        <is>
          <t>Organizer Laci</t>
        </is>
      </c>
      <c r="I912" s="19" t="n">
        <v>1</v>
      </c>
      <c r="J912" s="20" t="n">
        <v>78000</v>
      </c>
      <c r="K912" s="20" t="n">
        <v>78000</v>
      </c>
      <c r="L912" s="10">
        <f>IF($B912="","",TEXT($B912,"YYYY-MM"))</f>
        <v/>
      </c>
    </row>
    <row r="913">
      <c r="A913" s="10" t="inlineStr">
        <is>
          <t>INV-70853</t>
        </is>
      </c>
      <c r="B913" s="18" t="n">
        <v>45972</v>
      </c>
      <c r="C913" s="10" t="inlineStr">
        <is>
          <t>C1240</t>
        </is>
      </c>
      <c r="D913" s="10" t="inlineStr">
        <is>
          <t>loyal</t>
        </is>
      </c>
      <c r="E913" s="10" t="inlineStr">
        <is>
          <t>Tokopedia</t>
        </is>
      </c>
      <c r="F913" s="10" t="inlineStr">
        <is>
          <t>Jabodetabek</t>
        </is>
      </c>
      <c r="G913" s="10" t="inlineStr">
        <is>
          <t>Elektronik</t>
        </is>
      </c>
      <c r="H913" s="10" t="inlineStr">
        <is>
          <t>Smartwatch</t>
        </is>
      </c>
      <c r="I913" s="19" t="n">
        <v>1</v>
      </c>
      <c r="J913" s="20" t="n">
        <v>450000</v>
      </c>
      <c r="K913" s="20" t="n">
        <v>450000</v>
      </c>
      <c r="L913" s="10">
        <f>IF($B913="","",TEXT($B913,"YYYY-MM"))</f>
        <v/>
      </c>
    </row>
    <row r="914">
      <c r="A914" s="10" t="inlineStr">
        <is>
          <t>INV-70247</t>
        </is>
      </c>
      <c r="B914" s="18" t="n">
        <v>45973</v>
      </c>
      <c r="C914" s="10" t="inlineStr">
        <is>
          <t>C1071</t>
        </is>
      </c>
      <c r="D914" s="10" t="inlineStr">
        <is>
          <t>regular</t>
        </is>
      </c>
      <c r="E914" s="10" t="inlineStr">
        <is>
          <t>Shopee</t>
        </is>
      </c>
      <c r="F914" s="10" t="inlineStr">
        <is>
          <t>Jawa Barat</t>
        </is>
      </c>
      <c r="G914" s="10" t="inlineStr">
        <is>
          <t>Rumah Tangga</t>
        </is>
      </c>
      <c r="H914" s="10" t="inlineStr">
        <is>
          <t>Organizer Laci</t>
        </is>
      </c>
      <c r="I914" s="19" t="n">
        <v>2</v>
      </c>
      <c r="J914" s="20" t="n">
        <v>78000</v>
      </c>
      <c r="K914" s="20" t="n">
        <v>156000</v>
      </c>
      <c r="L914" s="10">
        <f>IF($B914="","",TEXT($B914,"YYYY-MM"))</f>
        <v/>
      </c>
    </row>
    <row r="915">
      <c r="A915" s="10" t="inlineStr">
        <is>
          <t>INV-71000</t>
        </is>
      </c>
      <c r="B915" s="18" t="n">
        <v>45973</v>
      </c>
      <c r="C915" s="10" t="inlineStr">
        <is>
          <t>C1287</t>
        </is>
      </c>
      <c r="D915" s="10" t="inlineStr">
        <is>
          <t>champion</t>
        </is>
      </c>
      <c r="E915" s="10" t="inlineStr">
        <is>
          <t>Tokopedia</t>
        </is>
      </c>
      <c r="F915" s="10" t="inlineStr">
        <is>
          <t>Jawa Tengah</t>
        </is>
      </c>
      <c r="G915" s="10" t="inlineStr">
        <is>
          <t>Rumah Tangga</t>
        </is>
      </c>
      <c r="H915" s="10" t="inlineStr">
        <is>
          <t>Organizer Laci</t>
        </is>
      </c>
      <c r="I915" s="19" t="n">
        <v>2</v>
      </c>
      <c r="J915" s="20" t="n">
        <v>78000</v>
      </c>
      <c r="K915" s="20" t="n">
        <v>156000</v>
      </c>
      <c r="L915" s="10">
        <f>IF($B915="","",TEXT($B915,"YYYY-MM"))</f>
        <v/>
      </c>
    </row>
    <row r="916">
      <c r="A916" s="10" t="inlineStr">
        <is>
          <t>INV-70830</t>
        </is>
      </c>
      <c r="B916" s="18" t="n">
        <v>45973</v>
      </c>
      <c r="C916" s="10" t="inlineStr">
        <is>
          <t>C1234</t>
        </is>
      </c>
      <c r="D916" s="10" t="inlineStr">
        <is>
          <t>loyal</t>
        </is>
      </c>
      <c r="E916" s="10" t="inlineStr">
        <is>
          <t>TikTok Shop</t>
        </is>
      </c>
      <c r="F916" s="10" t="inlineStr">
        <is>
          <t>Jabodetabek</t>
        </is>
      </c>
      <c r="G916" s="10" t="inlineStr">
        <is>
          <t>Kecantikan</t>
        </is>
      </c>
      <c r="H916" s="10" t="inlineStr">
        <is>
          <t>Serum Vit C</t>
        </is>
      </c>
      <c r="I916" s="19" t="n">
        <v>2</v>
      </c>
      <c r="J916" s="20" t="n">
        <v>145000</v>
      </c>
      <c r="K916" s="20" t="n">
        <v>290000</v>
      </c>
      <c r="L916" s="10">
        <f>IF($B916="","",TEXT($B916,"YYYY-MM"))</f>
        <v/>
      </c>
    </row>
    <row r="917">
      <c r="A917" s="10" t="inlineStr">
        <is>
          <t>INV-70402</t>
        </is>
      </c>
      <c r="B917" s="18" t="n">
        <v>45973</v>
      </c>
      <c r="C917" s="10" t="inlineStr">
        <is>
          <t>C1112</t>
        </is>
      </c>
      <c r="D917" s="10" t="inlineStr">
        <is>
          <t>loyal</t>
        </is>
      </c>
      <c r="E917" s="10" t="inlineStr">
        <is>
          <t>Tokopedia</t>
        </is>
      </c>
      <c r="F917" s="10" t="inlineStr">
        <is>
          <t>Jabodetabek</t>
        </is>
      </c>
      <c r="G917" s="10" t="inlineStr">
        <is>
          <t>Kecantikan</t>
        </is>
      </c>
      <c r="H917" s="10" t="inlineStr">
        <is>
          <t>Serum Vit C</t>
        </is>
      </c>
      <c r="I917" s="19" t="n">
        <v>3</v>
      </c>
      <c r="J917" s="20" t="n">
        <v>145000</v>
      </c>
      <c r="K917" s="20" t="n">
        <v>435000</v>
      </c>
      <c r="L917" s="10">
        <f>IF($B917="","",TEXT($B917,"YYYY-MM"))</f>
        <v/>
      </c>
    </row>
    <row r="918">
      <c r="A918" s="10" t="inlineStr">
        <is>
          <t>INV-70149</t>
        </is>
      </c>
      <c r="B918" s="18" t="n">
        <v>45974</v>
      </c>
      <c r="C918" s="10" t="inlineStr">
        <is>
          <t>C1043</t>
        </is>
      </c>
      <c r="D918" s="10" t="inlineStr">
        <is>
          <t>occasional</t>
        </is>
      </c>
      <c r="E918" s="10" t="inlineStr">
        <is>
          <t>Tokopedia</t>
        </is>
      </c>
      <c r="F918" s="10" t="inlineStr">
        <is>
          <t>Sumatera</t>
        </is>
      </c>
      <c r="G918" s="10" t="inlineStr">
        <is>
          <t>Kecantikan</t>
        </is>
      </c>
      <c r="H918" s="10" t="inlineStr">
        <is>
          <t>Masker Wajah (5s)</t>
        </is>
      </c>
      <c r="I918" s="19" t="n">
        <v>1</v>
      </c>
      <c r="J918" s="20" t="n">
        <v>55000</v>
      </c>
      <c r="K918" s="20" t="n">
        <v>55000</v>
      </c>
      <c r="L918" s="10">
        <f>IF($B918="","",TEXT($B918,"YYYY-MM"))</f>
        <v/>
      </c>
    </row>
    <row r="919">
      <c r="A919" s="10" t="inlineStr">
        <is>
          <t>INV-71512</t>
        </is>
      </c>
      <c r="B919" s="18" t="n">
        <v>45974</v>
      </c>
      <c r="C919" s="10" t="inlineStr">
        <is>
          <t>C1415</t>
        </is>
      </c>
      <c r="D919" s="10" t="inlineStr">
        <is>
          <t>regular</t>
        </is>
      </c>
      <c r="E919" s="10" t="inlineStr">
        <is>
          <t>Shopee</t>
        </is>
      </c>
      <c r="F919" s="10" t="inlineStr">
        <is>
          <t>Jabodetabek</t>
        </is>
      </c>
      <c r="G919" s="10" t="inlineStr">
        <is>
          <t>Elektronik</t>
        </is>
      </c>
      <c r="H919" s="10" t="inlineStr">
        <is>
          <t>Earbuds TWS</t>
        </is>
      </c>
      <c r="I919" s="19" t="n">
        <v>1</v>
      </c>
      <c r="J919" s="20" t="n">
        <v>265000</v>
      </c>
      <c r="K919" s="20" t="n">
        <v>265000</v>
      </c>
      <c r="L919" s="10">
        <f>IF($B919="","",TEXT($B919,"YYYY-MM"))</f>
        <v/>
      </c>
    </row>
    <row r="920">
      <c r="A920" s="10" t="inlineStr">
        <is>
          <t>INV-71027</t>
        </is>
      </c>
      <c r="B920" s="18" t="n">
        <v>45974</v>
      </c>
      <c r="C920" s="10" t="inlineStr">
        <is>
          <t>C1292</t>
        </is>
      </c>
      <c r="D920" s="10" t="inlineStr">
        <is>
          <t>regular</t>
        </is>
      </c>
      <c r="E920" s="10" t="inlineStr">
        <is>
          <t>TikTok Shop</t>
        </is>
      </c>
      <c r="F920" s="10" t="inlineStr">
        <is>
          <t>Jabodetabek</t>
        </is>
      </c>
      <c r="G920" s="10" t="inlineStr">
        <is>
          <t>Elektronik</t>
        </is>
      </c>
      <c r="H920" s="10" t="inlineStr">
        <is>
          <t>Power Bank 20K</t>
        </is>
      </c>
      <c r="I920" s="19" t="n">
        <v>3</v>
      </c>
      <c r="J920" s="20" t="n">
        <v>185000</v>
      </c>
      <c r="K920" s="20" t="n">
        <v>555000</v>
      </c>
      <c r="L920" s="10">
        <f>IF($B920="","",TEXT($B920,"YYYY-MM"))</f>
        <v/>
      </c>
    </row>
    <row r="921">
      <c r="A921" s="10" t="inlineStr">
        <is>
          <t>INV-70319</t>
        </is>
      </c>
      <c r="B921" s="18" t="n">
        <v>45975</v>
      </c>
      <c r="C921" s="10" t="inlineStr">
        <is>
          <t>C1088</t>
        </is>
      </c>
      <c r="D921" s="10" t="inlineStr">
        <is>
          <t>champion</t>
        </is>
      </c>
      <c r="E921" s="10" t="inlineStr">
        <is>
          <t>Shopee</t>
        </is>
      </c>
      <c r="F921" s="10" t="inlineStr">
        <is>
          <t>Jawa Tengah</t>
        </is>
      </c>
      <c r="G921" s="10" t="inlineStr">
        <is>
          <t>Rumah Tangga</t>
        </is>
      </c>
      <c r="H921" s="10" t="inlineStr">
        <is>
          <t>Set Wadah Kedap</t>
        </is>
      </c>
      <c r="I921" s="19" t="n">
        <v>3</v>
      </c>
      <c r="J921" s="20" t="n">
        <v>135000</v>
      </c>
      <c r="K921" s="20" t="n">
        <v>405000</v>
      </c>
      <c r="L921" s="10">
        <f>IF($B921="","",TEXT($B921,"YYYY-MM"))</f>
        <v/>
      </c>
    </row>
    <row r="922">
      <c r="A922" s="10" t="inlineStr">
        <is>
          <t>INV-70131</t>
        </is>
      </c>
      <c r="B922" s="18" t="n">
        <v>45975</v>
      </c>
      <c r="C922" s="10" t="inlineStr">
        <is>
          <t>C1038</t>
        </is>
      </c>
      <c r="D922" s="10" t="inlineStr">
        <is>
          <t>champion</t>
        </is>
      </c>
      <c r="E922" s="10" t="inlineStr">
        <is>
          <t>Offline Store</t>
        </is>
      </c>
      <c r="F922" s="10" t="inlineStr">
        <is>
          <t>Jawa Barat</t>
        </is>
      </c>
      <c r="G922" s="10" t="inlineStr">
        <is>
          <t>Elektronik</t>
        </is>
      </c>
      <c r="H922" s="10" t="inlineStr">
        <is>
          <t>Earbuds TWS</t>
        </is>
      </c>
      <c r="I922" s="19" t="n">
        <v>2</v>
      </c>
      <c r="J922" s="20" t="n">
        <v>265000</v>
      </c>
      <c r="K922" s="20" t="n">
        <v>530000</v>
      </c>
      <c r="L922" s="10">
        <f>IF($B922="","",TEXT($B922,"YYYY-MM"))</f>
        <v/>
      </c>
    </row>
    <row r="923">
      <c r="A923" s="10" t="inlineStr">
        <is>
          <t>INV-70349</t>
        </is>
      </c>
      <c r="B923" s="18" t="n">
        <v>45975</v>
      </c>
      <c r="C923" s="10" t="inlineStr">
        <is>
          <t>C1094</t>
        </is>
      </c>
      <c r="D923" s="10" t="inlineStr">
        <is>
          <t>regular</t>
        </is>
      </c>
      <c r="E923" s="10" t="inlineStr">
        <is>
          <t>Shopee</t>
        </is>
      </c>
      <c r="F923" s="10" t="inlineStr">
        <is>
          <t>Jabodetabek</t>
        </is>
      </c>
      <c r="G923" s="10" t="inlineStr">
        <is>
          <t>Rumah Tangga</t>
        </is>
      </c>
      <c r="H923" s="10" t="inlineStr">
        <is>
          <t>Organizer Laci</t>
        </is>
      </c>
      <c r="I923" s="19" t="n">
        <v>2</v>
      </c>
      <c r="J923" s="20" t="n">
        <v>78000</v>
      </c>
      <c r="K923" s="20" t="n">
        <v>156000</v>
      </c>
      <c r="L923" s="10">
        <f>IF($B923="","",TEXT($B923,"YYYY-MM"))</f>
        <v/>
      </c>
    </row>
    <row r="924">
      <c r="A924" s="10" t="inlineStr">
        <is>
          <t>INV-70172</t>
        </is>
      </c>
      <c r="B924" s="18" t="n">
        <v>45975</v>
      </c>
      <c r="C924" s="10" t="inlineStr">
        <is>
          <t>C1049</t>
        </is>
      </c>
      <c r="D924" s="10" t="inlineStr">
        <is>
          <t>champion</t>
        </is>
      </c>
      <c r="E924" s="10" t="inlineStr">
        <is>
          <t>Shopee</t>
        </is>
      </c>
      <c r="F924" s="10" t="inlineStr">
        <is>
          <t>Jabodetabek</t>
        </is>
      </c>
      <c r="G924" s="10" t="inlineStr">
        <is>
          <t>Makanan</t>
        </is>
      </c>
      <c r="H924" s="10" t="inlineStr">
        <is>
          <t>Granola 500g</t>
        </is>
      </c>
      <c r="I924" s="19" t="n">
        <v>1</v>
      </c>
      <c r="J924" s="20" t="n">
        <v>92000</v>
      </c>
      <c r="K924" s="20" t="n">
        <v>92000</v>
      </c>
      <c r="L924" s="10">
        <f>IF($B924="","",TEXT($B924,"YYYY-MM"))</f>
        <v/>
      </c>
    </row>
    <row r="925">
      <c r="A925" s="10" t="inlineStr">
        <is>
          <t>INV-70147</t>
        </is>
      </c>
      <c r="B925" s="18" t="n">
        <v>45975</v>
      </c>
      <c r="C925" s="10" t="inlineStr">
        <is>
          <t>C1042</t>
        </is>
      </c>
      <c r="D925" s="10" t="inlineStr">
        <is>
          <t>loyal</t>
        </is>
      </c>
      <c r="E925" s="10" t="inlineStr">
        <is>
          <t>Tokopedia</t>
        </is>
      </c>
      <c r="F925" s="10" t="inlineStr">
        <is>
          <t>Jabodetabek</t>
        </is>
      </c>
      <c r="G925" s="10" t="inlineStr">
        <is>
          <t>Elektronik</t>
        </is>
      </c>
      <c r="H925" s="10" t="inlineStr">
        <is>
          <t>Power Bank 20K</t>
        </is>
      </c>
      <c r="I925" s="19" t="n">
        <v>4</v>
      </c>
      <c r="J925" s="20" t="n">
        <v>185000</v>
      </c>
      <c r="K925" s="20" t="n">
        <v>740000</v>
      </c>
      <c r="L925" s="10">
        <f>IF($B925="","",TEXT($B925,"YYYY-MM"))</f>
        <v/>
      </c>
    </row>
    <row r="926">
      <c r="A926" s="10" t="inlineStr">
        <is>
          <t>INV-70484</t>
        </is>
      </c>
      <c r="B926" s="18" t="n">
        <v>45975</v>
      </c>
      <c r="C926" s="10" t="inlineStr">
        <is>
          <t>C1139</t>
        </is>
      </c>
      <c r="D926" s="10" t="inlineStr">
        <is>
          <t>champion</t>
        </is>
      </c>
      <c r="E926" s="10" t="inlineStr">
        <is>
          <t>Tokopedia</t>
        </is>
      </c>
      <c r="F926" s="10" t="inlineStr">
        <is>
          <t>Lainnya</t>
        </is>
      </c>
      <c r="G926" s="10" t="inlineStr">
        <is>
          <t>Elektronik</t>
        </is>
      </c>
      <c r="H926" s="10" t="inlineStr">
        <is>
          <t>Earbuds TWS</t>
        </is>
      </c>
      <c r="I926" s="19" t="n">
        <v>1</v>
      </c>
      <c r="J926" s="20" t="n">
        <v>265000</v>
      </c>
      <c r="K926" s="20" t="n">
        <v>265000</v>
      </c>
      <c r="L926" s="10">
        <f>IF($B926="","",TEXT($B926,"YYYY-MM"))</f>
        <v/>
      </c>
    </row>
    <row r="927">
      <c r="A927" s="10" t="inlineStr">
        <is>
          <t>INV-70727</t>
        </is>
      </c>
      <c r="B927" s="18" t="n">
        <v>45976</v>
      </c>
      <c r="C927" s="10" t="inlineStr">
        <is>
          <t>C1204</t>
        </is>
      </c>
      <c r="D927" s="10" t="inlineStr">
        <is>
          <t>regular</t>
        </is>
      </c>
      <c r="E927" s="10" t="inlineStr">
        <is>
          <t>Shopee</t>
        </is>
      </c>
      <c r="F927" s="10" t="inlineStr">
        <is>
          <t>Jabodetabek</t>
        </is>
      </c>
      <c r="G927" s="10" t="inlineStr">
        <is>
          <t>Rumah Tangga</t>
        </is>
      </c>
      <c r="H927" s="10" t="inlineStr">
        <is>
          <t>Organizer Laci</t>
        </is>
      </c>
      <c r="I927" s="19" t="n">
        <v>2</v>
      </c>
      <c r="J927" s="20" t="n">
        <v>78000</v>
      </c>
      <c r="K927" s="20" t="n">
        <v>156000</v>
      </c>
      <c r="L927" s="10">
        <f>IF($B927="","",TEXT($B927,"YYYY-MM"))</f>
        <v/>
      </c>
    </row>
    <row r="928">
      <c r="A928" s="10" t="inlineStr">
        <is>
          <t>INV-70641</t>
        </is>
      </c>
      <c r="B928" s="18" t="n">
        <v>45977</v>
      </c>
      <c r="C928" s="10" t="inlineStr">
        <is>
          <t>C1174</t>
        </is>
      </c>
      <c r="D928" s="10" t="inlineStr">
        <is>
          <t>loyal</t>
        </is>
      </c>
      <c r="E928" s="10" t="inlineStr">
        <is>
          <t>Shopee</t>
        </is>
      </c>
      <c r="F928" s="10" t="inlineStr">
        <is>
          <t>Jabodetabek</t>
        </is>
      </c>
      <c r="G928" s="10" t="inlineStr">
        <is>
          <t>Elektronik</t>
        </is>
      </c>
      <c r="H928" s="10" t="inlineStr">
        <is>
          <t>Earbuds TWS</t>
        </is>
      </c>
      <c r="I928" s="19" t="n">
        <v>2</v>
      </c>
      <c r="J928" s="20" t="n">
        <v>265000</v>
      </c>
      <c r="K928" s="20" t="n">
        <v>530000</v>
      </c>
      <c r="L928" s="10">
        <f>IF($B928="","",TEXT($B928,"YYYY-MM"))</f>
        <v/>
      </c>
    </row>
    <row r="929">
      <c r="A929" s="10" t="inlineStr">
        <is>
          <t>INV-70540</t>
        </is>
      </c>
      <c r="B929" s="18" t="n">
        <v>45977</v>
      </c>
      <c r="C929" s="10" t="inlineStr">
        <is>
          <t>C1149</t>
        </is>
      </c>
      <c r="D929" s="10" t="inlineStr">
        <is>
          <t>loyal</t>
        </is>
      </c>
      <c r="E929" s="10" t="inlineStr">
        <is>
          <t>Shopee</t>
        </is>
      </c>
      <c r="F929" s="10" t="inlineStr">
        <is>
          <t>Jabodetabek</t>
        </is>
      </c>
      <c r="G929" s="10" t="inlineStr">
        <is>
          <t>Kecantikan</t>
        </is>
      </c>
      <c r="H929" s="10" t="inlineStr">
        <is>
          <t>Masker Wajah (5s)</t>
        </is>
      </c>
      <c r="I929" s="19" t="n">
        <v>2</v>
      </c>
      <c r="J929" s="20" t="n">
        <v>55000</v>
      </c>
      <c r="K929" s="20" t="n">
        <v>110000</v>
      </c>
      <c r="L929" s="10">
        <f>IF($B929="","",TEXT($B929,"YYYY-MM"))</f>
        <v/>
      </c>
    </row>
    <row r="930">
      <c r="A930" s="10" t="inlineStr">
        <is>
          <t>INV-71335</t>
        </is>
      </c>
      <c r="B930" s="18" t="n">
        <v>45977</v>
      </c>
      <c r="C930" s="10" t="inlineStr">
        <is>
          <t>C1368</t>
        </is>
      </c>
      <c r="D930" s="10" t="inlineStr">
        <is>
          <t>regular</t>
        </is>
      </c>
      <c r="E930" s="10" t="inlineStr">
        <is>
          <t>TikTok Shop</t>
        </is>
      </c>
      <c r="F930" s="10" t="inlineStr">
        <is>
          <t>Jabodetabek</t>
        </is>
      </c>
      <c r="G930" s="10" t="inlineStr">
        <is>
          <t>Kecantikan</t>
        </is>
      </c>
      <c r="H930" s="10" t="inlineStr">
        <is>
          <t>Masker Wajah (5s)</t>
        </is>
      </c>
      <c r="I930" s="19" t="n">
        <v>2</v>
      </c>
      <c r="J930" s="20" t="n">
        <v>55000</v>
      </c>
      <c r="K930" s="20" t="n">
        <v>110000</v>
      </c>
      <c r="L930" s="10">
        <f>IF($B930="","",TEXT($B930,"YYYY-MM"))</f>
        <v/>
      </c>
    </row>
    <row r="931">
      <c r="A931" s="10" t="inlineStr">
        <is>
          <t>INV-70792</t>
        </is>
      </c>
      <c r="B931" s="18" t="n">
        <v>45978</v>
      </c>
      <c r="C931" s="10" t="inlineStr">
        <is>
          <t>C1222</t>
        </is>
      </c>
      <c r="D931" s="10" t="inlineStr">
        <is>
          <t>loyal</t>
        </is>
      </c>
      <c r="E931" s="10" t="inlineStr">
        <is>
          <t>TikTok Shop</t>
        </is>
      </c>
      <c r="F931" s="10" t="inlineStr">
        <is>
          <t>Jabodetabek</t>
        </is>
      </c>
      <c r="G931" s="10" t="inlineStr">
        <is>
          <t>Kecantikan</t>
        </is>
      </c>
      <c r="H931" s="10" t="inlineStr">
        <is>
          <t>Masker Wajah (5s)</t>
        </is>
      </c>
      <c r="I931" s="19" t="n">
        <v>3</v>
      </c>
      <c r="J931" s="20" t="n">
        <v>55000</v>
      </c>
      <c r="K931" s="20" t="n">
        <v>165000</v>
      </c>
      <c r="L931" s="10">
        <f>IF($B931="","",TEXT($B931,"YYYY-MM"))</f>
        <v/>
      </c>
    </row>
    <row r="932">
      <c r="A932" s="10" t="inlineStr">
        <is>
          <t>INV-70776</t>
        </is>
      </c>
      <c r="B932" s="18" t="n">
        <v>45978</v>
      </c>
      <c r="C932" s="10" t="inlineStr">
        <is>
          <t>C1219</t>
        </is>
      </c>
      <c r="D932" s="10" t="inlineStr">
        <is>
          <t>occasional</t>
        </is>
      </c>
      <c r="E932" s="10" t="inlineStr">
        <is>
          <t>Offline Store</t>
        </is>
      </c>
      <c r="F932" s="10" t="inlineStr">
        <is>
          <t>Jawa Timur</t>
        </is>
      </c>
      <c r="G932" s="10" t="inlineStr">
        <is>
          <t>Rumah Tangga</t>
        </is>
      </c>
      <c r="H932" s="10" t="inlineStr">
        <is>
          <t>Organizer Laci</t>
        </is>
      </c>
      <c r="I932" s="19" t="n">
        <v>3</v>
      </c>
      <c r="J932" s="20" t="n">
        <v>78000</v>
      </c>
      <c r="K932" s="20" t="n">
        <v>234000</v>
      </c>
      <c r="L932" s="10">
        <f>IF($B932="","",TEXT($B932,"YYYY-MM"))</f>
        <v/>
      </c>
    </row>
    <row r="933">
      <c r="A933" s="10" t="inlineStr">
        <is>
          <t>INV-71052</t>
        </is>
      </c>
      <c r="B933" s="18" t="n">
        <v>45978</v>
      </c>
      <c r="C933" s="10" t="inlineStr">
        <is>
          <t>C1298</t>
        </is>
      </c>
      <c r="D933" s="10" t="inlineStr">
        <is>
          <t>onetime</t>
        </is>
      </c>
      <c r="E933" s="10" t="inlineStr">
        <is>
          <t>Tokopedia</t>
        </is>
      </c>
      <c r="F933" s="10" t="inlineStr">
        <is>
          <t>Jabodetabek</t>
        </is>
      </c>
      <c r="G933" s="10" t="inlineStr">
        <is>
          <t>Rumah Tangga</t>
        </is>
      </c>
      <c r="H933" s="10" t="inlineStr">
        <is>
          <t>Organizer Laci</t>
        </is>
      </c>
      <c r="I933" s="19" t="n">
        <v>4</v>
      </c>
      <c r="J933" s="20" t="n">
        <v>78000</v>
      </c>
      <c r="K933" s="20" t="n">
        <v>312000</v>
      </c>
      <c r="L933" s="10">
        <f>IF($B933="","",TEXT($B933,"YYYY-MM"))</f>
        <v/>
      </c>
    </row>
    <row r="934">
      <c r="A934" s="10" t="inlineStr">
        <is>
          <t>INV-70017</t>
        </is>
      </c>
      <c r="B934" s="18" t="n">
        <v>45979</v>
      </c>
      <c r="C934" s="10" t="inlineStr">
        <is>
          <t>C1003</t>
        </is>
      </c>
      <c r="D934" s="10" t="inlineStr">
        <is>
          <t>regular</t>
        </is>
      </c>
      <c r="E934" s="10" t="inlineStr">
        <is>
          <t>TikTok Shop</t>
        </is>
      </c>
      <c r="F934" s="10" t="inlineStr">
        <is>
          <t>Jawa Tengah</t>
        </is>
      </c>
      <c r="G934" s="10" t="inlineStr">
        <is>
          <t>Elektronik</t>
        </is>
      </c>
      <c r="H934" s="10" t="inlineStr">
        <is>
          <t>Power Bank 20K</t>
        </is>
      </c>
      <c r="I934" s="19" t="n">
        <v>2</v>
      </c>
      <c r="J934" s="20" t="n">
        <v>185000</v>
      </c>
      <c r="K934" s="20" t="n">
        <v>370000</v>
      </c>
      <c r="L934" s="10">
        <f>IF($B934="","",TEXT($B934,"YYYY-MM"))</f>
        <v/>
      </c>
    </row>
    <row r="935">
      <c r="A935" s="10" t="inlineStr">
        <is>
          <t>INV-70596</t>
        </is>
      </c>
      <c r="B935" s="18" t="n">
        <v>45979</v>
      </c>
      <c r="C935" s="10" t="inlineStr">
        <is>
          <t>C1161</t>
        </is>
      </c>
      <c r="D935" s="10" t="inlineStr">
        <is>
          <t>champion</t>
        </is>
      </c>
      <c r="E935" s="10" t="inlineStr">
        <is>
          <t>Offline Store</t>
        </is>
      </c>
      <c r="F935" s="10" t="inlineStr">
        <is>
          <t>Jawa Tengah</t>
        </is>
      </c>
      <c r="G935" s="10" t="inlineStr">
        <is>
          <t>Elektronik</t>
        </is>
      </c>
      <c r="H935" s="10" t="inlineStr">
        <is>
          <t>Earbuds TWS</t>
        </is>
      </c>
      <c r="I935" s="19" t="n">
        <v>3</v>
      </c>
      <c r="J935" s="20" t="n">
        <v>265000</v>
      </c>
      <c r="K935" s="20" t="n">
        <v>795000</v>
      </c>
      <c r="L935" s="10">
        <f>IF($B935="","",TEXT($B935,"YYYY-MM"))</f>
        <v/>
      </c>
    </row>
    <row r="936">
      <c r="A936" s="10" t="inlineStr">
        <is>
          <t>INV-71016</t>
        </is>
      </c>
      <c r="B936" s="18" t="n">
        <v>45980</v>
      </c>
      <c r="C936" s="10" t="inlineStr">
        <is>
          <t>C1290</t>
        </is>
      </c>
      <c r="D936" s="10" t="inlineStr">
        <is>
          <t>loyal</t>
        </is>
      </c>
      <c r="E936" s="10" t="inlineStr">
        <is>
          <t>Tokopedia</t>
        </is>
      </c>
      <c r="F936" s="10" t="inlineStr">
        <is>
          <t>Jawa Tengah</t>
        </is>
      </c>
      <c r="G936" s="10" t="inlineStr">
        <is>
          <t>Rumah Tangga</t>
        </is>
      </c>
      <c r="H936" s="10" t="inlineStr">
        <is>
          <t>Set Wadah Kedap</t>
        </is>
      </c>
      <c r="I936" s="19" t="n">
        <v>1</v>
      </c>
      <c r="J936" s="20" t="n">
        <v>135000</v>
      </c>
      <c r="K936" s="20" t="n">
        <v>135000</v>
      </c>
      <c r="L936" s="10">
        <f>IF($B936="","",TEXT($B936,"YYYY-MM"))</f>
        <v/>
      </c>
    </row>
    <row r="937">
      <c r="A937" s="10" t="inlineStr">
        <is>
          <t>INV-70490</t>
        </is>
      </c>
      <c r="B937" s="18" t="n">
        <v>45980</v>
      </c>
      <c r="C937" s="10" t="inlineStr">
        <is>
          <t>C1139</t>
        </is>
      </c>
      <c r="D937" s="10" t="inlineStr">
        <is>
          <t>champion</t>
        </is>
      </c>
      <c r="E937" s="10" t="inlineStr">
        <is>
          <t>Tokopedia</t>
        </is>
      </c>
      <c r="F937" s="10" t="inlineStr">
        <is>
          <t>Jabodetabek</t>
        </is>
      </c>
      <c r="G937" s="10" t="inlineStr">
        <is>
          <t>Kecantikan</t>
        </is>
      </c>
      <c r="H937" s="10" t="inlineStr">
        <is>
          <t>Masker Wajah (5s)</t>
        </is>
      </c>
      <c r="I937" s="19" t="n">
        <v>1</v>
      </c>
      <c r="J937" s="20" t="n">
        <v>55000</v>
      </c>
      <c r="K937" s="20" t="n">
        <v>55000</v>
      </c>
      <c r="L937" s="10">
        <f>IF($B937="","",TEXT($B937,"YYYY-MM"))</f>
        <v/>
      </c>
    </row>
    <row r="938">
      <c r="A938" s="10" t="inlineStr">
        <is>
          <t>INV-70593</t>
        </is>
      </c>
      <c r="B938" s="18" t="n">
        <v>45980</v>
      </c>
      <c r="C938" s="10" t="inlineStr">
        <is>
          <t>C1161</t>
        </is>
      </c>
      <c r="D938" s="10" t="inlineStr">
        <is>
          <t>champion</t>
        </is>
      </c>
      <c r="E938" s="10" t="inlineStr">
        <is>
          <t>Shopee</t>
        </is>
      </c>
      <c r="F938" s="10" t="inlineStr">
        <is>
          <t>Sumatera</t>
        </is>
      </c>
      <c r="G938" s="10" t="inlineStr">
        <is>
          <t>Makanan</t>
        </is>
      </c>
      <c r="H938" s="10" t="inlineStr">
        <is>
          <t>Granola 500g</t>
        </is>
      </c>
      <c r="I938" s="19" t="n">
        <v>4</v>
      </c>
      <c r="J938" s="20" t="n">
        <v>92000</v>
      </c>
      <c r="K938" s="20" t="n">
        <v>368000</v>
      </c>
      <c r="L938" s="10">
        <f>IF($B938="","",TEXT($B938,"YYYY-MM"))</f>
        <v/>
      </c>
    </row>
    <row r="939">
      <c r="A939" s="10" t="inlineStr">
        <is>
          <t>INV-70219</t>
        </is>
      </c>
      <c r="B939" s="18" t="n">
        <v>45980</v>
      </c>
      <c r="C939" s="10" t="inlineStr">
        <is>
          <t>C1061</t>
        </is>
      </c>
      <c r="D939" s="10" t="inlineStr">
        <is>
          <t>occasional</t>
        </is>
      </c>
      <c r="E939" s="10" t="inlineStr">
        <is>
          <t>TikTok Shop</t>
        </is>
      </c>
      <c r="F939" s="10" t="inlineStr">
        <is>
          <t>Jabodetabek</t>
        </is>
      </c>
      <c r="G939" s="10" t="inlineStr">
        <is>
          <t>Rumah Tangga</t>
        </is>
      </c>
      <c r="H939" s="10" t="inlineStr">
        <is>
          <t>Set Wadah Kedap</t>
        </is>
      </c>
      <c r="I939" s="19" t="n">
        <v>1</v>
      </c>
      <c r="J939" s="20" t="n">
        <v>135000</v>
      </c>
      <c r="K939" s="20" t="n">
        <v>135000</v>
      </c>
      <c r="L939" s="10">
        <f>IF($B939="","",TEXT($B939,"YYYY-MM"))</f>
        <v/>
      </c>
    </row>
    <row r="940">
      <c r="A940" s="10" t="inlineStr">
        <is>
          <t>INV-70447</t>
        </is>
      </c>
      <c r="B940" s="18" t="n">
        <v>45980</v>
      </c>
      <c r="C940" s="10" t="inlineStr">
        <is>
          <t>C1126</t>
        </is>
      </c>
      <c r="D940" s="10" t="inlineStr">
        <is>
          <t>occasional</t>
        </is>
      </c>
      <c r="E940" s="10" t="inlineStr">
        <is>
          <t>Tokopedia</t>
        </is>
      </c>
      <c r="F940" s="10" t="inlineStr">
        <is>
          <t>Jawa Barat</t>
        </is>
      </c>
      <c r="G940" s="10" t="inlineStr">
        <is>
          <t>Elektronik</t>
        </is>
      </c>
      <c r="H940" s="10" t="inlineStr">
        <is>
          <t>Keyboard Mekanik</t>
        </is>
      </c>
      <c r="I940" s="19" t="n">
        <v>4</v>
      </c>
      <c r="J940" s="20" t="n">
        <v>380000</v>
      </c>
      <c r="K940" s="20" t="n">
        <v>1520000</v>
      </c>
      <c r="L940" s="10">
        <f>IF($B940="","",TEXT($B940,"YYYY-MM"))</f>
        <v/>
      </c>
    </row>
    <row r="941">
      <c r="A941" s="10" t="inlineStr">
        <is>
          <t>INV-71373</t>
        </is>
      </c>
      <c r="B941" s="18" t="n">
        <v>45981</v>
      </c>
      <c r="C941" s="10" t="inlineStr">
        <is>
          <t>C1379</t>
        </is>
      </c>
      <c r="D941" s="10" t="inlineStr">
        <is>
          <t>occasional</t>
        </is>
      </c>
      <c r="E941" s="10" t="inlineStr">
        <is>
          <t>Tokopedia</t>
        </is>
      </c>
      <c r="F941" s="10" t="inlineStr">
        <is>
          <t>Jabodetabek</t>
        </is>
      </c>
      <c r="G941" s="10" t="inlineStr">
        <is>
          <t>Rumah Tangga</t>
        </is>
      </c>
      <c r="H941" s="10" t="inlineStr">
        <is>
          <t>Set Wadah Kedap</t>
        </is>
      </c>
      <c r="I941" s="19" t="n">
        <v>1</v>
      </c>
      <c r="J941" s="20" t="n">
        <v>135000</v>
      </c>
      <c r="K941" s="20" t="n">
        <v>135000</v>
      </c>
      <c r="L941" s="10">
        <f>IF($B941="","",TEXT($B941,"YYYY-MM"))</f>
        <v/>
      </c>
    </row>
    <row r="942">
      <c r="A942" s="10" t="inlineStr">
        <is>
          <t>INV-70163</t>
        </is>
      </c>
      <c r="B942" s="18" t="n">
        <v>45981</v>
      </c>
      <c r="C942" s="10" t="inlineStr">
        <is>
          <t>C1049</t>
        </is>
      </c>
      <c r="D942" s="10" t="inlineStr">
        <is>
          <t>champion</t>
        </is>
      </c>
      <c r="E942" s="10" t="inlineStr">
        <is>
          <t>Shopee</t>
        </is>
      </c>
      <c r="F942" s="10" t="inlineStr">
        <is>
          <t>Lainnya</t>
        </is>
      </c>
      <c r="G942" s="10" t="inlineStr">
        <is>
          <t>Kecantikan</t>
        </is>
      </c>
      <c r="H942" s="10" t="inlineStr">
        <is>
          <t>Masker Wajah (5s)</t>
        </is>
      </c>
      <c r="I942" s="19" t="n">
        <v>2</v>
      </c>
      <c r="J942" s="20" t="n">
        <v>55000</v>
      </c>
      <c r="K942" s="20" t="n">
        <v>110000</v>
      </c>
      <c r="L942" s="10">
        <f>IF($B942="","",TEXT($B942,"YYYY-MM"))</f>
        <v/>
      </c>
    </row>
    <row r="943">
      <c r="A943" s="10" t="inlineStr">
        <is>
          <t>INV-71475</t>
        </is>
      </c>
      <c r="B943" s="18" t="n">
        <v>45981</v>
      </c>
      <c r="C943" s="10" t="inlineStr">
        <is>
          <t>C1408</t>
        </is>
      </c>
      <c r="D943" s="10" t="inlineStr">
        <is>
          <t>regular</t>
        </is>
      </c>
      <c r="E943" s="10" t="inlineStr">
        <is>
          <t>TikTok Shop</t>
        </is>
      </c>
      <c r="F943" s="10" t="inlineStr">
        <is>
          <t>Jabodetabek</t>
        </is>
      </c>
      <c r="G943" s="10" t="inlineStr">
        <is>
          <t>Fashion</t>
        </is>
      </c>
      <c r="H943" s="10" t="inlineStr">
        <is>
          <t>Dress Casual</t>
        </is>
      </c>
      <c r="I943" s="19" t="n">
        <v>1</v>
      </c>
      <c r="J943" s="20" t="n">
        <v>225000</v>
      </c>
      <c r="K943" s="20" t="n">
        <v>225000</v>
      </c>
      <c r="L943" s="10">
        <f>IF($B943="","",TEXT($B943,"YYYY-MM"))</f>
        <v/>
      </c>
    </row>
    <row r="944">
      <c r="A944" s="10" t="inlineStr">
        <is>
          <t>INV-70764</t>
        </is>
      </c>
      <c r="B944" s="18" t="n">
        <v>45981</v>
      </c>
      <c r="C944" s="10" t="inlineStr">
        <is>
          <t>C1215</t>
        </is>
      </c>
      <c r="D944" s="10" t="inlineStr">
        <is>
          <t>loyal</t>
        </is>
      </c>
      <c r="E944" s="10" t="inlineStr">
        <is>
          <t>Tokopedia</t>
        </is>
      </c>
      <c r="F944" s="10" t="inlineStr">
        <is>
          <t>Jabodetabek</t>
        </is>
      </c>
      <c r="G944" s="10" t="inlineStr">
        <is>
          <t>Elektronik</t>
        </is>
      </c>
      <c r="H944" s="10" t="inlineStr">
        <is>
          <t>Earbuds TWS</t>
        </is>
      </c>
      <c r="I944" s="19" t="n">
        <v>4</v>
      </c>
      <c r="J944" s="20" t="n">
        <v>265000</v>
      </c>
      <c r="K944" s="20" t="n">
        <v>1060000</v>
      </c>
      <c r="L944" s="10">
        <f>IF($B944="","",TEXT($B944,"YYYY-MM"))</f>
        <v/>
      </c>
    </row>
    <row r="945">
      <c r="A945" s="10" t="inlineStr">
        <is>
          <t>INV-70361</t>
        </is>
      </c>
      <c r="B945" s="18" t="n">
        <v>45981</v>
      </c>
      <c r="C945" s="10" t="inlineStr">
        <is>
          <t>C1099</t>
        </is>
      </c>
      <c r="D945" s="10" t="inlineStr">
        <is>
          <t>occasional</t>
        </is>
      </c>
      <c r="E945" s="10" t="inlineStr">
        <is>
          <t>Shopee</t>
        </is>
      </c>
      <c r="F945" s="10" t="inlineStr">
        <is>
          <t>Jabodetabek</t>
        </is>
      </c>
      <c r="G945" s="10" t="inlineStr">
        <is>
          <t>Rumah Tangga</t>
        </is>
      </c>
      <c r="H945" s="10" t="inlineStr">
        <is>
          <t>Set Wadah Kedap</t>
        </is>
      </c>
      <c r="I945" s="19" t="n">
        <v>1</v>
      </c>
      <c r="J945" s="20" t="n">
        <v>135000</v>
      </c>
      <c r="K945" s="20" t="n">
        <v>135000</v>
      </c>
      <c r="L945" s="10">
        <f>IF($B945="","",TEXT($B945,"YYYY-MM"))</f>
        <v/>
      </c>
    </row>
    <row r="946">
      <c r="A946" s="10" t="inlineStr">
        <is>
          <t>INV-70654</t>
        </is>
      </c>
      <c r="B946" s="18" t="n">
        <v>45982</v>
      </c>
      <c r="C946" s="10" t="inlineStr">
        <is>
          <t>C1179</t>
        </is>
      </c>
      <c r="D946" s="10" t="inlineStr">
        <is>
          <t>loyal</t>
        </is>
      </c>
      <c r="E946" s="10" t="inlineStr">
        <is>
          <t>TikTok Shop</t>
        </is>
      </c>
      <c r="F946" s="10" t="inlineStr">
        <is>
          <t>Jabodetabek</t>
        </is>
      </c>
      <c r="G946" s="10" t="inlineStr">
        <is>
          <t>Elektronik</t>
        </is>
      </c>
      <c r="H946" s="10" t="inlineStr">
        <is>
          <t>Smartwatch</t>
        </is>
      </c>
      <c r="I946" s="19" t="n">
        <v>2</v>
      </c>
      <c r="J946" s="20" t="n">
        <v>450000</v>
      </c>
      <c r="K946" s="20" t="n">
        <v>900000</v>
      </c>
      <c r="L946" s="10">
        <f>IF($B946="","",TEXT($B946,"YYYY-MM"))</f>
        <v/>
      </c>
    </row>
    <row r="947">
      <c r="A947" s="10" t="inlineStr">
        <is>
          <t>INV-70879</t>
        </is>
      </c>
      <c r="B947" s="18" t="n">
        <v>45982</v>
      </c>
      <c r="C947" s="10" t="inlineStr">
        <is>
          <t>C1246</t>
        </is>
      </c>
      <c r="D947" s="10" t="inlineStr">
        <is>
          <t>champion</t>
        </is>
      </c>
      <c r="E947" s="10" t="inlineStr">
        <is>
          <t>TikTok Shop</t>
        </is>
      </c>
      <c r="F947" s="10" t="inlineStr">
        <is>
          <t>Jawa Tengah</t>
        </is>
      </c>
      <c r="G947" s="10" t="inlineStr">
        <is>
          <t>Rumah Tangga</t>
        </is>
      </c>
      <c r="H947" s="10" t="inlineStr">
        <is>
          <t>Diffuser Aroma</t>
        </is>
      </c>
      <c r="I947" s="19" t="n">
        <v>2</v>
      </c>
      <c r="J947" s="20" t="n">
        <v>195000</v>
      </c>
      <c r="K947" s="20" t="n">
        <v>390000</v>
      </c>
      <c r="L947" s="10">
        <f>IF($B947="","",TEXT($B947,"YYYY-MM"))</f>
        <v/>
      </c>
    </row>
    <row r="948">
      <c r="A948" s="10" t="inlineStr">
        <is>
          <t>INV-71393</t>
        </is>
      </c>
      <c r="B948" s="18" t="n">
        <v>45983</v>
      </c>
      <c r="C948" s="10" t="inlineStr">
        <is>
          <t>C1386</t>
        </is>
      </c>
      <c r="D948" s="10" t="inlineStr">
        <is>
          <t>loyal</t>
        </is>
      </c>
      <c r="E948" s="10" t="inlineStr">
        <is>
          <t>Tokopedia</t>
        </is>
      </c>
      <c r="F948" s="10" t="inlineStr">
        <is>
          <t>Jabodetabek</t>
        </is>
      </c>
      <c r="G948" s="10" t="inlineStr">
        <is>
          <t>Rumah Tangga</t>
        </is>
      </c>
      <c r="H948" s="10" t="inlineStr">
        <is>
          <t>Organizer Laci</t>
        </is>
      </c>
      <c r="I948" s="19" t="n">
        <v>3</v>
      </c>
      <c r="J948" s="20" t="n">
        <v>78000</v>
      </c>
      <c r="K948" s="20" t="n">
        <v>234000</v>
      </c>
      <c r="L948" s="10">
        <f>IF($B948="","",TEXT($B948,"YYYY-MM"))</f>
        <v/>
      </c>
    </row>
    <row r="949">
      <c r="A949" s="10" t="inlineStr">
        <is>
          <t>INV-71253</t>
        </is>
      </c>
      <c r="B949" s="18" t="n">
        <v>45983</v>
      </c>
      <c r="C949" s="10" t="inlineStr">
        <is>
          <t>C1352</t>
        </is>
      </c>
      <c r="D949" s="10" t="inlineStr">
        <is>
          <t>loyal</t>
        </is>
      </c>
      <c r="E949" s="10" t="inlineStr">
        <is>
          <t>Shopee</t>
        </is>
      </c>
      <c r="F949" s="10" t="inlineStr">
        <is>
          <t>Jabodetabek</t>
        </is>
      </c>
      <c r="G949" s="10" t="inlineStr">
        <is>
          <t>Rumah Tangga</t>
        </is>
      </c>
      <c r="H949" s="10" t="inlineStr">
        <is>
          <t>Set Wadah Kedap</t>
        </is>
      </c>
      <c r="I949" s="19" t="n">
        <v>1</v>
      </c>
      <c r="J949" s="20" t="n">
        <v>135000</v>
      </c>
      <c r="K949" s="20" t="n">
        <v>135000</v>
      </c>
      <c r="L949" s="10">
        <f>IF($B949="","",TEXT($B949,"YYYY-MM"))</f>
        <v/>
      </c>
    </row>
    <row r="950">
      <c r="A950" s="10" t="inlineStr">
        <is>
          <t>INV-70341</t>
        </is>
      </c>
      <c r="B950" s="18" t="n">
        <v>45983</v>
      </c>
      <c r="C950" s="10" t="inlineStr">
        <is>
          <t>C1093</t>
        </is>
      </c>
      <c r="D950" s="10" t="inlineStr">
        <is>
          <t>champion</t>
        </is>
      </c>
      <c r="E950" s="10" t="inlineStr">
        <is>
          <t>Tokopedia</t>
        </is>
      </c>
      <c r="F950" s="10" t="inlineStr">
        <is>
          <t>Jawa Tengah</t>
        </is>
      </c>
      <c r="G950" s="10" t="inlineStr">
        <is>
          <t>Fashion</t>
        </is>
      </c>
      <c r="H950" s="10" t="inlineStr">
        <is>
          <t>Celana Chino</t>
        </is>
      </c>
      <c r="I950" s="19" t="n">
        <v>2</v>
      </c>
      <c r="J950" s="20" t="n">
        <v>195000</v>
      </c>
      <c r="K950" s="20" t="n">
        <v>390000</v>
      </c>
      <c r="L950" s="10">
        <f>IF($B950="","",TEXT($B950,"YYYY-MM"))</f>
        <v/>
      </c>
    </row>
    <row r="951">
      <c r="A951" s="10" t="inlineStr">
        <is>
          <t>INV-70628</t>
        </is>
      </c>
      <c r="B951" s="18" t="n">
        <v>45983</v>
      </c>
      <c r="C951" s="10" t="inlineStr">
        <is>
          <t>C1171</t>
        </is>
      </c>
      <c r="D951" s="10" t="inlineStr">
        <is>
          <t>regular</t>
        </is>
      </c>
      <c r="E951" s="10" t="inlineStr">
        <is>
          <t>Shopee</t>
        </is>
      </c>
      <c r="F951" s="10" t="inlineStr">
        <is>
          <t>Jawa Barat</t>
        </is>
      </c>
      <c r="G951" s="10" t="inlineStr">
        <is>
          <t>Rumah Tangga</t>
        </is>
      </c>
      <c r="H951" s="10" t="inlineStr">
        <is>
          <t>Karpet Bulu</t>
        </is>
      </c>
      <c r="I951" s="19" t="n">
        <v>2</v>
      </c>
      <c r="J951" s="20" t="n">
        <v>240000</v>
      </c>
      <c r="K951" s="20" t="n">
        <v>480000</v>
      </c>
      <c r="L951" s="10">
        <f>IF($B951="","",TEXT($B951,"YYYY-MM"))</f>
        <v/>
      </c>
    </row>
    <row r="952">
      <c r="A952" s="10" t="inlineStr">
        <is>
          <t>INV-71426</t>
        </is>
      </c>
      <c r="B952" s="18" t="n">
        <v>45983</v>
      </c>
      <c r="C952" s="10" t="inlineStr">
        <is>
          <t>C1393</t>
        </is>
      </c>
      <c r="D952" s="10" t="inlineStr">
        <is>
          <t>regular</t>
        </is>
      </c>
      <c r="E952" s="10" t="inlineStr">
        <is>
          <t>TikTok Shop</t>
        </is>
      </c>
      <c r="F952" s="10" t="inlineStr">
        <is>
          <t>Lainnya</t>
        </is>
      </c>
      <c r="G952" s="10" t="inlineStr">
        <is>
          <t>Rumah Tangga</t>
        </is>
      </c>
      <c r="H952" s="10" t="inlineStr">
        <is>
          <t>Set Wadah Kedap</t>
        </is>
      </c>
      <c r="I952" s="19" t="n">
        <v>1</v>
      </c>
      <c r="J952" s="20" t="n">
        <v>135000</v>
      </c>
      <c r="K952" s="20" t="n">
        <v>135000</v>
      </c>
      <c r="L952" s="10">
        <f>IF($B952="","",TEXT($B952,"YYYY-MM"))</f>
        <v/>
      </c>
    </row>
    <row r="953">
      <c r="A953" s="10" t="inlineStr">
        <is>
          <t>INV-70821</t>
        </is>
      </c>
      <c r="B953" s="18" t="n">
        <v>45983</v>
      </c>
      <c r="C953" s="10" t="inlineStr">
        <is>
          <t>C1232</t>
        </is>
      </c>
      <c r="D953" s="10" t="inlineStr">
        <is>
          <t>onetime</t>
        </is>
      </c>
      <c r="E953" s="10" t="inlineStr">
        <is>
          <t>Shopee</t>
        </is>
      </c>
      <c r="F953" s="10" t="inlineStr">
        <is>
          <t>Jawa Tengah</t>
        </is>
      </c>
      <c r="G953" s="10" t="inlineStr">
        <is>
          <t>Elektronik</t>
        </is>
      </c>
      <c r="H953" s="10" t="inlineStr">
        <is>
          <t>Webcam HD</t>
        </is>
      </c>
      <c r="I953" s="19" t="n">
        <v>1</v>
      </c>
      <c r="J953" s="20" t="n">
        <v>210000</v>
      </c>
      <c r="K953" s="20" t="n">
        <v>210000</v>
      </c>
      <c r="L953" s="10">
        <f>IF($B953="","",TEXT($B953,"YYYY-MM"))</f>
        <v/>
      </c>
    </row>
    <row r="954">
      <c r="A954" s="10" t="inlineStr">
        <is>
          <t>INV-70235</t>
        </is>
      </c>
      <c r="B954" s="18" t="n">
        <v>45984</v>
      </c>
      <c r="C954" s="10" t="inlineStr">
        <is>
          <t>C1066</t>
        </is>
      </c>
      <c r="D954" s="10" t="inlineStr">
        <is>
          <t>loyal</t>
        </is>
      </c>
      <c r="E954" s="10" t="inlineStr">
        <is>
          <t>Shopee</t>
        </is>
      </c>
      <c r="F954" s="10" t="inlineStr">
        <is>
          <t>Sumatera</t>
        </is>
      </c>
      <c r="G954" s="10" t="inlineStr">
        <is>
          <t>Rumah Tangga</t>
        </is>
      </c>
      <c r="H954" s="10" t="inlineStr">
        <is>
          <t>Diffuser Aroma</t>
        </is>
      </c>
      <c r="I954" s="19" t="n">
        <v>4</v>
      </c>
      <c r="J954" s="20" t="n">
        <v>195000</v>
      </c>
      <c r="K954" s="20" t="n">
        <v>780000</v>
      </c>
      <c r="L954" s="10">
        <f>IF($B954="","",TEXT($B954,"YYYY-MM"))</f>
        <v/>
      </c>
    </row>
    <row r="955">
      <c r="A955" s="10" t="inlineStr">
        <is>
          <t>INV-70534</t>
        </is>
      </c>
      <c r="B955" s="18" t="n">
        <v>45985</v>
      </c>
      <c r="C955" s="10" t="inlineStr">
        <is>
          <t>C1147</t>
        </is>
      </c>
      <c r="D955" s="10" t="inlineStr">
        <is>
          <t>regular</t>
        </is>
      </c>
      <c r="E955" s="10" t="inlineStr">
        <is>
          <t>TikTok Shop</t>
        </is>
      </c>
      <c r="F955" s="10" t="inlineStr">
        <is>
          <t>Jawa Timur</t>
        </is>
      </c>
      <c r="G955" s="10" t="inlineStr">
        <is>
          <t>Fashion</t>
        </is>
      </c>
      <c r="H955" s="10" t="inlineStr">
        <is>
          <t>Celana Chino</t>
        </is>
      </c>
      <c r="I955" s="19" t="n">
        <v>3</v>
      </c>
      <c r="J955" s="20" t="n">
        <v>195000</v>
      </c>
      <c r="K955" s="20" t="n">
        <v>585000</v>
      </c>
      <c r="L955" s="10">
        <f>IF($B955="","",TEXT($B955,"YYYY-MM"))</f>
        <v/>
      </c>
    </row>
    <row r="956">
      <c r="A956" s="10" t="inlineStr">
        <is>
          <t>INV-71190</t>
        </is>
      </c>
      <c r="B956" s="18" t="n">
        <v>45985</v>
      </c>
      <c r="C956" s="10" t="inlineStr">
        <is>
          <t>C1335</t>
        </is>
      </c>
      <c r="D956" s="10" t="inlineStr">
        <is>
          <t>regular</t>
        </is>
      </c>
      <c r="E956" s="10" t="inlineStr">
        <is>
          <t>Shopee</t>
        </is>
      </c>
      <c r="F956" s="10" t="inlineStr">
        <is>
          <t>Jawa Barat</t>
        </is>
      </c>
      <c r="G956" s="10" t="inlineStr">
        <is>
          <t>Kecantikan</t>
        </is>
      </c>
      <c r="H956" s="10" t="inlineStr">
        <is>
          <t>Masker Wajah (5s)</t>
        </is>
      </c>
      <c r="I956" s="19" t="n">
        <v>2</v>
      </c>
      <c r="J956" s="20" t="n">
        <v>55000</v>
      </c>
      <c r="K956" s="20" t="n">
        <v>110000</v>
      </c>
      <c r="L956" s="10">
        <f>IF($B956="","",TEXT($B956,"YYYY-MM"))</f>
        <v/>
      </c>
    </row>
    <row r="957">
      <c r="A957" s="10" t="inlineStr">
        <is>
          <t>INV-70968</t>
        </is>
      </c>
      <c r="B957" s="18" t="n">
        <v>45985</v>
      </c>
      <c r="C957" s="10" t="inlineStr">
        <is>
          <t>C1276</t>
        </is>
      </c>
      <c r="D957" s="10" t="inlineStr">
        <is>
          <t>onetime</t>
        </is>
      </c>
      <c r="E957" s="10" t="inlineStr">
        <is>
          <t>Shopee</t>
        </is>
      </c>
      <c r="F957" s="10" t="inlineStr">
        <is>
          <t>Jawa Tengah</t>
        </is>
      </c>
      <c r="G957" s="10" t="inlineStr">
        <is>
          <t>Fashion</t>
        </is>
      </c>
      <c r="H957" s="10" t="inlineStr">
        <is>
          <t>Kemeja Linen</t>
        </is>
      </c>
      <c r="I957" s="19" t="n">
        <v>4</v>
      </c>
      <c r="J957" s="20" t="n">
        <v>185000</v>
      </c>
      <c r="K957" s="20" t="n">
        <v>740000</v>
      </c>
      <c r="L957" s="10">
        <f>IF($B957="","",TEXT($B957,"YYYY-MM"))</f>
        <v/>
      </c>
    </row>
    <row r="958">
      <c r="A958" s="10" t="inlineStr">
        <is>
          <t>INV-71189</t>
        </is>
      </c>
      <c r="B958" s="18" t="n">
        <v>45985</v>
      </c>
      <c r="C958" s="10" t="inlineStr">
        <is>
          <t>C1334</t>
        </is>
      </c>
      <c r="D958" s="10" t="inlineStr">
        <is>
          <t>champion</t>
        </is>
      </c>
      <c r="E958" s="10" t="inlineStr">
        <is>
          <t>Offline Store</t>
        </is>
      </c>
      <c r="F958" s="10" t="inlineStr">
        <is>
          <t>Jabodetabek</t>
        </is>
      </c>
      <c r="G958" s="10" t="inlineStr">
        <is>
          <t>Kecantikan</t>
        </is>
      </c>
      <c r="H958" s="10" t="inlineStr">
        <is>
          <t>Masker Wajah (5s)</t>
        </is>
      </c>
      <c r="I958" s="19" t="n">
        <v>1</v>
      </c>
      <c r="J958" s="20" t="n">
        <v>55000</v>
      </c>
      <c r="K958" s="20" t="n">
        <v>55000</v>
      </c>
      <c r="L958" s="10">
        <f>IF($B958="","",TEXT($B958,"YYYY-MM"))</f>
        <v/>
      </c>
    </row>
    <row r="959">
      <c r="A959" s="10" t="inlineStr">
        <is>
          <t>INV-71251</t>
        </is>
      </c>
      <c r="B959" s="18" t="n">
        <v>45985</v>
      </c>
      <c r="C959" s="10" t="inlineStr">
        <is>
          <t>C1352</t>
        </is>
      </c>
      <c r="D959" s="10" t="inlineStr">
        <is>
          <t>loyal</t>
        </is>
      </c>
      <c r="E959" s="10" t="inlineStr">
        <is>
          <t>Offline Store</t>
        </is>
      </c>
      <c r="F959" s="10" t="inlineStr">
        <is>
          <t>Sumatera</t>
        </is>
      </c>
      <c r="G959" s="10" t="inlineStr">
        <is>
          <t>Elektronik</t>
        </is>
      </c>
      <c r="H959" s="10" t="inlineStr">
        <is>
          <t>Webcam HD</t>
        </is>
      </c>
      <c r="I959" s="19" t="n">
        <v>1</v>
      </c>
      <c r="J959" s="20" t="n">
        <v>210000</v>
      </c>
      <c r="K959" s="20" t="n">
        <v>210000</v>
      </c>
      <c r="L959" s="10">
        <f>IF($B959="","",TEXT($B959,"YYYY-MM"))</f>
        <v/>
      </c>
    </row>
    <row r="960">
      <c r="A960" s="10" t="inlineStr">
        <is>
          <t>INV-70120</t>
        </is>
      </c>
      <c r="B960" s="18" t="n">
        <v>45986</v>
      </c>
      <c r="C960" s="10" t="inlineStr">
        <is>
          <t>C1038</t>
        </is>
      </c>
      <c r="D960" s="10" t="inlineStr">
        <is>
          <t>champion</t>
        </is>
      </c>
      <c r="E960" s="10" t="inlineStr">
        <is>
          <t>Shopee</t>
        </is>
      </c>
      <c r="F960" s="10" t="inlineStr">
        <is>
          <t>Jawa Barat</t>
        </is>
      </c>
      <c r="G960" s="10" t="inlineStr">
        <is>
          <t>Elektronik</t>
        </is>
      </c>
      <c r="H960" s="10" t="inlineStr">
        <is>
          <t>Earbuds TWS</t>
        </is>
      </c>
      <c r="I960" s="19" t="n">
        <v>3</v>
      </c>
      <c r="J960" s="20" t="n">
        <v>265000</v>
      </c>
      <c r="K960" s="20" t="n">
        <v>795000</v>
      </c>
      <c r="L960" s="10">
        <f>IF($B960="","",TEXT($B960,"YYYY-MM"))</f>
        <v/>
      </c>
    </row>
    <row r="961">
      <c r="A961" s="10" t="inlineStr">
        <is>
          <t>INV-70599</t>
        </is>
      </c>
      <c r="B961" s="18" t="n">
        <v>45986</v>
      </c>
      <c r="C961" s="10" t="inlineStr">
        <is>
          <t>C1161</t>
        </is>
      </c>
      <c r="D961" s="10" t="inlineStr">
        <is>
          <t>champion</t>
        </is>
      </c>
      <c r="E961" s="10" t="inlineStr">
        <is>
          <t>TikTok Shop</t>
        </is>
      </c>
      <c r="F961" s="10" t="inlineStr">
        <is>
          <t>Jawa Barat</t>
        </is>
      </c>
      <c r="G961" s="10" t="inlineStr">
        <is>
          <t>Rumah Tangga</t>
        </is>
      </c>
      <c r="H961" s="10" t="inlineStr">
        <is>
          <t>Set Wadah Kedap</t>
        </is>
      </c>
      <c r="I961" s="19" t="n">
        <v>1</v>
      </c>
      <c r="J961" s="20" t="n">
        <v>135000</v>
      </c>
      <c r="K961" s="20" t="n">
        <v>135000</v>
      </c>
      <c r="L961" s="10">
        <f>IF($B961="","",TEXT($B961,"YYYY-MM"))</f>
        <v/>
      </c>
    </row>
    <row r="962">
      <c r="A962" s="10" t="inlineStr">
        <is>
          <t>INV-70153</t>
        </is>
      </c>
      <c r="B962" s="18" t="n">
        <v>45987</v>
      </c>
      <c r="C962" s="10" t="inlineStr">
        <is>
          <t>C1045</t>
        </is>
      </c>
      <c r="D962" s="10" t="inlineStr">
        <is>
          <t>regular</t>
        </is>
      </c>
      <c r="E962" s="10" t="inlineStr">
        <is>
          <t>Shopee</t>
        </is>
      </c>
      <c r="F962" s="10" t="inlineStr">
        <is>
          <t>Jabodetabek</t>
        </is>
      </c>
      <c r="G962" s="10" t="inlineStr">
        <is>
          <t>Rumah Tangga</t>
        </is>
      </c>
      <c r="H962" s="10" t="inlineStr">
        <is>
          <t>Organizer Laci</t>
        </is>
      </c>
      <c r="I962" s="19" t="n">
        <v>2</v>
      </c>
      <c r="J962" s="20" t="n">
        <v>78000</v>
      </c>
      <c r="K962" s="20" t="n">
        <v>156000</v>
      </c>
      <c r="L962" s="10">
        <f>IF($B962="","",TEXT($B962,"YYYY-MM"))</f>
        <v/>
      </c>
    </row>
    <row r="963">
      <c r="A963" s="10" t="inlineStr">
        <is>
          <t>INV-71143</t>
        </is>
      </c>
      <c r="B963" s="18" t="n">
        <v>45987</v>
      </c>
      <c r="C963" s="10" t="inlineStr">
        <is>
          <t>C1323</t>
        </is>
      </c>
      <c r="D963" s="10" t="inlineStr">
        <is>
          <t>regular</t>
        </is>
      </c>
      <c r="E963" s="10" t="inlineStr">
        <is>
          <t>Offline Store</t>
        </is>
      </c>
      <c r="F963" s="10" t="inlineStr">
        <is>
          <t>Lainnya</t>
        </is>
      </c>
      <c r="G963" s="10" t="inlineStr">
        <is>
          <t>Kecantikan</t>
        </is>
      </c>
      <c r="H963" s="10" t="inlineStr">
        <is>
          <t>Masker Wajah (5s)</t>
        </is>
      </c>
      <c r="I963" s="19" t="n">
        <v>1</v>
      </c>
      <c r="J963" s="20" t="n">
        <v>55000</v>
      </c>
      <c r="K963" s="20" t="n">
        <v>55000</v>
      </c>
      <c r="L963" s="10">
        <f>IF($B963="","",TEXT($B963,"YYYY-MM"))</f>
        <v/>
      </c>
    </row>
    <row r="964">
      <c r="A964" s="10" t="inlineStr">
        <is>
          <t>INV-71320</t>
        </is>
      </c>
      <c r="B964" s="18" t="n">
        <v>45987</v>
      </c>
      <c r="C964" s="10" t="inlineStr">
        <is>
          <t>C1364</t>
        </is>
      </c>
      <c r="D964" s="10" t="inlineStr">
        <is>
          <t>champion</t>
        </is>
      </c>
      <c r="E964" s="10" t="inlineStr">
        <is>
          <t>Offline Store</t>
        </is>
      </c>
      <c r="F964" s="10" t="inlineStr">
        <is>
          <t>Jawa Timur</t>
        </is>
      </c>
      <c r="G964" s="10" t="inlineStr">
        <is>
          <t>Rumah Tangga</t>
        </is>
      </c>
      <c r="H964" s="10" t="inlineStr">
        <is>
          <t>Set Wadah Kedap</t>
        </is>
      </c>
      <c r="I964" s="19" t="n">
        <v>1</v>
      </c>
      <c r="J964" s="20" t="n">
        <v>135000</v>
      </c>
      <c r="K964" s="20" t="n">
        <v>135000</v>
      </c>
      <c r="L964" s="10">
        <f>IF($B964="","",TEXT($B964,"YYYY-MM"))</f>
        <v/>
      </c>
    </row>
    <row r="965">
      <c r="A965" s="10" t="inlineStr">
        <is>
          <t>INV-70571</t>
        </is>
      </c>
      <c r="B965" s="18" t="n">
        <v>45987</v>
      </c>
      <c r="C965" s="10" t="inlineStr">
        <is>
          <t>C1156</t>
        </is>
      </c>
      <c r="D965" s="10" t="inlineStr">
        <is>
          <t>champion</t>
        </is>
      </c>
      <c r="E965" s="10" t="inlineStr">
        <is>
          <t>Tokopedia</t>
        </is>
      </c>
      <c r="F965" s="10" t="inlineStr">
        <is>
          <t>Jabodetabek</t>
        </is>
      </c>
      <c r="G965" s="10" t="inlineStr">
        <is>
          <t>Makanan</t>
        </is>
      </c>
      <c r="H965" s="10" t="inlineStr">
        <is>
          <t>Granola 500g</t>
        </is>
      </c>
      <c r="I965" s="19" t="n">
        <v>2</v>
      </c>
      <c r="J965" s="20" t="n">
        <v>92000</v>
      </c>
      <c r="K965" s="20" t="n">
        <v>184000</v>
      </c>
      <c r="L965" s="10">
        <f>IF($B965="","",TEXT($B965,"YYYY-MM"))</f>
        <v/>
      </c>
    </row>
    <row r="966">
      <c r="A966" s="10" t="inlineStr">
        <is>
          <t>INV-71448</t>
        </is>
      </c>
      <c r="B966" s="18" t="n">
        <v>45987</v>
      </c>
      <c r="C966" s="10" t="inlineStr">
        <is>
          <t>C1400</t>
        </is>
      </c>
      <c r="D966" s="10" t="inlineStr">
        <is>
          <t>regular</t>
        </is>
      </c>
      <c r="E966" s="10" t="inlineStr">
        <is>
          <t>TikTok Shop</t>
        </is>
      </c>
      <c r="F966" s="10" t="inlineStr">
        <is>
          <t>Jabodetabek</t>
        </is>
      </c>
      <c r="G966" s="10" t="inlineStr">
        <is>
          <t>Kecantikan</t>
        </is>
      </c>
      <c r="H966" s="10" t="inlineStr">
        <is>
          <t>Masker Wajah (5s)</t>
        </is>
      </c>
      <c r="I966" s="19" t="n">
        <v>1</v>
      </c>
      <c r="J966" s="20" t="n">
        <v>55000</v>
      </c>
      <c r="K966" s="20" t="n">
        <v>55000</v>
      </c>
      <c r="L966" s="10">
        <f>IF($B966="","",TEXT($B966,"YYYY-MM"))</f>
        <v/>
      </c>
    </row>
    <row r="967">
      <c r="A967" s="10" t="inlineStr">
        <is>
          <t>INV-70895</t>
        </is>
      </c>
      <c r="B967" s="18" t="n">
        <v>45988</v>
      </c>
      <c r="C967" s="10" t="inlineStr">
        <is>
          <t>C1252</t>
        </is>
      </c>
      <c r="D967" s="10" t="inlineStr">
        <is>
          <t>regular</t>
        </is>
      </c>
      <c r="E967" s="10" t="inlineStr">
        <is>
          <t>Tokopedia</t>
        </is>
      </c>
      <c r="F967" s="10" t="inlineStr">
        <is>
          <t>Jawa Barat</t>
        </is>
      </c>
      <c r="G967" s="10" t="inlineStr">
        <is>
          <t>Kecantikan</t>
        </is>
      </c>
      <c r="H967" s="10" t="inlineStr">
        <is>
          <t>Sunscreen SPF50</t>
        </is>
      </c>
      <c r="I967" s="19" t="n">
        <v>2</v>
      </c>
      <c r="J967" s="20" t="n">
        <v>98000</v>
      </c>
      <c r="K967" s="20" t="n">
        <v>196000</v>
      </c>
      <c r="L967" s="10">
        <f>IF($B967="","",TEXT($B967,"YYYY-MM"))</f>
        <v/>
      </c>
    </row>
    <row r="968">
      <c r="A968" s="10" t="inlineStr">
        <is>
          <t>INV-70285</t>
        </is>
      </c>
      <c r="B968" s="18" t="n">
        <v>45988</v>
      </c>
      <c r="C968" s="10" t="inlineStr">
        <is>
          <t>C1080</t>
        </is>
      </c>
      <c r="D968" s="10" t="inlineStr">
        <is>
          <t>regular</t>
        </is>
      </c>
      <c r="E968" s="10" t="inlineStr">
        <is>
          <t>Tokopedia</t>
        </is>
      </c>
      <c r="F968" s="10" t="inlineStr">
        <is>
          <t>Jawa Tengah</t>
        </is>
      </c>
      <c r="G968" s="10" t="inlineStr">
        <is>
          <t>Rumah Tangga</t>
        </is>
      </c>
      <c r="H968" s="10" t="inlineStr">
        <is>
          <t>Set Wadah Kedap</t>
        </is>
      </c>
      <c r="I968" s="19" t="n">
        <v>2</v>
      </c>
      <c r="J968" s="20" t="n">
        <v>135000</v>
      </c>
      <c r="K968" s="20" t="n">
        <v>270000</v>
      </c>
      <c r="L968" s="10">
        <f>IF($B968="","",TEXT($B968,"YYYY-MM"))</f>
        <v/>
      </c>
    </row>
    <row r="969">
      <c r="A969" s="10" t="inlineStr">
        <is>
          <t>INV-70624</t>
        </is>
      </c>
      <c r="B969" s="18" t="n">
        <v>45988</v>
      </c>
      <c r="C969" s="10" t="inlineStr">
        <is>
          <t>C1170</t>
        </is>
      </c>
      <c r="D969" s="10" t="inlineStr">
        <is>
          <t>champion</t>
        </is>
      </c>
      <c r="E969" s="10" t="inlineStr">
        <is>
          <t>Tokopedia</t>
        </is>
      </c>
      <c r="F969" s="10" t="inlineStr">
        <is>
          <t>Lainnya</t>
        </is>
      </c>
      <c r="G969" s="10" t="inlineStr">
        <is>
          <t>Kecantikan</t>
        </is>
      </c>
      <c r="H969" s="10" t="inlineStr">
        <is>
          <t>Masker Wajah (5s)</t>
        </is>
      </c>
      <c r="I969" s="19" t="n">
        <v>1</v>
      </c>
      <c r="J969" s="20" t="n">
        <v>55000</v>
      </c>
      <c r="K969" s="20" t="n">
        <v>55000</v>
      </c>
      <c r="L969" s="10">
        <f>IF($B969="","",TEXT($B969,"YYYY-MM"))</f>
        <v/>
      </c>
    </row>
    <row r="970">
      <c r="A970" s="10" t="inlineStr">
        <is>
          <t>INV-70623</t>
        </is>
      </c>
      <c r="B970" s="18" t="n">
        <v>45988</v>
      </c>
      <c r="C970" s="10" t="inlineStr">
        <is>
          <t>C1170</t>
        </is>
      </c>
      <c r="D970" s="10" t="inlineStr">
        <is>
          <t>champion</t>
        </is>
      </c>
      <c r="E970" s="10" t="inlineStr">
        <is>
          <t>TikTok Shop</t>
        </is>
      </c>
      <c r="F970" s="10" t="inlineStr">
        <is>
          <t>Jawa Barat</t>
        </is>
      </c>
      <c r="G970" s="10" t="inlineStr">
        <is>
          <t>Rumah Tangga</t>
        </is>
      </c>
      <c r="H970" s="10" t="inlineStr">
        <is>
          <t>Organizer Laci</t>
        </is>
      </c>
      <c r="I970" s="19" t="n">
        <v>2</v>
      </c>
      <c r="J970" s="20" t="n">
        <v>78000</v>
      </c>
      <c r="K970" s="20" t="n">
        <v>156000</v>
      </c>
      <c r="L970" s="10">
        <f>IF($B970="","",TEXT($B970,"YYYY-MM"))</f>
        <v/>
      </c>
    </row>
    <row r="971">
      <c r="A971" s="10" t="inlineStr">
        <is>
          <t>INV-70137</t>
        </is>
      </c>
      <c r="B971" s="18" t="n">
        <v>45988</v>
      </c>
      <c r="C971" s="10" t="inlineStr">
        <is>
          <t>C1039</t>
        </is>
      </c>
      <c r="D971" s="10" t="inlineStr">
        <is>
          <t>loyal</t>
        </is>
      </c>
      <c r="E971" s="10" t="inlineStr">
        <is>
          <t>Shopee</t>
        </is>
      </c>
      <c r="F971" s="10" t="inlineStr">
        <is>
          <t>Jabodetabek</t>
        </is>
      </c>
      <c r="G971" s="10" t="inlineStr">
        <is>
          <t>Elektronik</t>
        </is>
      </c>
      <c r="H971" s="10" t="inlineStr">
        <is>
          <t>Webcam HD</t>
        </is>
      </c>
      <c r="I971" s="19" t="n">
        <v>1</v>
      </c>
      <c r="J971" s="20" t="n">
        <v>210000</v>
      </c>
      <c r="K971" s="20" t="n">
        <v>210000</v>
      </c>
      <c r="L971" s="10">
        <f>IF($B971="","",TEXT($B971,"YYYY-MM"))</f>
        <v/>
      </c>
    </row>
    <row r="972">
      <c r="A972" s="10" t="inlineStr">
        <is>
          <t>INV-70695</t>
        </is>
      </c>
      <c r="B972" s="18" t="n">
        <v>45988</v>
      </c>
      <c r="C972" s="10" t="inlineStr">
        <is>
          <t>C1193</t>
        </is>
      </c>
      <c r="D972" s="10" t="inlineStr">
        <is>
          <t>loyal</t>
        </is>
      </c>
      <c r="E972" s="10" t="inlineStr">
        <is>
          <t>Offline Store</t>
        </is>
      </c>
      <c r="F972" s="10" t="inlineStr">
        <is>
          <t>Jabodetabek</t>
        </is>
      </c>
      <c r="G972" s="10" t="inlineStr">
        <is>
          <t>Fashion</t>
        </is>
      </c>
      <c r="H972" s="10" t="inlineStr">
        <is>
          <t>Dress Casual</t>
        </is>
      </c>
      <c r="I972" s="19" t="n">
        <v>1</v>
      </c>
      <c r="J972" s="20" t="n">
        <v>225000</v>
      </c>
      <c r="K972" s="20" t="n">
        <v>225000</v>
      </c>
      <c r="L972" s="10">
        <f>IF($B972="","",TEXT($B972,"YYYY-MM"))</f>
        <v/>
      </c>
    </row>
    <row r="973">
      <c r="A973" s="10" t="inlineStr">
        <is>
          <t>INV-70998</t>
        </is>
      </c>
      <c r="B973" s="18" t="n">
        <v>45992</v>
      </c>
      <c r="C973" s="10" t="inlineStr">
        <is>
          <t>C1287</t>
        </is>
      </c>
      <c r="D973" s="10" t="inlineStr">
        <is>
          <t>champion</t>
        </is>
      </c>
      <c r="E973" s="10" t="inlineStr">
        <is>
          <t>TikTok Shop</t>
        </is>
      </c>
      <c r="F973" s="10" t="inlineStr">
        <is>
          <t>Jabodetabek</t>
        </is>
      </c>
      <c r="G973" s="10" t="inlineStr">
        <is>
          <t>Fashion</t>
        </is>
      </c>
      <c r="H973" s="10" t="inlineStr">
        <is>
          <t>Dress Casual</t>
        </is>
      </c>
      <c r="I973" s="19" t="n">
        <v>3</v>
      </c>
      <c r="J973" s="20" t="n">
        <v>225000</v>
      </c>
      <c r="K973" s="20" t="n">
        <v>675000</v>
      </c>
      <c r="L973" s="10">
        <f>IF($B973="","",TEXT($B973,"YYYY-MM"))</f>
        <v/>
      </c>
    </row>
    <row r="974">
      <c r="A974" s="10" t="inlineStr">
        <is>
          <t>INV-71207</t>
        </is>
      </c>
      <c r="B974" s="18" t="n">
        <v>45992</v>
      </c>
      <c r="C974" s="10" t="inlineStr">
        <is>
          <t>C1343</t>
        </is>
      </c>
      <c r="D974" s="10" t="inlineStr">
        <is>
          <t>regular</t>
        </is>
      </c>
      <c r="E974" s="10" t="inlineStr">
        <is>
          <t>Shopee</t>
        </is>
      </c>
      <c r="F974" s="10" t="inlineStr">
        <is>
          <t>Lainnya</t>
        </is>
      </c>
      <c r="G974" s="10" t="inlineStr">
        <is>
          <t>Rumah Tangga</t>
        </is>
      </c>
      <c r="H974" s="10" t="inlineStr">
        <is>
          <t>Organizer Laci</t>
        </is>
      </c>
      <c r="I974" s="19" t="n">
        <v>4</v>
      </c>
      <c r="J974" s="20" t="n">
        <v>78000</v>
      </c>
      <c r="K974" s="20" t="n">
        <v>312000</v>
      </c>
      <c r="L974" s="10">
        <f>IF($B974="","",TEXT($B974,"YYYY-MM"))</f>
        <v/>
      </c>
    </row>
    <row r="975">
      <c r="A975" s="10" t="inlineStr">
        <is>
          <t>INV-70165</t>
        </is>
      </c>
      <c r="B975" s="18" t="n">
        <v>45992</v>
      </c>
      <c r="C975" s="10" t="inlineStr">
        <is>
          <t>C1049</t>
        </is>
      </c>
      <c r="D975" s="10" t="inlineStr">
        <is>
          <t>champion</t>
        </is>
      </c>
      <c r="E975" s="10" t="inlineStr">
        <is>
          <t>Shopee</t>
        </is>
      </c>
      <c r="F975" s="10" t="inlineStr">
        <is>
          <t>Jawa Timur</t>
        </is>
      </c>
      <c r="G975" s="10" t="inlineStr">
        <is>
          <t>Rumah Tangga</t>
        </is>
      </c>
      <c r="H975" s="10" t="inlineStr">
        <is>
          <t>Set Wadah Kedap</t>
        </is>
      </c>
      <c r="I975" s="19" t="n">
        <v>3</v>
      </c>
      <c r="J975" s="20" t="n">
        <v>135000</v>
      </c>
      <c r="K975" s="20" t="n">
        <v>405000</v>
      </c>
      <c r="L975" s="10">
        <f>IF($B975="","",TEXT($B975,"YYYY-MM"))</f>
        <v/>
      </c>
    </row>
    <row r="976">
      <c r="A976" s="10" t="inlineStr">
        <is>
          <t>INV-70946</t>
        </is>
      </c>
      <c r="B976" s="18" t="n">
        <v>45992</v>
      </c>
      <c r="C976" s="10" t="inlineStr">
        <is>
          <t>C1268</t>
        </is>
      </c>
      <c r="D976" s="10" t="inlineStr">
        <is>
          <t>regular</t>
        </is>
      </c>
      <c r="E976" s="10" t="inlineStr">
        <is>
          <t>Tokopedia</t>
        </is>
      </c>
      <c r="F976" s="10" t="inlineStr">
        <is>
          <t>Jawa Barat</t>
        </is>
      </c>
      <c r="G976" s="10" t="inlineStr">
        <is>
          <t>Rumah Tangga</t>
        </is>
      </c>
      <c r="H976" s="10" t="inlineStr">
        <is>
          <t>Diffuser Aroma</t>
        </is>
      </c>
      <c r="I976" s="19" t="n">
        <v>4</v>
      </c>
      <c r="J976" s="20" t="n">
        <v>195000</v>
      </c>
      <c r="K976" s="20" t="n">
        <v>780000</v>
      </c>
      <c r="L976" s="10">
        <f>IF($B976="","",TEXT($B976,"YYYY-MM"))</f>
        <v/>
      </c>
    </row>
    <row r="977">
      <c r="A977" s="10" t="inlineStr">
        <is>
          <t>INV-70551</t>
        </is>
      </c>
      <c r="B977" s="18" t="n">
        <v>45993</v>
      </c>
      <c r="C977" s="10" t="inlineStr">
        <is>
          <t>C1151</t>
        </is>
      </c>
      <c r="D977" s="10" t="inlineStr">
        <is>
          <t>regular</t>
        </is>
      </c>
      <c r="E977" s="10" t="inlineStr">
        <is>
          <t>Shopee</t>
        </is>
      </c>
      <c r="F977" s="10" t="inlineStr">
        <is>
          <t>Jawa Timur</t>
        </is>
      </c>
      <c r="G977" s="10" t="inlineStr">
        <is>
          <t>Elektronik</t>
        </is>
      </c>
      <c r="H977" s="10" t="inlineStr">
        <is>
          <t>Earbuds TWS</t>
        </is>
      </c>
      <c r="I977" s="19" t="n">
        <v>4</v>
      </c>
      <c r="J977" s="20" t="n">
        <v>265000</v>
      </c>
      <c r="K977" s="20" t="n">
        <v>1060000</v>
      </c>
      <c r="L977" s="10">
        <f>IF($B977="","",TEXT($B977,"YYYY-MM"))</f>
        <v/>
      </c>
    </row>
    <row r="978">
      <c r="A978" s="10" t="inlineStr">
        <is>
          <t>INV-70104</t>
        </is>
      </c>
      <c r="B978" s="18" t="n">
        <v>45993</v>
      </c>
      <c r="C978" s="10" t="inlineStr">
        <is>
          <t>C1029</t>
        </is>
      </c>
      <c r="D978" s="10" t="inlineStr">
        <is>
          <t>champion</t>
        </is>
      </c>
      <c r="E978" s="10" t="inlineStr">
        <is>
          <t>Shopee</t>
        </is>
      </c>
      <c r="F978" s="10" t="inlineStr">
        <is>
          <t>Jabodetabek</t>
        </is>
      </c>
      <c r="G978" s="10" t="inlineStr">
        <is>
          <t>Rumah Tangga</t>
        </is>
      </c>
      <c r="H978" s="10" t="inlineStr">
        <is>
          <t>Set Wadah Kedap</t>
        </is>
      </c>
      <c r="I978" s="19" t="n">
        <v>2</v>
      </c>
      <c r="J978" s="20" t="n">
        <v>135000</v>
      </c>
      <c r="K978" s="20" t="n">
        <v>270000</v>
      </c>
      <c r="L978" s="10">
        <f>IF($B978="","",TEXT($B978,"YYYY-MM"))</f>
        <v/>
      </c>
    </row>
    <row r="979">
      <c r="A979" s="10" t="inlineStr">
        <is>
          <t>INV-70948</t>
        </is>
      </c>
      <c r="B979" s="18" t="n">
        <v>45993</v>
      </c>
      <c r="C979" s="10" t="inlineStr">
        <is>
          <t>C1268</t>
        </is>
      </c>
      <c r="D979" s="10" t="inlineStr">
        <is>
          <t>regular</t>
        </is>
      </c>
      <c r="E979" s="10" t="inlineStr">
        <is>
          <t>Shopee</t>
        </is>
      </c>
      <c r="F979" s="10" t="inlineStr">
        <is>
          <t>Sumatera</t>
        </is>
      </c>
      <c r="G979" s="10" t="inlineStr">
        <is>
          <t>Elektronik</t>
        </is>
      </c>
      <c r="H979" s="10" t="inlineStr">
        <is>
          <t>Smartwatch</t>
        </is>
      </c>
      <c r="I979" s="19" t="n">
        <v>4</v>
      </c>
      <c r="J979" s="20" t="n">
        <v>450000</v>
      </c>
      <c r="K979" s="20" t="n">
        <v>1800000</v>
      </c>
      <c r="L979" s="10">
        <f>IF($B979="","",TEXT($B979,"YYYY-MM"))</f>
        <v/>
      </c>
    </row>
    <row r="980">
      <c r="A980" s="10" t="inlineStr">
        <is>
          <t>INV-71048</t>
        </is>
      </c>
      <c r="B980" s="18" t="n">
        <v>45993</v>
      </c>
      <c r="C980" s="10" t="inlineStr">
        <is>
          <t>C1296</t>
        </is>
      </c>
      <c r="D980" s="10" t="inlineStr">
        <is>
          <t>loyal</t>
        </is>
      </c>
      <c r="E980" s="10" t="inlineStr">
        <is>
          <t>TikTok Shop</t>
        </is>
      </c>
      <c r="F980" s="10" t="inlineStr">
        <is>
          <t>Jabodetabek</t>
        </is>
      </c>
      <c r="G980" s="10" t="inlineStr">
        <is>
          <t>Rumah Tangga</t>
        </is>
      </c>
      <c r="H980" s="10" t="inlineStr">
        <is>
          <t>Organizer Laci</t>
        </is>
      </c>
      <c r="I980" s="19" t="n">
        <v>2</v>
      </c>
      <c r="J980" s="20" t="n">
        <v>78000</v>
      </c>
      <c r="K980" s="20" t="n">
        <v>156000</v>
      </c>
      <c r="L980" s="10">
        <f>IF($B980="","",TEXT($B980,"YYYY-MM"))</f>
        <v/>
      </c>
    </row>
    <row r="981">
      <c r="A981" s="10" t="inlineStr">
        <is>
          <t>INV-70595</t>
        </is>
      </c>
      <c r="B981" s="18" t="n">
        <v>45994</v>
      </c>
      <c r="C981" s="10" t="inlineStr">
        <is>
          <t>C1161</t>
        </is>
      </c>
      <c r="D981" s="10" t="inlineStr">
        <is>
          <t>champion</t>
        </is>
      </c>
      <c r="E981" s="10" t="inlineStr">
        <is>
          <t>Shopee</t>
        </is>
      </c>
      <c r="F981" s="10" t="inlineStr">
        <is>
          <t>Jabodetabek</t>
        </is>
      </c>
      <c r="G981" s="10" t="inlineStr">
        <is>
          <t>Rumah Tangga</t>
        </is>
      </c>
      <c r="H981" s="10" t="inlineStr">
        <is>
          <t>Karpet Bulu</t>
        </is>
      </c>
      <c r="I981" s="19" t="n">
        <v>2</v>
      </c>
      <c r="J981" s="20" t="n">
        <v>240000</v>
      </c>
      <c r="K981" s="20" t="n">
        <v>480000</v>
      </c>
      <c r="L981" s="10">
        <f>IF($B981="","",TEXT($B981,"YYYY-MM"))</f>
        <v/>
      </c>
    </row>
    <row r="982">
      <c r="A982" s="10" t="inlineStr">
        <is>
          <t>INV-71078</t>
        </is>
      </c>
      <c r="B982" s="18" t="n">
        <v>45994</v>
      </c>
      <c r="C982" s="10" t="inlineStr">
        <is>
          <t>C1302</t>
        </is>
      </c>
      <c r="D982" s="10" t="inlineStr">
        <is>
          <t>champion</t>
        </is>
      </c>
      <c r="E982" s="10" t="inlineStr">
        <is>
          <t>Shopee</t>
        </is>
      </c>
      <c r="F982" s="10" t="inlineStr">
        <is>
          <t>Jabodetabek</t>
        </is>
      </c>
      <c r="G982" s="10" t="inlineStr">
        <is>
          <t>Elektronik</t>
        </is>
      </c>
      <c r="H982" s="10" t="inlineStr">
        <is>
          <t>Earbuds TWS</t>
        </is>
      </c>
      <c r="I982" s="19" t="n">
        <v>4</v>
      </c>
      <c r="J982" s="20" t="n">
        <v>265000</v>
      </c>
      <c r="K982" s="20" t="n">
        <v>1060000</v>
      </c>
      <c r="L982" s="10">
        <f>IF($B982="","",TEXT($B982,"YYYY-MM"))</f>
        <v/>
      </c>
    </row>
    <row r="983">
      <c r="A983" s="10" t="inlineStr">
        <is>
          <t>INV-70103</t>
        </is>
      </c>
      <c r="B983" s="18" t="n">
        <v>45995</v>
      </c>
      <c r="C983" s="10" t="inlineStr">
        <is>
          <t>C1029</t>
        </is>
      </c>
      <c r="D983" s="10" t="inlineStr">
        <is>
          <t>champion</t>
        </is>
      </c>
      <c r="E983" s="10" t="inlineStr">
        <is>
          <t>Tokopedia</t>
        </is>
      </c>
      <c r="F983" s="10" t="inlineStr">
        <is>
          <t>Jawa Tengah</t>
        </is>
      </c>
      <c r="G983" s="10" t="inlineStr">
        <is>
          <t>Rumah Tangga</t>
        </is>
      </c>
      <c r="H983" s="10" t="inlineStr">
        <is>
          <t>Diffuser Aroma</t>
        </is>
      </c>
      <c r="I983" s="19" t="n">
        <v>4</v>
      </c>
      <c r="J983" s="20" t="n">
        <v>195000</v>
      </c>
      <c r="K983" s="20" t="n">
        <v>780000</v>
      </c>
      <c r="L983" s="10">
        <f>IF($B983="","",TEXT($B983,"YYYY-MM"))</f>
        <v/>
      </c>
    </row>
    <row r="984">
      <c r="A984" s="10" t="inlineStr">
        <is>
          <t>INV-70034</t>
        </is>
      </c>
      <c r="B984" s="18" t="n">
        <v>45995</v>
      </c>
      <c r="C984" s="10" t="inlineStr">
        <is>
          <t>C1008</t>
        </is>
      </c>
      <c r="D984" s="10" t="inlineStr">
        <is>
          <t>regular</t>
        </is>
      </c>
      <c r="E984" s="10" t="inlineStr">
        <is>
          <t>Offline Store</t>
        </is>
      </c>
      <c r="F984" s="10" t="inlineStr">
        <is>
          <t>Sumatera</t>
        </is>
      </c>
      <c r="G984" s="10" t="inlineStr">
        <is>
          <t>Makanan</t>
        </is>
      </c>
      <c r="H984" s="10" t="inlineStr">
        <is>
          <t>Granola 500g</t>
        </is>
      </c>
      <c r="I984" s="19" t="n">
        <v>1</v>
      </c>
      <c r="J984" s="20" t="n">
        <v>92000</v>
      </c>
      <c r="K984" s="20" t="n">
        <v>92000</v>
      </c>
      <c r="L984" s="10">
        <f>IF($B984="","",TEXT($B984,"YYYY-MM"))</f>
        <v/>
      </c>
    </row>
    <row r="985">
      <c r="A985" s="10" t="inlineStr">
        <is>
          <t>INV-70062</t>
        </is>
      </c>
      <c r="B985" s="18" t="n">
        <v>45995</v>
      </c>
      <c r="C985" s="10" t="inlineStr">
        <is>
          <t>C1017</t>
        </is>
      </c>
      <c r="D985" s="10" t="inlineStr">
        <is>
          <t>loyal</t>
        </is>
      </c>
      <c r="E985" s="10" t="inlineStr">
        <is>
          <t>TikTok Shop</t>
        </is>
      </c>
      <c r="F985" s="10" t="inlineStr">
        <is>
          <t>Jabodetabek</t>
        </is>
      </c>
      <c r="G985" s="10" t="inlineStr">
        <is>
          <t>Rumah Tangga</t>
        </is>
      </c>
      <c r="H985" s="10" t="inlineStr">
        <is>
          <t>Set Wadah Kedap</t>
        </is>
      </c>
      <c r="I985" s="19" t="n">
        <v>2</v>
      </c>
      <c r="J985" s="20" t="n">
        <v>135000</v>
      </c>
      <c r="K985" s="20" t="n">
        <v>270000</v>
      </c>
      <c r="L985" s="10">
        <f>IF($B985="","",TEXT($B985,"YYYY-MM"))</f>
        <v/>
      </c>
    </row>
    <row r="986">
      <c r="A986" s="10" t="inlineStr">
        <is>
          <t>INV-70567</t>
        </is>
      </c>
      <c r="B986" s="18" t="n">
        <v>45995</v>
      </c>
      <c r="C986" s="10" t="inlineStr">
        <is>
          <t>C1156</t>
        </is>
      </c>
      <c r="D986" s="10" t="inlineStr">
        <is>
          <t>champion</t>
        </is>
      </c>
      <c r="E986" s="10" t="inlineStr">
        <is>
          <t>Shopee</t>
        </is>
      </c>
      <c r="F986" s="10" t="inlineStr">
        <is>
          <t>Jabodetabek</t>
        </is>
      </c>
      <c r="G986" s="10" t="inlineStr">
        <is>
          <t>Rumah Tangga</t>
        </is>
      </c>
      <c r="H986" s="10" t="inlineStr">
        <is>
          <t>Organizer Laci</t>
        </is>
      </c>
      <c r="I986" s="19" t="n">
        <v>1</v>
      </c>
      <c r="J986" s="20" t="n">
        <v>78000</v>
      </c>
      <c r="K986" s="20" t="n">
        <v>78000</v>
      </c>
      <c r="L986" s="10">
        <f>IF($B986="","",TEXT($B986,"YYYY-MM"))</f>
        <v/>
      </c>
    </row>
    <row r="987">
      <c r="A987" s="10" t="inlineStr">
        <is>
          <t>INV-71277</t>
        </is>
      </c>
      <c r="B987" s="18" t="n">
        <v>45995</v>
      </c>
      <c r="C987" s="10" t="inlineStr">
        <is>
          <t>C1358</t>
        </is>
      </c>
      <c r="D987" s="10" t="inlineStr">
        <is>
          <t>champion</t>
        </is>
      </c>
      <c r="E987" s="10" t="inlineStr">
        <is>
          <t>Shopee</t>
        </is>
      </c>
      <c r="F987" s="10" t="inlineStr">
        <is>
          <t>Lainnya</t>
        </is>
      </c>
      <c r="G987" s="10" t="inlineStr">
        <is>
          <t>Rumah Tangga</t>
        </is>
      </c>
      <c r="H987" s="10" t="inlineStr">
        <is>
          <t>Organizer Laci</t>
        </is>
      </c>
      <c r="I987" s="19" t="n">
        <v>2</v>
      </c>
      <c r="J987" s="20" t="n">
        <v>78000</v>
      </c>
      <c r="K987" s="20" t="n">
        <v>156000</v>
      </c>
      <c r="L987" s="10">
        <f>IF($B987="","",TEXT($B987,"YYYY-MM"))</f>
        <v/>
      </c>
    </row>
    <row r="988">
      <c r="A988" s="10" t="inlineStr">
        <is>
          <t>INV-70653</t>
        </is>
      </c>
      <c r="B988" s="18" t="n">
        <v>45995</v>
      </c>
      <c r="C988" s="10" t="inlineStr">
        <is>
          <t>C1179</t>
        </is>
      </c>
      <c r="D988" s="10" t="inlineStr">
        <is>
          <t>loyal</t>
        </is>
      </c>
      <c r="E988" s="10" t="inlineStr">
        <is>
          <t>Shopee</t>
        </is>
      </c>
      <c r="F988" s="10" t="inlineStr">
        <is>
          <t>Jabodetabek</t>
        </is>
      </c>
      <c r="G988" s="10" t="inlineStr">
        <is>
          <t>Rumah Tangga</t>
        </is>
      </c>
      <c r="H988" s="10" t="inlineStr">
        <is>
          <t>Set Wadah Kedap</t>
        </is>
      </c>
      <c r="I988" s="19" t="n">
        <v>3</v>
      </c>
      <c r="J988" s="20" t="n">
        <v>135000</v>
      </c>
      <c r="K988" s="20" t="n">
        <v>405000</v>
      </c>
      <c r="L988" s="10">
        <f>IF($B988="","",TEXT($B988,"YYYY-MM"))</f>
        <v/>
      </c>
    </row>
    <row r="989">
      <c r="A989" s="10" t="inlineStr">
        <is>
          <t>INV-70390</t>
        </is>
      </c>
      <c r="B989" s="18" t="n">
        <v>45995</v>
      </c>
      <c r="C989" s="10" t="inlineStr">
        <is>
          <t>C1111</t>
        </is>
      </c>
      <c r="D989" s="10" t="inlineStr">
        <is>
          <t>champion</t>
        </is>
      </c>
      <c r="E989" s="10" t="inlineStr">
        <is>
          <t>Shopee</t>
        </is>
      </c>
      <c r="F989" s="10" t="inlineStr">
        <is>
          <t>Sumatera</t>
        </is>
      </c>
      <c r="G989" s="10" t="inlineStr">
        <is>
          <t>Elektronik</t>
        </is>
      </c>
      <c r="H989" s="10" t="inlineStr">
        <is>
          <t>Smartwatch</t>
        </is>
      </c>
      <c r="I989" s="19" t="n">
        <v>1</v>
      </c>
      <c r="J989" s="20" t="n">
        <v>450000</v>
      </c>
      <c r="K989" s="20" t="n">
        <v>450000</v>
      </c>
      <c r="L989" s="10">
        <f>IF($B989="","",TEXT($B989,"YYYY-MM"))</f>
        <v/>
      </c>
    </row>
    <row r="990">
      <c r="A990" s="10" t="inlineStr">
        <is>
          <t>INV-70264</t>
        </is>
      </c>
      <c r="B990" s="18" t="n">
        <v>45996</v>
      </c>
      <c r="C990" s="10" t="inlineStr">
        <is>
          <t>C1074</t>
        </is>
      </c>
      <c r="D990" s="10" t="inlineStr">
        <is>
          <t>regular</t>
        </is>
      </c>
      <c r="E990" s="10" t="inlineStr">
        <is>
          <t>TikTok Shop</t>
        </is>
      </c>
      <c r="F990" s="10" t="inlineStr">
        <is>
          <t>Jabodetabek</t>
        </is>
      </c>
      <c r="G990" s="10" t="inlineStr">
        <is>
          <t>Rumah Tangga</t>
        </is>
      </c>
      <c r="H990" s="10" t="inlineStr">
        <is>
          <t>Set Wadah Kedap</t>
        </is>
      </c>
      <c r="I990" s="19" t="n">
        <v>1</v>
      </c>
      <c r="J990" s="20" t="n">
        <v>135000</v>
      </c>
      <c r="K990" s="20" t="n">
        <v>135000</v>
      </c>
      <c r="L990" s="10">
        <f>IF($B990="","",TEXT($B990,"YYYY-MM"))</f>
        <v/>
      </c>
    </row>
    <row r="991">
      <c r="A991" s="10" t="inlineStr">
        <is>
          <t>INV-70286</t>
        </is>
      </c>
      <c r="B991" s="18" t="n">
        <v>45996</v>
      </c>
      <c r="C991" s="10" t="inlineStr">
        <is>
          <t>C1081</t>
        </is>
      </c>
      <c r="D991" s="10" t="inlineStr">
        <is>
          <t>occasional</t>
        </is>
      </c>
      <c r="E991" s="10" t="inlineStr">
        <is>
          <t>TikTok Shop</t>
        </is>
      </c>
      <c r="F991" s="10" t="inlineStr">
        <is>
          <t>Jawa Barat</t>
        </is>
      </c>
      <c r="G991" s="10" t="inlineStr">
        <is>
          <t>Rumah Tangga</t>
        </is>
      </c>
      <c r="H991" s="10" t="inlineStr">
        <is>
          <t>Diffuser Aroma</t>
        </is>
      </c>
      <c r="I991" s="19" t="n">
        <v>1</v>
      </c>
      <c r="J991" s="20" t="n">
        <v>195000</v>
      </c>
      <c r="K991" s="20" t="n">
        <v>195000</v>
      </c>
      <c r="L991" s="10">
        <f>IF($B991="","",TEXT($B991,"YYYY-MM"))</f>
        <v/>
      </c>
    </row>
    <row r="992">
      <c r="A992" s="10" t="inlineStr">
        <is>
          <t>INV-71526</t>
        </is>
      </c>
      <c r="B992" s="18" t="n">
        <v>45996</v>
      </c>
      <c r="C992" s="10" t="inlineStr">
        <is>
          <t>C1419</t>
        </is>
      </c>
      <c r="D992" s="10" t="inlineStr">
        <is>
          <t>loyal</t>
        </is>
      </c>
      <c r="E992" s="10" t="inlineStr">
        <is>
          <t>Shopee</t>
        </is>
      </c>
      <c r="F992" s="10" t="inlineStr">
        <is>
          <t>Jawa Barat</t>
        </is>
      </c>
      <c r="G992" s="10" t="inlineStr">
        <is>
          <t>Elektronik</t>
        </is>
      </c>
      <c r="H992" s="10" t="inlineStr">
        <is>
          <t>Keyboard Mekanik</t>
        </is>
      </c>
      <c r="I992" s="19" t="n">
        <v>2</v>
      </c>
      <c r="J992" s="20" t="n">
        <v>380000</v>
      </c>
      <c r="K992" s="20" t="n">
        <v>760000</v>
      </c>
      <c r="L992" s="10">
        <f>IF($B992="","",TEXT($B992,"YYYY-MM"))</f>
        <v/>
      </c>
    </row>
    <row r="993">
      <c r="A993" s="10" t="inlineStr">
        <is>
          <t>INV-70651</t>
        </is>
      </c>
      <c r="B993" s="18" t="n">
        <v>45996</v>
      </c>
      <c r="C993" s="10" t="inlineStr">
        <is>
          <t>C1178</t>
        </is>
      </c>
      <c r="D993" s="10" t="inlineStr">
        <is>
          <t>regular</t>
        </is>
      </c>
      <c r="E993" s="10" t="inlineStr">
        <is>
          <t>Tokopedia</t>
        </is>
      </c>
      <c r="F993" s="10" t="inlineStr">
        <is>
          <t>Jawa Timur</t>
        </is>
      </c>
      <c r="G993" s="10" t="inlineStr">
        <is>
          <t>Kecantikan</t>
        </is>
      </c>
      <c r="H993" s="10" t="inlineStr">
        <is>
          <t>Masker Wajah (5s)</t>
        </is>
      </c>
      <c r="I993" s="19" t="n">
        <v>4</v>
      </c>
      <c r="J993" s="20" t="n">
        <v>55000</v>
      </c>
      <c r="K993" s="20" t="n">
        <v>220000</v>
      </c>
      <c r="L993" s="10">
        <f>IF($B993="","",TEXT($B993,"YYYY-MM"))</f>
        <v/>
      </c>
    </row>
    <row r="994">
      <c r="A994" s="10" t="inlineStr">
        <is>
          <t>INV-70485</t>
        </is>
      </c>
      <c r="B994" s="18" t="n">
        <v>45997</v>
      </c>
      <c r="C994" s="10" t="inlineStr">
        <is>
          <t>C1139</t>
        </is>
      </c>
      <c r="D994" s="10" t="inlineStr">
        <is>
          <t>champion</t>
        </is>
      </c>
      <c r="E994" s="10" t="inlineStr">
        <is>
          <t>Tokopedia</t>
        </is>
      </c>
      <c r="F994" s="10" t="inlineStr">
        <is>
          <t>Jawa Barat</t>
        </is>
      </c>
      <c r="G994" s="10" t="inlineStr">
        <is>
          <t>Kecantikan</t>
        </is>
      </c>
      <c r="H994" s="10" t="inlineStr">
        <is>
          <t>Serum Vit C</t>
        </is>
      </c>
      <c r="I994" s="19" t="n">
        <v>1</v>
      </c>
      <c r="J994" s="20" t="n">
        <v>145000</v>
      </c>
      <c r="K994" s="20" t="n">
        <v>145000</v>
      </c>
      <c r="L994" s="10">
        <f>IF($B994="","",TEXT($B994,"YYYY-MM"))</f>
        <v/>
      </c>
    </row>
    <row r="995">
      <c r="A995" s="10" t="inlineStr">
        <is>
          <t>INV-71387</t>
        </is>
      </c>
      <c r="B995" s="18" t="n">
        <v>45997</v>
      </c>
      <c r="C995" s="10" t="inlineStr">
        <is>
          <t>C1384</t>
        </is>
      </c>
      <c r="D995" s="10" t="inlineStr">
        <is>
          <t>regular</t>
        </is>
      </c>
      <c r="E995" s="10" t="inlineStr">
        <is>
          <t>TikTok Shop</t>
        </is>
      </c>
      <c r="F995" s="10" t="inlineStr">
        <is>
          <t>Sumatera</t>
        </is>
      </c>
      <c r="G995" s="10" t="inlineStr">
        <is>
          <t>Rumah Tangga</t>
        </is>
      </c>
      <c r="H995" s="10" t="inlineStr">
        <is>
          <t>Set Wadah Kedap</t>
        </is>
      </c>
      <c r="I995" s="19" t="n">
        <v>1</v>
      </c>
      <c r="J995" s="20" t="n">
        <v>135000</v>
      </c>
      <c r="K995" s="20" t="n">
        <v>135000</v>
      </c>
      <c r="L995" s="10">
        <f>IF($B995="","",TEXT($B995,"YYYY-MM"))</f>
        <v/>
      </c>
    </row>
    <row r="996">
      <c r="A996" s="10" t="inlineStr">
        <is>
          <t>INV-70828</t>
        </is>
      </c>
      <c r="B996" s="18" t="n">
        <v>45997</v>
      </c>
      <c r="C996" s="10" t="inlineStr">
        <is>
          <t>C1234</t>
        </is>
      </c>
      <c r="D996" s="10" t="inlineStr">
        <is>
          <t>loyal</t>
        </is>
      </c>
      <c r="E996" s="10" t="inlineStr">
        <is>
          <t>TikTok Shop</t>
        </is>
      </c>
      <c r="F996" s="10" t="inlineStr">
        <is>
          <t>Jawa Tengah</t>
        </is>
      </c>
      <c r="G996" s="10" t="inlineStr">
        <is>
          <t>Rumah Tangga</t>
        </is>
      </c>
      <c r="H996" s="10" t="inlineStr">
        <is>
          <t>Set Wadah Kedap</t>
        </is>
      </c>
      <c r="I996" s="19" t="n">
        <v>2</v>
      </c>
      <c r="J996" s="20" t="n">
        <v>135000</v>
      </c>
      <c r="K996" s="20" t="n">
        <v>270000</v>
      </c>
      <c r="L996" s="10">
        <f>IF($B996="","",TEXT($B996,"YYYY-MM"))</f>
        <v/>
      </c>
    </row>
    <row r="997">
      <c r="A997" s="10" t="inlineStr">
        <is>
          <t>INV-70158</t>
        </is>
      </c>
      <c r="B997" s="18" t="n">
        <v>45998</v>
      </c>
      <c r="C997" s="10" t="inlineStr">
        <is>
          <t>C1048</t>
        </is>
      </c>
      <c r="D997" s="10" t="inlineStr">
        <is>
          <t>occasional</t>
        </is>
      </c>
      <c r="E997" s="10" t="inlineStr">
        <is>
          <t>TikTok Shop</t>
        </is>
      </c>
      <c r="F997" s="10" t="inlineStr">
        <is>
          <t>Jabodetabek</t>
        </is>
      </c>
      <c r="G997" s="10" t="inlineStr">
        <is>
          <t>Rumah Tangga</t>
        </is>
      </c>
      <c r="H997" s="10" t="inlineStr">
        <is>
          <t>Set Wadah Kedap</t>
        </is>
      </c>
      <c r="I997" s="19" t="n">
        <v>2</v>
      </c>
      <c r="J997" s="20" t="n">
        <v>135000</v>
      </c>
      <c r="K997" s="20" t="n">
        <v>270000</v>
      </c>
      <c r="L997" s="10">
        <f>IF($B997="","",TEXT($B997,"YYYY-MM"))</f>
        <v/>
      </c>
    </row>
    <row r="998">
      <c r="A998" s="10" t="inlineStr">
        <is>
          <t>INV-71352</t>
        </is>
      </c>
      <c r="B998" s="18" t="n">
        <v>45999</v>
      </c>
      <c r="C998" s="10" t="inlineStr">
        <is>
          <t>C1373</t>
        </is>
      </c>
      <c r="D998" s="10" t="inlineStr">
        <is>
          <t>occasional</t>
        </is>
      </c>
      <c r="E998" s="10" t="inlineStr">
        <is>
          <t>Tokopedia</t>
        </is>
      </c>
      <c r="F998" s="10" t="inlineStr">
        <is>
          <t>Jabodetabek</t>
        </is>
      </c>
      <c r="G998" s="10" t="inlineStr">
        <is>
          <t>Kecantikan</t>
        </is>
      </c>
      <c r="H998" s="10" t="inlineStr">
        <is>
          <t>Masker Wajah (5s)</t>
        </is>
      </c>
      <c r="I998" s="19" t="n">
        <v>4</v>
      </c>
      <c r="J998" s="20" t="n">
        <v>55000</v>
      </c>
      <c r="K998" s="20" t="n">
        <v>220000</v>
      </c>
      <c r="L998" s="10">
        <f>IF($B998="","",TEXT($B998,"YYYY-MM"))</f>
        <v/>
      </c>
    </row>
    <row r="999">
      <c r="A999" s="10" t="inlineStr">
        <is>
          <t>INV-70314</t>
        </is>
      </c>
      <c r="B999" s="18" t="n">
        <v>45999</v>
      </c>
      <c r="C999" s="10" t="inlineStr">
        <is>
          <t>C1088</t>
        </is>
      </c>
      <c r="D999" s="10" t="inlineStr">
        <is>
          <t>champion</t>
        </is>
      </c>
      <c r="E999" s="10" t="inlineStr">
        <is>
          <t>Offline Store</t>
        </is>
      </c>
      <c r="F999" s="10" t="inlineStr">
        <is>
          <t>Lainnya</t>
        </is>
      </c>
      <c r="G999" s="10" t="inlineStr">
        <is>
          <t>Kecantikan</t>
        </is>
      </c>
      <c r="H999" s="10" t="inlineStr">
        <is>
          <t>Masker Wajah (5s)</t>
        </is>
      </c>
      <c r="I999" s="19" t="n">
        <v>2</v>
      </c>
      <c r="J999" s="20" t="n">
        <v>55000</v>
      </c>
      <c r="K999" s="20" t="n">
        <v>110000</v>
      </c>
      <c r="L999" s="10">
        <f>IF($B999="","",TEXT($B999,"YYYY-MM"))</f>
        <v/>
      </c>
    </row>
    <row r="1000">
      <c r="A1000" s="10" t="inlineStr">
        <is>
          <t>INV-70229</t>
        </is>
      </c>
      <c r="B1000" s="18" t="n">
        <v>45999</v>
      </c>
      <c r="C1000" s="10" t="inlineStr">
        <is>
          <t>C1064</t>
        </is>
      </c>
      <c r="D1000" s="10" t="inlineStr">
        <is>
          <t>loyal</t>
        </is>
      </c>
      <c r="E1000" s="10" t="inlineStr">
        <is>
          <t>Offline Store</t>
        </is>
      </c>
      <c r="F1000" s="10" t="inlineStr">
        <is>
          <t>Jawa Tengah</t>
        </is>
      </c>
      <c r="G1000" s="10" t="inlineStr">
        <is>
          <t>Rumah Tangga</t>
        </is>
      </c>
      <c r="H1000" s="10" t="inlineStr">
        <is>
          <t>Set Wadah Kedap</t>
        </is>
      </c>
      <c r="I1000" s="19" t="n">
        <v>3</v>
      </c>
      <c r="J1000" s="20" t="n">
        <v>135000</v>
      </c>
      <c r="K1000" s="20" t="n">
        <v>405000</v>
      </c>
      <c r="L1000" s="10">
        <f>IF($B1000="","",TEXT($B1000,"YYYY-MM"))</f>
        <v/>
      </c>
    </row>
    <row r="1001">
      <c r="A1001" s="10" t="inlineStr">
        <is>
          <t>INV-71112</t>
        </is>
      </c>
      <c r="B1001" s="18" t="n">
        <v>45999</v>
      </c>
      <c r="C1001" s="10" t="inlineStr">
        <is>
          <t>C1312</t>
        </is>
      </c>
      <c r="D1001" s="10" t="inlineStr">
        <is>
          <t>champion</t>
        </is>
      </c>
      <c r="E1001" s="10" t="inlineStr">
        <is>
          <t>Tokopedia</t>
        </is>
      </c>
      <c r="F1001" s="10" t="inlineStr">
        <is>
          <t>Jawa Timur</t>
        </is>
      </c>
      <c r="G1001" s="10" t="inlineStr">
        <is>
          <t>Kecantikan</t>
        </is>
      </c>
      <c r="H1001" s="10" t="inlineStr">
        <is>
          <t>Masker Wajah (5s)</t>
        </is>
      </c>
      <c r="I1001" s="19" t="n">
        <v>2</v>
      </c>
      <c r="J1001" s="20" t="n">
        <v>55000</v>
      </c>
      <c r="K1001" s="20" t="n">
        <v>110000</v>
      </c>
      <c r="L1001" s="10">
        <f>IF($B1001="","",TEXT($B1001,"YYYY-MM"))</f>
        <v/>
      </c>
    </row>
    <row r="1002">
      <c r="A1002" s="10" t="inlineStr">
        <is>
          <t>INV-71223</t>
        </is>
      </c>
      <c r="B1002" s="18" t="n">
        <v>45999</v>
      </c>
      <c r="C1002" s="10" t="inlineStr">
        <is>
          <t>C1348</t>
        </is>
      </c>
      <c r="D1002" s="10" t="inlineStr">
        <is>
          <t>loyal</t>
        </is>
      </c>
      <c r="E1002" s="10" t="inlineStr">
        <is>
          <t>Offline Store</t>
        </is>
      </c>
      <c r="F1002" s="10" t="inlineStr">
        <is>
          <t>Sumatera</t>
        </is>
      </c>
      <c r="G1002" s="10" t="inlineStr">
        <is>
          <t>Makanan</t>
        </is>
      </c>
      <c r="H1002" s="10" t="inlineStr">
        <is>
          <t>Granola 500g</t>
        </is>
      </c>
      <c r="I1002" s="19" t="n">
        <v>1</v>
      </c>
      <c r="J1002" s="20" t="n">
        <v>92000</v>
      </c>
      <c r="K1002" s="20" t="n">
        <v>92000</v>
      </c>
      <c r="L1002" s="10">
        <f>IF($B1002="","",TEXT($B1002,"YYYY-MM"))</f>
        <v/>
      </c>
    </row>
    <row r="1003">
      <c r="A1003" s="10" t="inlineStr">
        <is>
          <t>INV-70347</t>
        </is>
      </c>
      <c r="B1003" s="18" t="n">
        <v>46000</v>
      </c>
      <c r="C1003" s="10" t="inlineStr">
        <is>
          <t>C1093</t>
        </is>
      </c>
      <c r="D1003" s="10" t="inlineStr">
        <is>
          <t>champion</t>
        </is>
      </c>
      <c r="E1003" s="10" t="inlineStr">
        <is>
          <t>Offline Store</t>
        </is>
      </c>
      <c r="F1003" s="10" t="inlineStr">
        <is>
          <t>Jabodetabek</t>
        </is>
      </c>
      <c r="G1003" s="10" t="inlineStr">
        <is>
          <t>Kecantikan</t>
        </is>
      </c>
      <c r="H1003" s="10" t="inlineStr">
        <is>
          <t>Masker Wajah (5s)</t>
        </is>
      </c>
      <c r="I1003" s="19" t="n">
        <v>2</v>
      </c>
      <c r="J1003" s="20" t="n">
        <v>55000</v>
      </c>
      <c r="K1003" s="20" t="n">
        <v>110000</v>
      </c>
      <c r="L1003" s="10">
        <f>IF($B1003="","",TEXT($B1003,"YYYY-MM"))</f>
        <v/>
      </c>
    </row>
    <row r="1004">
      <c r="A1004" s="10" t="inlineStr">
        <is>
          <t>INV-71547</t>
        </is>
      </c>
      <c r="B1004" s="18" t="n">
        <v>46001</v>
      </c>
      <c r="C1004" s="10" t="inlineStr">
        <is>
          <t>C1425</t>
        </is>
      </c>
      <c r="D1004" s="10" t="inlineStr">
        <is>
          <t>loyal</t>
        </is>
      </c>
      <c r="E1004" s="10" t="inlineStr">
        <is>
          <t>Shopee</t>
        </is>
      </c>
      <c r="F1004" s="10" t="inlineStr">
        <is>
          <t>Jawa Timur</t>
        </is>
      </c>
      <c r="G1004" s="10" t="inlineStr">
        <is>
          <t>Elektronik</t>
        </is>
      </c>
      <c r="H1004" s="10" t="inlineStr">
        <is>
          <t>Smartwatch</t>
        </is>
      </c>
      <c r="I1004" s="19" t="n">
        <v>1</v>
      </c>
      <c r="J1004" s="20" t="n">
        <v>450000</v>
      </c>
      <c r="K1004" s="20" t="n">
        <v>450000</v>
      </c>
      <c r="L1004" s="10">
        <f>IF($B1004="","",TEXT($B1004,"YYYY-MM"))</f>
        <v/>
      </c>
    </row>
    <row r="1005">
      <c r="A1005" s="10" t="inlineStr">
        <is>
          <t>INV-70843</t>
        </is>
      </c>
      <c r="B1005" s="18" t="n">
        <v>46001</v>
      </c>
      <c r="C1005" s="10" t="inlineStr">
        <is>
          <t>C1237</t>
        </is>
      </c>
      <c r="D1005" s="10" t="inlineStr">
        <is>
          <t>champion</t>
        </is>
      </c>
      <c r="E1005" s="10" t="inlineStr">
        <is>
          <t>Offline Store</t>
        </is>
      </c>
      <c r="F1005" s="10" t="inlineStr">
        <is>
          <t>Lainnya</t>
        </is>
      </c>
      <c r="G1005" s="10" t="inlineStr">
        <is>
          <t>Rumah Tangga</t>
        </is>
      </c>
      <c r="H1005" s="10" t="inlineStr">
        <is>
          <t>Organizer Laci</t>
        </is>
      </c>
      <c r="I1005" s="19" t="n">
        <v>2</v>
      </c>
      <c r="J1005" s="20" t="n">
        <v>78000</v>
      </c>
      <c r="K1005" s="20" t="n">
        <v>156000</v>
      </c>
      <c r="L1005" s="10">
        <f>IF($B1005="","",TEXT($B1005,"YYYY-MM"))</f>
        <v/>
      </c>
    </row>
    <row r="1006">
      <c r="A1006" s="10" t="inlineStr">
        <is>
          <t>INV-70854</t>
        </is>
      </c>
      <c r="B1006" s="18" t="n">
        <v>46001</v>
      </c>
      <c r="C1006" s="10" t="inlineStr">
        <is>
          <t>C1240</t>
        </is>
      </c>
      <c r="D1006" s="10" t="inlineStr">
        <is>
          <t>loyal</t>
        </is>
      </c>
      <c r="E1006" s="10" t="inlineStr">
        <is>
          <t>Offline Store</t>
        </is>
      </c>
      <c r="F1006" s="10" t="inlineStr">
        <is>
          <t>Jabodetabek</t>
        </is>
      </c>
      <c r="G1006" s="10" t="inlineStr">
        <is>
          <t>Rumah Tangga</t>
        </is>
      </c>
      <c r="H1006" s="10" t="inlineStr">
        <is>
          <t>Organizer Laci</t>
        </is>
      </c>
      <c r="I1006" s="19" t="n">
        <v>1</v>
      </c>
      <c r="J1006" s="20" t="n">
        <v>78000</v>
      </c>
      <c r="K1006" s="20" t="n">
        <v>78000</v>
      </c>
      <c r="L1006" s="10">
        <f>IF($B1006="","",TEXT($B1006,"YYYY-MM"))</f>
        <v/>
      </c>
    </row>
    <row r="1007">
      <c r="A1007" s="10" t="inlineStr">
        <is>
          <t>INV-70410</t>
        </is>
      </c>
      <c r="B1007" s="18" t="n">
        <v>46001</v>
      </c>
      <c r="C1007" s="10" t="inlineStr">
        <is>
          <t>C1113</t>
        </is>
      </c>
      <c r="D1007" s="10" t="inlineStr">
        <is>
          <t>loyal</t>
        </is>
      </c>
      <c r="E1007" s="10" t="inlineStr">
        <is>
          <t>Shopee</t>
        </is>
      </c>
      <c r="F1007" s="10" t="inlineStr">
        <is>
          <t>Jawa Tengah</t>
        </is>
      </c>
      <c r="G1007" s="10" t="inlineStr">
        <is>
          <t>Elektronik</t>
        </is>
      </c>
      <c r="H1007" s="10" t="inlineStr">
        <is>
          <t>Earbuds TWS</t>
        </is>
      </c>
      <c r="I1007" s="19" t="n">
        <v>3</v>
      </c>
      <c r="J1007" s="20" t="n">
        <v>265000</v>
      </c>
      <c r="K1007" s="20" t="n">
        <v>795000</v>
      </c>
      <c r="L1007" s="10">
        <f>IF($B1007="","",TEXT($B1007,"YYYY-MM"))</f>
        <v/>
      </c>
    </row>
    <row r="1008">
      <c r="A1008" s="10" t="inlineStr">
        <is>
          <t>INV-71028</t>
        </is>
      </c>
      <c r="B1008" s="18" t="n">
        <v>46001</v>
      </c>
      <c r="C1008" s="10" t="inlineStr">
        <is>
          <t>C1292</t>
        </is>
      </c>
      <c r="D1008" s="10" t="inlineStr">
        <is>
          <t>regular</t>
        </is>
      </c>
      <c r="E1008" s="10" t="inlineStr">
        <is>
          <t>Offline Store</t>
        </is>
      </c>
      <c r="F1008" s="10" t="inlineStr">
        <is>
          <t>Sumatera</t>
        </is>
      </c>
      <c r="G1008" s="10" t="inlineStr">
        <is>
          <t>Makanan</t>
        </is>
      </c>
      <c r="H1008" s="10" t="inlineStr">
        <is>
          <t>Madu Hutan 250ml</t>
        </is>
      </c>
      <c r="I1008" s="19" t="n">
        <v>4</v>
      </c>
      <c r="J1008" s="20" t="n">
        <v>110000</v>
      </c>
      <c r="K1008" s="20" t="n">
        <v>440000</v>
      </c>
      <c r="L1008" s="10">
        <f>IF($B1008="","",TEXT($B1008,"YYYY-MM"))</f>
        <v/>
      </c>
    </row>
    <row r="1009">
      <c r="A1009" s="10" t="inlineStr">
        <is>
          <t>INV-70440</t>
        </is>
      </c>
      <c r="B1009" s="18" t="n">
        <v>46002</v>
      </c>
      <c r="C1009" s="10" t="inlineStr">
        <is>
          <t>C1123</t>
        </is>
      </c>
      <c r="D1009" s="10" t="inlineStr">
        <is>
          <t>regular</t>
        </is>
      </c>
      <c r="E1009" s="10" t="inlineStr">
        <is>
          <t>Shopee</t>
        </is>
      </c>
      <c r="F1009" s="10" t="inlineStr">
        <is>
          <t>Jabodetabek</t>
        </is>
      </c>
      <c r="G1009" s="10" t="inlineStr">
        <is>
          <t>Makanan</t>
        </is>
      </c>
      <c r="H1009" s="10" t="inlineStr">
        <is>
          <t>Keripik Sehat</t>
        </is>
      </c>
      <c r="I1009" s="19" t="n">
        <v>3</v>
      </c>
      <c r="J1009" s="20" t="n">
        <v>45000</v>
      </c>
      <c r="K1009" s="20" t="n">
        <v>135000</v>
      </c>
      <c r="L1009" s="10">
        <f>IF($B1009="","",TEXT($B1009,"YYYY-MM"))</f>
        <v/>
      </c>
    </row>
    <row r="1010">
      <c r="A1010" s="10" t="inlineStr">
        <is>
          <t>INV-70122</t>
        </is>
      </c>
      <c r="B1010" s="18" t="n">
        <v>46002</v>
      </c>
      <c r="C1010" s="10" t="inlineStr">
        <is>
          <t>C1038</t>
        </is>
      </c>
      <c r="D1010" s="10" t="inlineStr">
        <is>
          <t>champion</t>
        </is>
      </c>
      <c r="E1010" s="10" t="inlineStr">
        <is>
          <t>Shopee</t>
        </is>
      </c>
      <c r="F1010" s="10" t="inlineStr">
        <is>
          <t>Jabodetabek</t>
        </is>
      </c>
      <c r="G1010" s="10" t="inlineStr">
        <is>
          <t>Kecantikan</t>
        </is>
      </c>
      <c r="H1010" s="10" t="inlineStr">
        <is>
          <t>Masker Wajah (5s)</t>
        </is>
      </c>
      <c r="I1010" s="19" t="n">
        <v>2</v>
      </c>
      <c r="J1010" s="20" t="n">
        <v>55000</v>
      </c>
      <c r="K1010" s="20" t="n">
        <v>110000</v>
      </c>
      <c r="L1010" s="10">
        <f>IF($B1010="","",TEXT($B1010,"YYYY-MM"))</f>
        <v/>
      </c>
    </row>
    <row r="1011">
      <c r="A1011" s="10" t="inlineStr">
        <is>
          <t>INV-70197</t>
        </is>
      </c>
      <c r="B1011" s="18" t="n">
        <v>46003</v>
      </c>
      <c r="C1011" s="10" t="inlineStr">
        <is>
          <t>C1056</t>
        </is>
      </c>
      <c r="D1011" s="10" t="inlineStr">
        <is>
          <t>loyal</t>
        </is>
      </c>
      <c r="E1011" s="10" t="inlineStr">
        <is>
          <t>Tokopedia</t>
        </is>
      </c>
      <c r="F1011" s="10" t="inlineStr">
        <is>
          <t>Jabodetabek</t>
        </is>
      </c>
      <c r="G1011" s="10" t="inlineStr">
        <is>
          <t>Elektronik</t>
        </is>
      </c>
      <c r="H1011" s="10" t="inlineStr">
        <is>
          <t>Earbuds TWS</t>
        </is>
      </c>
      <c r="I1011" s="19" t="n">
        <v>4</v>
      </c>
      <c r="J1011" s="20" t="n">
        <v>265000</v>
      </c>
      <c r="K1011" s="20" t="n">
        <v>1060000</v>
      </c>
      <c r="L1011" s="10">
        <f>IF($B1011="","",TEXT($B1011,"YYYY-MM"))</f>
        <v/>
      </c>
    </row>
    <row r="1012">
      <c r="A1012" s="10" t="inlineStr">
        <is>
          <t>INV-71033</t>
        </is>
      </c>
      <c r="B1012" s="18" t="n">
        <v>46004</v>
      </c>
      <c r="C1012" s="10" t="inlineStr">
        <is>
          <t>C1294</t>
        </is>
      </c>
      <c r="D1012" s="10" t="inlineStr">
        <is>
          <t>loyal</t>
        </is>
      </c>
      <c r="E1012" s="10" t="inlineStr">
        <is>
          <t>Offline Store</t>
        </is>
      </c>
      <c r="F1012" s="10" t="inlineStr">
        <is>
          <t>Jabodetabek</t>
        </is>
      </c>
      <c r="G1012" s="10" t="inlineStr">
        <is>
          <t>Kecantikan</t>
        </is>
      </c>
      <c r="H1012" s="10" t="inlineStr">
        <is>
          <t>Masker Wajah (5s)</t>
        </is>
      </c>
      <c r="I1012" s="19" t="n">
        <v>2</v>
      </c>
      <c r="J1012" s="20" t="n">
        <v>55000</v>
      </c>
      <c r="K1012" s="20" t="n">
        <v>110000</v>
      </c>
      <c r="L1012" s="10">
        <f>IF($B1012="","",TEXT($B1012,"YYYY-MM"))</f>
        <v/>
      </c>
    </row>
    <row r="1013">
      <c r="A1013" s="10" t="inlineStr">
        <is>
          <t>INV-70047</t>
        </is>
      </c>
      <c r="B1013" s="18" t="n">
        <v>46004</v>
      </c>
      <c r="C1013" s="10" t="inlineStr">
        <is>
          <t>C1012</t>
        </is>
      </c>
      <c r="D1013" s="10" t="inlineStr">
        <is>
          <t>loyal</t>
        </is>
      </c>
      <c r="E1013" s="10" t="inlineStr">
        <is>
          <t>Shopee</t>
        </is>
      </c>
      <c r="F1013" s="10" t="inlineStr">
        <is>
          <t>Sumatera</t>
        </is>
      </c>
      <c r="G1013" s="10" t="inlineStr">
        <is>
          <t>Rumah Tangga</t>
        </is>
      </c>
      <c r="H1013" s="10" t="inlineStr">
        <is>
          <t>Set Wadah Kedap</t>
        </is>
      </c>
      <c r="I1013" s="19" t="n">
        <v>1</v>
      </c>
      <c r="J1013" s="20" t="n">
        <v>135000</v>
      </c>
      <c r="K1013" s="20" t="n">
        <v>135000</v>
      </c>
      <c r="L1013" s="10">
        <f>IF($B1013="","",TEXT($B1013,"YYYY-MM"))</f>
        <v/>
      </c>
    </row>
    <row r="1014">
      <c r="A1014" s="10" t="inlineStr">
        <is>
          <t>INV-70144</t>
        </is>
      </c>
      <c r="B1014" s="18" t="n">
        <v>46004</v>
      </c>
      <c r="C1014" s="10" t="inlineStr">
        <is>
          <t>C1041</t>
        </is>
      </c>
      <c r="D1014" s="10" t="inlineStr">
        <is>
          <t>onetime</t>
        </is>
      </c>
      <c r="E1014" s="10" t="inlineStr">
        <is>
          <t>Tokopedia</t>
        </is>
      </c>
      <c r="F1014" s="10" t="inlineStr">
        <is>
          <t>Jabodetabek</t>
        </is>
      </c>
      <c r="G1014" s="10" t="inlineStr">
        <is>
          <t>Elektronik</t>
        </is>
      </c>
      <c r="H1014" s="10" t="inlineStr">
        <is>
          <t>Earbuds TWS</t>
        </is>
      </c>
      <c r="I1014" s="19" t="n">
        <v>1</v>
      </c>
      <c r="J1014" s="20" t="n">
        <v>265000</v>
      </c>
      <c r="K1014" s="20" t="n">
        <v>265000</v>
      </c>
      <c r="L1014" s="10">
        <f>IF($B1014="","",TEXT($B1014,"YYYY-MM"))</f>
        <v/>
      </c>
    </row>
    <row r="1015">
      <c r="A1015" s="10" t="inlineStr">
        <is>
          <t>INV-70460</t>
        </is>
      </c>
      <c r="B1015" s="18" t="n">
        <v>46004</v>
      </c>
      <c r="C1015" s="10" t="inlineStr">
        <is>
          <t>C1131</t>
        </is>
      </c>
      <c r="D1015" s="10" t="inlineStr">
        <is>
          <t>occasional</t>
        </is>
      </c>
      <c r="E1015" s="10" t="inlineStr">
        <is>
          <t>TikTok Shop</t>
        </is>
      </c>
      <c r="F1015" s="10" t="inlineStr">
        <is>
          <t>Jawa Barat</t>
        </is>
      </c>
      <c r="G1015" s="10" t="inlineStr">
        <is>
          <t>Makanan</t>
        </is>
      </c>
      <c r="H1015" s="10" t="inlineStr">
        <is>
          <t>Madu Hutan 250ml</t>
        </is>
      </c>
      <c r="I1015" s="19" t="n">
        <v>4</v>
      </c>
      <c r="J1015" s="20" t="n">
        <v>110000</v>
      </c>
      <c r="K1015" s="20" t="n">
        <v>440000</v>
      </c>
      <c r="L1015" s="10">
        <f>IF($B1015="","",TEXT($B1015,"YYYY-MM"))</f>
        <v/>
      </c>
    </row>
    <row r="1016">
      <c r="A1016" s="10" t="inlineStr">
        <is>
          <t>INV-71427</t>
        </is>
      </c>
      <c r="B1016" s="18" t="n">
        <v>46004</v>
      </c>
      <c r="C1016" s="10" t="inlineStr">
        <is>
          <t>C1393</t>
        </is>
      </c>
      <c r="D1016" s="10" t="inlineStr">
        <is>
          <t>regular</t>
        </is>
      </c>
      <c r="E1016" s="10" t="inlineStr">
        <is>
          <t>Tokopedia</t>
        </is>
      </c>
      <c r="F1016" s="10" t="inlineStr">
        <is>
          <t>Jawa Barat</t>
        </is>
      </c>
      <c r="G1016" s="10" t="inlineStr">
        <is>
          <t>Fashion</t>
        </is>
      </c>
      <c r="H1016" s="10" t="inlineStr">
        <is>
          <t>Kemeja Linen</t>
        </is>
      </c>
      <c r="I1016" s="19" t="n">
        <v>2</v>
      </c>
      <c r="J1016" s="20" t="n">
        <v>185000</v>
      </c>
      <c r="K1016" s="20" t="n">
        <v>370000</v>
      </c>
      <c r="L1016" s="10">
        <f>IF($B1016="","",TEXT($B1016,"YYYY-MM"))</f>
        <v/>
      </c>
    </row>
    <row r="1017">
      <c r="A1017" s="10" t="inlineStr">
        <is>
          <t>INV-71449</t>
        </is>
      </c>
      <c r="B1017" s="18" t="n">
        <v>46004</v>
      </c>
      <c r="C1017" s="10" t="inlineStr">
        <is>
          <t>C1400</t>
        </is>
      </c>
      <c r="D1017" s="10" t="inlineStr">
        <is>
          <t>regular</t>
        </is>
      </c>
      <c r="E1017" s="10" t="inlineStr">
        <is>
          <t>TikTok Shop</t>
        </is>
      </c>
      <c r="F1017" s="10" t="inlineStr">
        <is>
          <t>Jawa Timur</t>
        </is>
      </c>
      <c r="G1017" s="10" t="inlineStr">
        <is>
          <t>Rumah Tangga</t>
        </is>
      </c>
      <c r="H1017" s="10" t="inlineStr">
        <is>
          <t>Set Wadah Kedap</t>
        </is>
      </c>
      <c r="I1017" s="19" t="n">
        <v>2</v>
      </c>
      <c r="J1017" s="20" t="n">
        <v>135000</v>
      </c>
      <c r="K1017" s="20" t="n">
        <v>270000</v>
      </c>
      <c r="L1017" s="10">
        <f>IF($B1017="","",TEXT($B1017,"YYYY-MM"))</f>
        <v/>
      </c>
    </row>
    <row r="1018">
      <c r="A1018" s="10" t="inlineStr">
        <is>
          <t>INV-71342</t>
        </is>
      </c>
      <c r="B1018" s="18" t="n">
        <v>46004</v>
      </c>
      <c r="C1018" s="10" t="inlineStr">
        <is>
          <t>C1369</t>
        </is>
      </c>
      <c r="D1018" s="10" t="inlineStr">
        <is>
          <t>loyal</t>
        </is>
      </c>
      <c r="E1018" s="10" t="inlineStr">
        <is>
          <t>Shopee</t>
        </is>
      </c>
      <c r="F1018" s="10" t="inlineStr">
        <is>
          <t>Jabodetabek</t>
        </is>
      </c>
      <c r="G1018" s="10" t="inlineStr">
        <is>
          <t>Elektronik</t>
        </is>
      </c>
      <c r="H1018" s="10" t="inlineStr">
        <is>
          <t>Webcam HD</t>
        </is>
      </c>
      <c r="I1018" s="19" t="n">
        <v>2</v>
      </c>
      <c r="J1018" s="20" t="n">
        <v>210000</v>
      </c>
      <c r="K1018" s="20" t="n">
        <v>420000</v>
      </c>
      <c r="L1018" s="10">
        <f>IF($B1018="","",TEXT($B1018,"YYYY-MM"))</f>
        <v/>
      </c>
    </row>
    <row r="1019">
      <c r="A1019" s="10" t="inlineStr">
        <is>
          <t>INV-71109</t>
        </is>
      </c>
      <c r="B1019" s="18" t="n">
        <v>46005</v>
      </c>
      <c r="C1019" s="10" t="inlineStr">
        <is>
          <t>C1310</t>
        </is>
      </c>
      <c r="D1019" s="10" t="inlineStr">
        <is>
          <t>loyal</t>
        </is>
      </c>
      <c r="E1019" s="10" t="inlineStr">
        <is>
          <t>Shopee</t>
        </is>
      </c>
      <c r="F1019" s="10" t="inlineStr">
        <is>
          <t>Jabodetabek</t>
        </is>
      </c>
      <c r="G1019" s="10" t="inlineStr">
        <is>
          <t>Rumah Tangga</t>
        </is>
      </c>
      <c r="H1019" s="10" t="inlineStr">
        <is>
          <t>Set Wadah Kedap</t>
        </is>
      </c>
      <c r="I1019" s="19" t="n">
        <v>1</v>
      </c>
      <c r="J1019" s="20" t="n">
        <v>135000</v>
      </c>
      <c r="K1019" s="20" t="n">
        <v>135000</v>
      </c>
      <c r="L1019" s="10">
        <f>IF($B1019="","",TEXT($B1019,"YYYY-MM"))</f>
        <v/>
      </c>
    </row>
    <row r="1020">
      <c r="A1020" s="10" t="inlineStr">
        <is>
          <t>INV-70324</t>
        </is>
      </c>
      <c r="B1020" s="18" t="n">
        <v>46005</v>
      </c>
      <c r="C1020" s="10" t="inlineStr">
        <is>
          <t>C1090</t>
        </is>
      </c>
      <c r="D1020" s="10" t="inlineStr">
        <is>
          <t>champion</t>
        </is>
      </c>
      <c r="E1020" s="10" t="inlineStr">
        <is>
          <t>Shopee</t>
        </is>
      </c>
      <c r="F1020" s="10" t="inlineStr">
        <is>
          <t>Jawa Barat</t>
        </is>
      </c>
      <c r="G1020" s="10" t="inlineStr">
        <is>
          <t>Kecantikan</t>
        </is>
      </c>
      <c r="H1020" s="10" t="inlineStr">
        <is>
          <t>Masker Wajah (5s)</t>
        </is>
      </c>
      <c r="I1020" s="19" t="n">
        <v>3</v>
      </c>
      <c r="J1020" s="20" t="n">
        <v>55000</v>
      </c>
      <c r="K1020" s="20" t="n">
        <v>165000</v>
      </c>
      <c r="L1020" s="10">
        <f>IF($B1020="","",TEXT($B1020,"YYYY-MM"))</f>
        <v/>
      </c>
    </row>
    <row r="1021">
      <c r="A1021" s="10" t="inlineStr">
        <is>
          <t>INV-71031</t>
        </is>
      </c>
      <c r="B1021" s="18" t="n">
        <v>46005</v>
      </c>
      <c r="C1021" s="10" t="inlineStr">
        <is>
          <t>C1293</t>
        </is>
      </c>
      <c r="D1021" s="10" t="inlineStr">
        <is>
          <t>occasional</t>
        </is>
      </c>
      <c r="E1021" s="10" t="inlineStr">
        <is>
          <t>Tokopedia</t>
        </is>
      </c>
      <c r="F1021" s="10" t="inlineStr">
        <is>
          <t>Jawa Timur</t>
        </is>
      </c>
      <c r="G1021" s="10" t="inlineStr">
        <is>
          <t>Rumah Tangga</t>
        </is>
      </c>
      <c r="H1021" s="10" t="inlineStr">
        <is>
          <t>Organizer Laci</t>
        </is>
      </c>
      <c r="I1021" s="19" t="n">
        <v>2</v>
      </c>
      <c r="J1021" s="20" t="n">
        <v>78000</v>
      </c>
      <c r="K1021" s="20" t="n">
        <v>156000</v>
      </c>
      <c r="L1021" s="10">
        <f>IF($B1021="","",TEXT($B1021,"YYYY-MM"))</f>
        <v/>
      </c>
    </row>
    <row r="1022">
      <c r="A1022" s="10" t="inlineStr">
        <is>
          <t>INV-71235</t>
        </is>
      </c>
      <c r="B1022" s="18" t="n">
        <v>46006</v>
      </c>
      <c r="C1022" s="10" t="inlineStr">
        <is>
          <t>C1349</t>
        </is>
      </c>
      <c r="D1022" s="10" t="inlineStr">
        <is>
          <t>champion</t>
        </is>
      </c>
      <c r="E1022" s="10" t="inlineStr">
        <is>
          <t>Offline Store</t>
        </is>
      </c>
      <c r="F1022" s="10" t="inlineStr">
        <is>
          <t>Jawa Timur</t>
        </is>
      </c>
      <c r="G1022" s="10" t="inlineStr">
        <is>
          <t>Fashion</t>
        </is>
      </c>
      <c r="H1022" s="10" t="inlineStr">
        <is>
          <t>Kaos Premium</t>
        </is>
      </c>
      <c r="I1022" s="19" t="n">
        <v>3</v>
      </c>
      <c r="J1022" s="20" t="n">
        <v>95000</v>
      </c>
      <c r="K1022" s="20" t="n">
        <v>285000</v>
      </c>
      <c r="L1022" s="10">
        <f>IF($B1022="","",TEXT($B1022,"YYYY-MM"))</f>
        <v/>
      </c>
    </row>
    <row r="1023">
      <c r="A1023" s="10" t="inlineStr">
        <is>
          <t>INV-71245</t>
        </is>
      </c>
      <c r="B1023" s="18" t="n">
        <v>46006</v>
      </c>
      <c r="C1023" s="10" t="inlineStr">
        <is>
          <t>C1351</t>
        </is>
      </c>
      <c r="D1023" s="10" t="inlineStr">
        <is>
          <t>loyal</t>
        </is>
      </c>
      <c r="E1023" s="10" t="inlineStr">
        <is>
          <t>Shopee</t>
        </is>
      </c>
      <c r="F1023" s="10" t="inlineStr">
        <is>
          <t>Jawa Timur</t>
        </is>
      </c>
      <c r="G1023" s="10" t="inlineStr">
        <is>
          <t>Rumah Tangga</t>
        </is>
      </c>
      <c r="H1023" s="10" t="inlineStr">
        <is>
          <t>Set Wadah Kedap</t>
        </is>
      </c>
      <c r="I1023" s="19" t="n">
        <v>2</v>
      </c>
      <c r="J1023" s="20" t="n">
        <v>135000</v>
      </c>
      <c r="K1023" s="20" t="n">
        <v>270000</v>
      </c>
      <c r="L1023" s="10">
        <f>IF($B1023="","",TEXT($B1023,"YYYY-MM"))</f>
        <v/>
      </c>
    </row>
    <row r="1024">
      <c r="A1024" s="10" t="inlineStr">
        <is>
          <t>INV-71559</t>
        </is>
      </c>
      <c r="B1024" s="18" t="n">
        <v>46006</v>
      </c>
      <c r="C1024" s="10" t="inlineStr">
        <is>
          <t>C1428</t>
        </is>
      </c>
      <c r="D1024" s="10" t="inlineStr">
        <is>
          <t>loyal</t>
        </is>
      </c>
      <c r="E1024" s="10" t="inlineStr">
        <is>
          <t>Shopee</t>
        </is>
      </c>
      <c r="F1024" s="10" t="inlineStr">
        <is>
          <t>Jawa Tengah</t>
        </is>
      </c>
      <c r="G1024" s="10" t="inlineStr">
        <is>
          <t>Elektronik</t>
        </is>
      </c>
      <c r="H1024" s="10" t="inlineStr">
        <is>
          <t>Earbuds TWS</t>
        </is>
      </c>
      <c r="I1024" s="19" t="n">
        <v>1</v>
      </c>
      <c r="J1024" s="20" t="n">
        <v>265000</v>
      </c>
      <c r="K1024" s="20" t="n">
        <v>265000</v>
      </c>
      <c r="L1024" s="10">
        <f>IF($B1024="","",TEXT($B1024,"YYYY-MM"))</f>
        <v/>
      </c>
    </row>
    <row r="1025">
      <c r="A1025" s="10" t="inlineStr">
        <is>
          <t>INV-71093</t>
        </is>
      </c>
      <c r="B1025" s="18" t="n">
        <v>46006</v>
      </c>
      <c r="C1025" s="10" t="inlineStr">
        <is>
          <t>C1306</t>
        </is>
      </c>
      <c r="D1025" s="10" t="inlineStr">
        <is>
          <t>loyal</t>
        </is>
      </c>
      <c r="E1025" s="10" t="inlineStr">
        <is>
          <t>Offline Store</t>
        </is>
      </c>
      <c r="F1025" s="10" t="inlineStr">
        <is>
          <t>Jabodetabek</t>
        </is>
      </c>
      <c r="G1025" s="10" t="inlineStr">
        <is>
          <t>Rumah Tangga</t>
        </is>
      </c>
      <c r="H1025" s="10" t="inlineStr">
        <is>
          <t>Set Wadah Kedap</t>
        </is>
      </c>
      <c r="I1025" s="19" t="n">
        <v>1</v>
      </c>
      <c r="J1025" s="20" t="n">
        <v>135000</v>
      </c>
      <c r="K1025" s="20" t="n">
        <v>135000</v>
      </c>
      <c r="L1025" s="10">
        <f>IF($B1025="","",TEXT($B1025,"YYYY-MM"))</f>
        <v/>
      </c>
    </row>
    <row r="1026">
      <c r="A1026" s="10" t="inlineStr">
        <is>
          <t>INV-71163</t>
        </is>
      </c>
      <c r="B1026" s="18" t="n">
        <v>46007</v>
      </c>
      <c r="C1026" s="10" t="inlineStr">
        <is>
          <t>C1329</t>
        </is>
      </c>
      <c r="D1026" s="10" t="inlineStr">
        <is>
          <t>regular</t>
        </is>
      </c>
      <c r="E1026" s="10" t="inlineStr">
        <is>
          <t>Offline Store</t>
        </is>
      </c>
      <c r="F1026" s="10" t="inlineStr">
        <is>
          <t>Jabodetabek</t>
        </is>
      </c>
      <c r="G1026" s="10" t="inlineStr">
        <is>
          <t>Rumah Tangga</t>
        </is>
      </c>
      <c r="H1026" s="10" t="inlineStr">
        <is>
          <t>Set Wadah Kedap</t>
        </is>
      </c>
      <c r="I1026" s="19" t="n">
        <v>4</v>
      </c>
      <c r="J1026" s="20" t="n">
        <v>135000</v>
      </c>
      <c r="K1026" s="20" t="n">
        <v>540000</v>
      </c>
      <c r="L1026" s="10">
        <f>IF($B1026="","",TEXT($B1026,"YYYY-MM"))</f>
        <v/>
      </c>
    </row>
    <row r="1027">
      <c r="A1027" s="10" t="inlineStr">
        <is>
          <t>INV-71228</t>
        </is>
      </c>
      <c r="B1027" s="18" t="n">
        <v>46008</v>
      </c>
      <c r="C1027" s="10" t="inlineStr">
        <is>
          <t>C1348</t>
        </is>
      </c>
      <c r="D1027" s="10" t="inlineStr">
        <is>
          <t>loyal</t>
        </is>
      </c>
      <c r="E1027" s="10" t="inlineStr">
        <is>
          <t>Tokopedia</t>
        </is>
      </c>
      <c r="F1027" s="10" t="inlineStr">
        <is>
          <t>Jawa Barat</t>
        </is>
      </c>
      <c r="G1027" s="10" t="inlineStr">
        <is>
          <t>Rumah Tangga</t>
        </is>
      </c>
      <c r="H1027" s="10" t="inlineStr">
        <is>
          <t>Set Wadah Kedap</t>
        </is>
      </c>
      <c r="I1027" s="19" t="n">
        <v>4</v>
      </c>
      <c r="J1027" s="20" t="n">
        <v>135000</v>
      </c>
      <c r="K1027" s="20" t="n">
        <v>540000</v>
      </c>
      <c r="L1027" s="10">
        <f>IF($B1027="","",TEXT($B1027,"YYYY-MM"))</f>
        <v/>
      </c>
    </row>
    <row r="1028">
      <c r="A1028" s="10" t="inlineStr">
        <is>
          <t>INV-71164</t>
        </is>
      </c>
      <c r="B1028" s="18" t="n">
        <v>46008</v>
      </c>
      <c r="C1028" s="10" t="inlineStr">
        <is>
          <t>C1329</t>
        </is>
      </c>
      <c r="D1028" s="10" t="inlineStr">
        <is>
          <t>regular</t>
        </is>
      </c>
      <c r="E1028" s="10" t="inlineStr">
        <is>
          <t>TikTok Shop</t>
        </is>
      </c>
      <c r="F1028" s="10" t="inlineStr">
        <is>
          <t>Jawa Timur</t>
        </is>
      </c>
      <c r="G1028" s="10" t="inlineStr">
        <is>
          <t>Elektronik</t>
        </is>
      </c>
      <c r="H1028" s="10" t="inlineStr">
        <is>
          <t>Webcam HD</t>
        </is>
      </c>
      <c r="I1028" s="19" t="n">
        <v>2</v>
      </c>
      <c r="J1028" s="20" t="n">
        <v>210000</v>
      </c>
      <c r="K1028" s="20" t="n">
        <v>420000</v>
      </c>
      <c r="L1028" s="10">
        <f>IF($B1028="","",TEXT($B1028,"YYYY-MM"))</f>
        <v/>
      </c>
    </row>
    <row r="1029">
      <c r="A1029" s="10" t="inlineStr">
        <is>
          <t>INV-71540</t>
        </is>
      </c>
      <c r="B1029" s="18" t="n">
        <v>46009</v>
      </c>
      <c r="C1029" s="10" t="inlineStr">
        <is>
          <t>C1424</t>
        </is>
      </c>
      <c r="D1029" s="10" t="inlineStr">
        <is>
          <t>loyal</t>
        </is>
      </c>
      <c r="E1029" s="10" t="inlineStr">
        <is>
          <t>Shopee</t>
        </is>
      </c>
      <c r="F1029" s="10" t="inlineStr">
        <is>
          <t>Jabodetabek</t>
        </is>
      </c>
      <c r="G1029" s="10" t="inlineStr">
        <is>
          <t>Rumah Tangga</t>
        </is>
      </c>
      <c r="H1029" s="10" t="inlineStr">
        <is>
          <t>Set Wadah Kedap</t>
        </is>
      </c>
      <c r="I1029" s="19" t="n">
        <v>1</v>
      </c>
      <c r="J1029" s="20" t="n">
        <v>135000</v>
      </c>
      <c r="K1029" s="20" t="n">
        <v>135000</v>
      </c>
      <c r="L1029" s="10">
        <f>IF($B1029="","",TEXT($B1029,"YYYY-MM"))</f>
        <v/>
      </c>
    </row>
    <row r="1030">
      <c r="A1030" s="10" t="inlineStr">
        <is>
          <t>INV-70896</t>
        </is>
      </c>
      <c r="B1030" s="18" t="n">
        <v>46009</v>
      </c>
      <c r="C1030" s="10" t="inlineStr">
        <is>
          <t>C1252</t>
        </is>
      </c>
      <c r="D1030" s="10" t="inlineStr">
        <is>
          <t>regular</t>
        </is>
      </c>
      <c r="E1030" s="10" t="inlineStr">
        <is>
          <t>Offline Store</t>
        </is>
      </c>
      <c r="F1030" s="10" t="inlineStr">
        <is>
          <t>Lainnya</t>
        </is>
      </c>
      <c r="G1030" s="10" t="inlineStr">
        <is>
          <t>Rumah Tangga</t>
        </is>
      </c>
      <c r="H1030" s="10" t="inlineStr">
        <is>
          <t>Diffuser Aroma</t>
        </is>
      </c>
      <c r="I1030" s="19" t="n">
        <v>4</v>
      </c>
      <c r="J1030" s="20" t="n">
        <v>195000</v>
      </c>
      <c r="K1030" s="20" t="n">
        <v>780000</v>
      </c>
      <c r="L1030" s="10">
        <f>IF($B1030="","",TEXT($B1030,"YYYY-MM"))</f>
        <v/>
      </c>
    </row>
    <row r="1031">
      <c r="A1031" s="10" t="inlineStr">
        <is>
          <t>INV-70673</t>
        </is>
      </c>
      <c r="B1031" s="18" t="n">
        <v>46009</v>
      </c>
      <c r="C1031" s="10" t="inlineStr">
        <is>
          <t>C1184</t>
        </is>
      </c>
      <c r="D1031" s="10" t="inlineStr">
        <is>
          <t>loyal</t>
        </is>
      </c>
      <c r="E1031" s="10" t="inlineStr">
        <is>
          <t>Shopee</t>
        </is>
      </c>
      <c r="F1031" s="10" t="inlineStr">
        <is>
          <t>Jabodetabek</t>
        </is>
      </c>
      <c r="G1031" s="10" t="inlineStr">
        <is>
          <t>Kecantikan</t>
        </is>
      </c>
      <c r="H1031" s="10" t="inlineStr">
        <is>
          <t>Masker Wajah (5s)</t>
        </is>
      </c>
      <c r="I1031" s="19" t="n">
        <v>2</v>
      </c>
      <c r="J1031" s="20" t="n">
        <v>55000</v>
      </c>
      <c r="K1031" s="20" t="n">
        <v>110000</v>
      </c>
      <c r="L1031" s="10">
        <f>IF($B1031="","",TEXT($B1031,"YYYY-MM"))</f>
        <v/>
      </c>
    </row>
    <row r="1032">
      <c r="A1032" s="10" t="inlineStr">
        <is>
          <t>INV-71015</t>
        </is>
      </c>
      <c r="B1032" s="18" t="n">
        <v>46009</v>
      </c>
      <c r="C1032" s="10" t="inlineStr">
        <is>
          <t>C1289</t>
        </is>
      </c>
      <c r="D1032" s="10" t="inlineStr">
        <is>
          <t>occasional</t>
        </is>
      </c>
      <c r="E1032" s="10" t="inlineStr">
        <is>
          <t>Offline Store</t>
        </is>
      </c>
      <c r="F1032" s="10" t="inlineStr">
        <is>
          <t>Lainnya</t>
        </is>
      </c>
      <c r="G1032" s="10" t="inlineStr">
        <is>
          <t>Rumah Tangga</t>
        </is>
      </c>
      <c r="H1032" s="10" t="inlineStr">
        <is>
          <t>Set Wadah Kedap</t>
        </is>
      </c>
      <c r="I1032" s="19" t="n">
        <v>2</v>
      </c>
      <c r="J1032" s="20" t="n">
        <v>135000</v>
      </c>
      <c r="K1032" s="20" t="n">
        <v>270000</v>
      </c>
      <c r="L1032" s="10">
        <f>IF($B1032="","",TEXT($B1032,"YYYY-MM"))</f>
        <v/>
      </c>
    </row>
    <row r="1033">
      <c r="A1033" s="10" t="inlineStr">
        <is>
          <t>INV-71484</t>
        </is>
      </c>
      <c r="B1033" s="18" t="n">
        <v>46009</v>
      </c>
      <c r="C1033" s="10" t="inlineStr">
        <is>
          <t>C1409</t>
        </is>
      </c>
      <c r="D1033" s="10" t="inlineStr">
        <is>
          <t>loyal</t>
        </is>
      </c>
      <c r="E1033" s="10" t="inlineStr">
        <is>
          <t>TikTok Shop</t>
        </is>
      </c>
      <c r="F1033" s="10" t="inlineStr">
        <is>
          <t>Jabodetabek</t>
        </is>
      </c>
      <c r="G1033" s="10" t="inlineStr">
        <is>
          <t>Rumah Tangga</t>
        </is>
      </c>
      <c r="H1033" s="10" t="inlineStr">
        <is>
          <t>Set Wadah Kedap</t>
        </is>
      </c>
      <c r="I1033" s="19" t="n">
        <v>2</v>
      </c>
      <c r="J1033" s="20" t="n">
        <v>135000</v>
      </c>
      <c r="K1033" s="20" t="n">
        <v>270000</v>
      </c>
      <c r="L1033" s="10">
        <f>IF($B1033="","",TEXT($B1033,"YYYY-MM"))</f>
        <v/>
      </c>
    </row>
    <row r="1034">
      <c r="A1034" s="10" t="inlineStr">
        <is>
          <t>INV-71376</t>
        </is>
      </c>
      <c r="B1034" s="18" t="n">
        <v>46010</v>
      </c>
      <c r="C1034" s="10" t="inlineStr">
        <is>
          <t>C1380</t>
        </is>
      </c>
      <c r="D1034" s="10" t="inlineStr">
        <is>
          <t>onetime</t>
        </is>
      </c>
      <c r="E1034" s="10" t="inlineStr">
        <is>
          <t>Tokopedia</t>
        </is>
      </c>
      <c r="F1034" s="10" t="inlineStr">
        <is>
          <t>Jabodetabek</t>
        </is>
      </c>
      <c r="G1034" s="10" t="inlineStr">
        <is>
          <t>Makanan</t>
        </is>
      </c>
      <c r="H1034" s="10" t="inlineStr">
        <is>
          <t>Granola 500g</t>
        </is>
      </c>
      <c r="I1034" s="19" t="n">
        <v>1</v>
      </c>
      <c r="J1034" s="20" t="n">
        <v>92000</v>
      </c>
      <c r="K1034" s="20" t="n">
        <v>92000</v>
      </c>
      <c r="L1034" s="10">
        <f>IF($B1034="","",TEXT($B1034,"YYYY-MM"))</f>
        <v/>
      </c>
    </row>
    <row r="1035">
      <c r="A1035" s="10" t="inlineStr">
        <is>
          <t>INV-70140</t>
        </is>
      </c>
      <c r="B1035" s="18" t="n">
        <v>46010</v>
      </c>
      <c r="C1035" s="10" t="inlineStr">
        <is>
          <t>C1039</t>
        </is>
      </c>
      <c r="D1035" s="10" t="inlineStr">
        <is>
          <t>loyal</t>
        </is>
      </c>
      <c r="E1035" s="10" t="inlineStr">
        <is>
          <t>TikTok Shop</t>
        </is>
      </c>
      <c r="F1035" s="10" t="inlineStr">
        <is>
          <t>Jabodetabek</t>
        </is>
      </c>
      <c r="G1035" s="10" t="inlineStr">
        <is>
          <t>Makanan</t>
        </is>
      </c>
      <c r="H1035" s="10" t="inlineStr">
        <is>
          <t>Granola 500g</t>
        </is>
      </c>
      <c r="I1035" s="19" t="n">
        <v>2</v>
      </c>
      <c r="J1035" s="20" t="n">
        <v>92000</v>
      </c>
      <c r="K1035" s="20" t="n">
        <v>184000</v>
      </c>
      <c r="L1035" s="10">
        <f>IF($B1035="","",TEXT($B1035,"YYYY-MM"))</f>
        <v/>
      </c>
    </row>
    <row r="1036">
      <c r="A1036" s="10" t="inlineStr">
        <is>
          <t>INV-71014</t>
        </is>
      </c>
      <c r="B1036" s="18" t="n">
        <v>46010</v>
      </c>
      <c r="C1036" s="10" t="inlineStr">
        <is>
          <t>C1288</t>
        </is>
      </c>
      <c r="D1036" s="10" t="inlineStr">
        <is>
          <t>regular</t>
        </is>
      </c>
      <c r="E1036" s="10" t="inlineStr">
        <is>
          <t>Offline Store</t>
        </is>
      </c>
      <c r="F1036" s="10" t="inlineStr">
        <is>
          <t>Jabodetabek</t>
        </is>
      </c>
      <c r="G1036" s="10" t="inlineStr">
        <is>
          <t>Rumah Tangga</t>
        </is>
      </c>
      <c r="H1036" s="10" t="inlineStr">
        <is>
          <t>Set Wadah Kedap</t>
        </is>
      </c>
      <c r="I1036" s="19" t="n">
        <v>2</v>
      </c>
      <c r="J1036" s="20" t="n">
        <v>135000</v>
      </c>
      <c r="K1036" s="20" t="n">
        <v>270000</v>
      </c>
      <c r="L1036" s="10">
        <f>IF($B1036="","",TEXT($B1036,"YYYY-MM"))</f>
        <v/>
      </c>
    </row>
    <row r="1037">
      <c r="A1037" s="10" t="inlineStr">
        <is>
          <t>INV-70585</t>
        </is>
      </c>
      <c r="B1037" s="18" t="n">
        <v>46010</v>
      </c>
      <c r="C1037" s="10" t="inlineStr">
        <is>
          <t>C1159</t>
        </is>
      </c>
      <c r="D1037" s="10" t="inlineStr">
        <is>
          <t>regular</t>
        </is>
      </c>
      <c r="E1037" s="10" t="inlineStr">
        <is>
          <t>Shopee</t>
        </is>
      </c>
      <c r="F1037" s="10" t="inlineStr">
        <is>
          <t>Jabodetabek</t>
        </is>
      </c>
      <c r="G1037" s="10" t="inlineStr">
        <is>
          <t>Elektronik</t>
        </is>
      </c>
      <c r="H1037" s="10" t="inlineStr">
        <is>
          <t>Earbuds TWS</t>
        </is>
      </c>
      <c r="I1037" s="19" t="n">
        <v>1</v>
      </c>
      <c r="J1037" s="20" t="n">
        <v>265000</v>
      </c>
      <c r="K1037" s="20" t="n">
        <v>265000</v>
      </c>
      <c r="L1037" s="10">
        <f>IF($B1037="","",TEXT($B1037,"YYYY-MM"))</f>
        <v/>
      </c>
    </row>
    <row r="1038">
      <c r="A1038" s="10" t="inlineStr">
        <is>
          <t>INV-70492</t>
        </is>
      </c>
      <c r="B1038" s="18" t="n">
        <v>46010</v>
      </c>
      <c r="C1038" s="10" t="inlineStr">
        <is>
          <t>C1139</t>
        </is>
      </c>
      <c r="D1038" s="10" t="inlineStr">
        <is>
          <t>champion</t>
        </is>
      </c>
      <c r="E1038" s="10" t="inlineStr">
        <is>
          <t>Shopee</t>
        </is>
      </c>
      <c r="F1038" s="10" t="inlineStr">
        <is>
          <t>Jawa Barat</t>
        </is>
      </c>
      <c r="G1038" s="10" t="inlineStr">
        <is>
          <t>Rumah Tangga</t>
        </is>
      </c>
      <c r="H1038" s="10" t="inlineStr">
        <is>
          <t>Set Wadah Kedap</t>
        </is>
      </c>
      <c r="I1038" s="19" t="n">
        <v>2</v>
      </c>
      <c r="J1038" s="20" t="n">
        <v>135000</v>
      </c>
      <c r="K1038" s="20" t="n">
        <v>270000</v>
      </c>
      <c r="L1038" s="10">
        <f>IF($B1038="","",TEXT($B1038,"YYYY-MM"))</f>
        <v/>
      </c>
    </row>
    <row r="1039">
      <c r="A1039" s="10" t="inlineStr">
        <is>
          <t>INV-70739</t>
        </is>
      </c>
      <c r="B1039" s="18" t="n">
        <v>46010</v>
      </c>
      <c r="C1039" s="10" t="inlineStr">
        <is>
          <t>C1207</t>
        </is>
      </c>
      <c r="D1039" s="10" t="inlineStr">
        <is>
          <t>loyal</t>
        </is>
      </c>
      <c r="E1039" s="10" t="inlineStr">
        <is>
          <t>TikTok Shop</t>
        </is>
      </c>
      <c r="F1039" s="10" t="inlineStr">
        <is>
          <t>Sumatera</t>
        </is>
      </c>
      <c r="G1039" s="10" t="inlineStr">
        <is>
          <t>Rumah Tangga</t>
        </is>
      </c>
      <c r="H1039" s="10" t="inlineStr">
        <is>
          <t>Set Wadah Kedap</t>
        </is>
      </c>
      <c r="I1039" s="19" t="n">
        <v>1</v>
      </c>
      <c r="J1039" s="20" t="n">
        <v>135000</v>
      </c>
      <c r="K1039" s="20" t="n">
        <v>135000</v>
      </c>
      <c r="L1039" s="10">
        <f>IF($B1039="","",TEXT($B1039,"YYYY-MM"))</f>
        <v/>
      </c>
    </row>
    <row r="1040">
      <c r="A1040" s="10" t="inlineStr">
        <is>
          <t>INV-70010</t>
        </is>
      </c>
      <c r="B1040" s="18" t="n">
        <v>46011</v>
      </c>
      <c r="C1040" s="10" t="inlineStr">
        <is>
          <t>C1002</t>
        </is>
      </c>
      <c r="D1040" s="10" t="inlineStr">
        <is>
          <t>loyal</t>
        </is>
      </c>
      <c r="E1040" s="10" t="inlineStr">
        <is>
          <t>Tokopedia</t>
        </is>
      </c>
      <c r="F1040" s="10" t="inlineStr">
        <is>
          <t>Jabodetabek</t>
        </is>
      </c>
      <c r="G1040" s="10" t="inlineStr">
        <is>
          <t>Rumah Tangga</t>
        </is>
      </c>
      <c r="H1040" s="10" t="inlineStr">
        <is>
          <t>Set Wadah Kedap</t>
        </is>
      </c>
      <c r="I1040" s="19" t="n">
        <v>2</v>
      </c>
      <c r="J1040" s="20" t="n">
        <v>135000</v>
      </c>
      <c r="K1040" s="20" t="n">
        <v>270000</v>
      </c>
      <c r="L1040" s="10">
        <f>IF($B1040="","",TEXT($B1040,"YYYY-MM"))</f>
        <v/>
      </c>
    </row>
    <row r="1041">
      <c r="A1041" s="10" t="inlineStr">
        <is>
          <t>INV-70636</t>
        </is>
      </c>
      <c r="B1041" s="18" t="n">
        <v>46011</v>
      </c>
      <c r="C1041" s="10" t="inlineStr">
        <is>
          <t>C1173</t>
        </is>
      </c>
      <c r="D1041" s="10" t="inlineStr">
        <is>
          <t>loyal</t>
        </is>
      </c>
      <c r="E1041" s="10" t="inlineStr">
        <is>
          <t>Shopee</t>
        </is>
      </c>
      <c r="F1041" s="10" t="inlineStr">
        <is>
          <t>Jabodetabek</t>
        </is>
      </c>
      <c r="G1041" s="10" t="inlineStr">
        <is>
          <t>Fashion</t>
        </is>
      </c>
      <c r="H1041" s="10" t="inlineStr">
        <is>
          <t>Dress Casual</t>
        </is>
      </c>
      <c r="I1041" s="19" t="n">
        <v>2</v>
      </c>
      <c r="J1041" s="20" t="n">
        <v>225000</v>
      </c>
      <c r="K1041" s="20" t="n">
        <v>450000</v>
      </c>
      <c r="L1041" s="10">
        <f>IF($B1041="","",TEXT($B1041,"YYYY-MM"))</f>
        <v/>
      </c>
    </row>
    <row r="1042">
      <c r="A1042" s="10" t="inlineStr">
        <is>
          <t>INV-70039</t>
        </is>
      </c>
      <c r="B1042" s="18" t="n">
        <v>46011</v>
      </c>
      <c r="C1042" s="10" t="inlineStr">
        <is>
          <t>C1009</t>
        </is>
      </c>
      <c r="D1042" s="10" t="inlineStr">
        <is>
          <t>occasional</t>
        </is>
      </c>
      <c r="E1042" s="10" t="inlineStr">
        <is>
          <t>Shopee</t>
        </is>
      </c>
      <c r="F1042" s="10" t="inlineStr">
        <is>
          <t>Lainnya</t>
        </is>
      </c>
      <c r="G1042" s="10" t="inlineStr">
        <is>
          <t>Fashion</t>
        </is>
      </c>
      <c r="H1042" s="10" t="inlineStr">
        <is>
          <t>Kaos Premium</t>
        </is>
      </c>
      <c r="I1042" s="19" t="n">
        <v>2</v>
      </c>
      <c r="J1042" s="20" t="n">
        <v>95000</v>
      </c>
      <c r="K1042" s="20" t="n">
        <v>190000</v>
      </c>
      <c r="L1042" s="10">
        <f>IF($B1042="","",TEXT($B1042,"YYYY-MM"))</f>
        <v/>
      </c>
    </row>
    <row r="1043">
      <c r="A1043" s="10" t="inlineStr">
        <is>
          <t>INV-70415</t>
        </is>
      </c>
      <c r="B1043" s="18" t="n">
        <v>46011</v>
      </c>
      <c r="C1043" s="10" t="inlineStr">
        <is>
          <t>C1115</t>
        </is>
      </c>
      <c r="D1043" s="10" t="inlineStr">
        <is>
          <t>onetime</t>
        </is>
      </c>
      <c r="E1043" s="10" t="inlineStr">
        <is>
          <t>TikTok Shop</t>
        </is>
      </c>
      <c r="F1043" s="10" t="inlineStr">
        <is>
          <t>Jabodetabek</t>
        </is>
      </c>
      <c r="G1043" s="10" t="inlineStr">
        <is>
          <t>Rumah Tangga</t>
        </is>
      </c>
      <c r="H1043" s="10" t="inlineStr">
        <is>
          <t>Set Wadah Kedap</t>
        </is>
      </c>
      <c r="I1043" s="19" t="n">
        <v>2</v>
      </c>
      <c r="J1043" s="20" t="n">
        <v>135000</v>
      </c>
      <c r="K1043" s="20" t="n">
        <v>270000</v>
      </c>
      <c r="L1043" s="10">
        <f>IF($B1043="","",TEXT($B1043,"YYYY-MM"))</f>
        <v/>
      </c>
    </row>
    <row r="1044">
      <c r="A1044" s="10" t="inlineStr">
        <is>
          <t>INV-71246</t>
        </is>
      </c>
      <c r="B1044" s="18" t="n">
        <v>46011</v>
      </c>
      <c r="C1044" s="10" t="inlineStr">
        <is>
          <t>C1351</t>
        </is>
      </c>
      <c r="D1044" s="10" t="inlineStr">
        <is>
          <t>loyal</t>
        </is>
      </c>
      <c r="E1044" s="10" t="inlineStr">
        <is>
          <t>Offline Store</t>
        </is>
      </c>
      <c r="F1044" s="10" t="inlineStr">
        <is>
          <t>Lainnya</t>
        </is>
      </c>
      <c r="G1044" s="10" t="inlineStr">
        <is>
          <t>Elektronik</t>
        </is>
      </c>
      <c r="H1044" s="10" t="inlineStr">
        <is>
          <t>Webcam HD</t>
        </is>
      </c>
      <c r="I1044" s="19" t="n">
        <v>1</v>
      </c>
      <c r="J1044" s="20" t="n">
        <v>210000</v>
      </c>
      <c r="K1044" s="20" t="n">
        <v>210000</v>
      </c>
      <c r="L1044" s="10">
        <f>IF($B1044="","",TEXT($B1044,"YYYY-MM"))</f>
        <v/>
      </c>
    </row>
    <row r="1045">
      <c r="A1045" s="10" t="inlineStr">
        <is>
          <t>INV-70871</t>
        </is>
      </c>
      <c r="B1045" s="18" t="n">
        <v>46012</v>
      </c>
      <c r="C1045" s="10" t="inlineStr">
        <is>
          <t>C1246</t>
        </is>
      </c>
      <c r="D1045" s="10" t="inlineStr">
        <is>
          <t>champion</t>
        </is>
      </c>
      <c r="E1045" s="10" t="inlineStr">
        <is>
          <t>Offline Store</t>
        </is>
      </c>
      <c r="F1045" s="10" t="inlineStr">
        <is>
          <t>Jawa Tengah</t>
        </is>
      </c>
      <c r="G1045" s="10" t="inlineStr">
        <is>
          <t>Rumah Tangga</t>
        </is>
      </c>
      <c r="H1045" s="10" t="inlineStr">
        <is>
          <t>Set Wadah Kedap</t>
        </is>
      </c>
      <c r="I1045" s="19" t="n">
        <v>2</v>
      </c>
      <c r="J1045" s="20" t="n">
        <v>135000</v>
      </c>
      <c r="K1045" s="20" t="n">
        <v>270000</v>
      </c>
      <c r="L1045" s="10">
        <f>IF($B1045="","",TEXT($B1045,"YYYY-MM"))</f>
        <v/>
      </c>
    </row>
    <row r="1046">
      <c r="A1046" s="10" t="inlineStr">
        <is>
          <t>INV-70748</t>
        </is>
      </c>
      <c r="B1046" s="18" t="n">
        <v>46012</v>
      </c>
      <c r="C1046" s="10" t="inlineStr">
        <is>
          <t>C1210</t>
        </is>
      </c>
      <c r="D1046" s="10" t="inlineStr">
        <is>
          <t>loyal</t>
        </is>
      </c>
      <c r="E1046" s="10" t="inlineStr">
        <is>
          <t>Shopee</t>
        </is>
      </c>
      <c r="F1046" s="10" t="inlineStr">
        <is>
          <t>Jabodetabek</t>
        </is>
      </c>
      <c r="G1046" s="10" t="inlineStr">
        <is>
          <t>Elektronik</t>
        </is>
      </c>
      <c r="H1046" s="10" t="inlineStr">
        <is>
          <t>Webcam HD</t>
        </is>
      </c>
      <c r="I1046" s="19" t="n">
        <v>4</v>
      </c>
      <c r="J1046" s="20" t="n">
        <v>210000</v>
      </c>
      <c r="K1046" s="20" t="n">
        <v>840000</v>
      </c>
      <c r="L1046" s="10">
        <f>IF($B1046="","",TEXT($B1046,"YYYY-MM"))</f>
        <v/>
      </c>
    </row>
    <row r="1047">
      <c r="A1047" s="10" t="inlineStr">
        <is>
          <t>INV-70789</t>
        </is>
      </c>
      <c r="B1047" s="18" t="n">
        <v>46013</v>
      </c>
      <c r="C1047" s="10" t="inlineStr">
        <is>
          <t>C1222</t>
        </is>
      </c>
      <c r="D1047" s="10" t="inlineStr">
        <is>
          <t>loyal</t>
        </is>
      </c>
      <c r="E1047" s="10" t="inlineStr">
        <is>
          <t>Shopee</t>
        </is>
      </c>
      <c r="F1047" s="10" t="inlineStr">
        <is>
          <t>Jabodetabek</t>
        </is>
      </c>
      <c r="G1047" s="10" t="inlineStr">
        <is>
          <t>Kecantikan</t>
        </is>
      </c>
      <c r="H1047" s="10" t="inlineStr">
        <is>
          <t>Masker Wajah (5s)</t>
        </is>
      </c>
      <c r="I1047" s="19" t="n">
        <v>1</v>
      </c>
      <c r="J1047" s="20" t="n">
        <v>55000</v>
      </c>
      <c r="K1047" s="20" t="n">
        <v>55000</v>
      </c>
      <c r="L1047" s="10">
        <f>IF($B1047="","",TEXT($B1047,"YYYY-MM"))</f>
        <v/>
      </c>
    </row>
    <row r="1048">
      <c r="A1048" s="10" t="inlineStr">
        <is>
          <t>INV-70309</t>
        </is>
      </c>
      <c r="B1048" s="18" t="n">
        <v>46013</v>
      </c>
      <c r="C1048" s="10" t="inlineStr">
        <is>
          <t>C1087</t>
        </is>
      </c>
      <c r="D1048" s="10" t="inlineStr">
        <is>
          <t>loyal</t>
        </is>
      </c>
      <c r="E1048" s="10" t="inlineStr">
        <is>
          <t>Tokopedia</t>
        </is>
      </c>
      <c r="F1048" s="10" t="inlineStr">
        <is>
          <t>Jawa Barat</t>
        </is>
      </c>
      <c r="G1048" s="10" t="inlineStr">
        <is>
          <t>Rumah Tangga</t>
        </is>
      </c>
      <c r="H1048" s="10" t="inlineStr">
        <is>
          <t>Set Wadah Kedap</t>
        </is>
      </c>
      <c r="I1048" s="19" t="n">
        <v>1</v>
      </c>
      <c r="J1048" s="20" t="n">
        <v>135000</v>
      </c>
      <c r="K1048" s="20" t="n">
        <v>135000</v>
      </c>
      <c r="L1048" s="10">
        <f>IF($B1048="","",TEXT($B1048,"YYYY-MM"))</f>
        <v/>
      </c>
    </row>
    <row r="1049">
      <c r="A1049" s="10" t="inlineStr">
        <is>
          <t>INV-70305</t>
        </is>
      </c>
      <c r="B1049" s="18" t="n">
        <v>46013</v>
      </c>
      <c r="C1049" s="10" t="inlineStr">
        <is>
          <t>C1085</t>
        </is>
      </c>
      <c r="D1049" s="10" t="inlineStr">
        <is>
          <t>occasional</t>
        </is>
      </c>
      <c r="E1049" s="10" t="inlineStr">
        <is>
          <t>Shopee</t>
        </is>
      </c>
      <c r="F1049" s="10" t="inlineStr">
        <is>
          <t>Jabodetabek</t>
        </is>
      </c>
      <c r="G1049" s="10" t="inlineStr">
        <is>
          <t>Rumah Tangga</t>
        </is>
      </c>
      <c r="H1049" s="10" t="inlineStr">
        <is>
          <t>Organizer Laci</t>
        </is>
      </c>
      <c r="I1049" s="19" t="n">
        <v>4</v>
      </c>
      <c r="J1049" s="20" t="n">
        <v>78000</v>
      </c>
      <c r="K1049" s="20" t="n">
        <v>312000</v>
      </c>
      <c r="L1049" s="10">
        <f>IF($B1049="","",TEXT($B1049,"YYYY-MM"))</f>
        <v/>
      </c>
    </row>
    <row r="1050">
      <c r="A1050" s="10" t="inlineStr">
        <is>
          <t>INV-70351</t>
        </is>
      </c>
      <c r="B1050" s="18" t="n">
        <v>46013</v>
      </c>
      <c r="C1050" s="10" t="inlineStr">
        <is>
          <t>C1095</t>
        </is>
      </c>
      <c r="D1050" s="10" t="inlineStr">
        <is>
          <t>regular</t>
        </is>
      </c>
      <c r="E1050" s="10" t="inlineStr">
        <is>
          <t>TikTok Shop</t>
        </is>
      </c>
      <c r="F1050" s="10" t="inlineStr">
        <is>
          <t>Jawa Barat</t>
        </is>
      </c>
      <c r="G1050" s="10" t="inlineStr">
        <is>
          <t>Makanan</t>
        </is>
      </c>
      <c r="H1050" s="10" t="inlineStr">
        <is>
          <t>Madu Hutan 250ml</t>
        </is>
      </c>
      <c r="I1050" s="19" t="n">
        <v>4</v>
      </c>
      <c r="J1050" s="20" t="n">
        <v>110000</v>
      </c>
      <c r="K1050" s="20" t="n">
        <v>440000</v>
      </c>
      <c r="L1050" s="10">
        <f>IF($B1050="","",TEXT($B1050,"YYYY-MM"))</f>
        <v/>
      </c>
    </row>
    <row r="1051">
      <c r="A1051" s="10" t="inlineStr">
        <is>
          <t>INV-70683</t>
        </is>
      </c>
      <c r="B1051" s="18" t="n">
        <v>46014</v>
      </c>
      <c r="C1051" s="10" t="inlineStr">
        <is>
          <t>C1186</t>
        </is>
      </c>
      <c r="D1051" s="10" t="inlineStr">
        <is>
          <t>loyal</t>
        </is>
      </c>
      <c r="E1051" s="10" t="inlineStr">
        <is>
          <t>Offline Store</t>
        </is>
      </c>
      <c r="F1051" s="10" t="inlineStr">
        <is>
          <t>Jabodetabek</t>
        </is>
      </c>
      <c r="G1051" s="10" t="inlineStr">
        <is>
          <t>Rumah Tangga</t>
        </is>
      </c>
      <c r="H1051" s="10" t="inlineStr">
        <is>
          <t>Organizer Laci</t>
        </is>
      </c>
      <c r="I1051" s="19" t="n">
        <v>2</v>
      </c>
      <c r="J1051" s="20" t="n">
        <v>78000</v>
      </c>
      <c r="K1051" s="20" t="n">
        <v>156000</v>
      </c>
      <c r="L1051" s="10">
        <f>IF($B1051="","",TEXT($B1051,"YYYY-MM"))</f>
        <v/>
      </c>
    </row>
    <row r="1052">
      <c r="A1052" s="10" t="inlineStr">
        <is>
          <t>INV-71202</t>
        </is>
      </c>
      <c r="B1052" s="18" t="n">
        <v>46014</v>
      </c>
      <c r="C1052" s="10" t="inlineStr">
        <is>
          <t>C1340</t>
        </is>
      </c>
      <c r="D1052" s="10" t="inlineStr">
        <is>
          <t>loyal</t>
        </is>
      </c>
      <c r="E1052" s="10" t="inlineStr">
        <is>
          <t>Shopee</t>
        </is>
      </c>
      <c r="F1052" s="10" t="inlineStr">
        <is>
          <t>Jabodetabek</t>
        </is>
      </c>
      <c r="G1052" s="10" t="inlineStr">
        <is>
          <t>Elektronik</t>
        </is>
      </c>
      <c r="H1052" s="10" t="inlineStr">
        <is>
          <t>Webcam HD</t>
        </is>
      </c>
      <c r="I1052" s="19" t="n">
        <v>1</v>
      </c>
      <c r="J1052" s="20" t="n">
        <v>210000</v>
      </c>
      <c r="K1052" s="20" t="n">
        <v>210000</v>
      </c>
      <c r="L1052" s="10">
        <f>IF($B1052="","",TEXT($B1052,"YYYY-MM"))</f>
        <v/>
      </c>
    </row>
    <row r="1053">
      <c r="A1053" s="10" t="inlineStr">
        <is>
          <t>INV-70442</t>
        </is>
      </c>
      <c r="B1053" s="18" t="n">
        <v>46015</v>
      </c>
      <c r="C1053" s="10" t="inlineStr">
        <is>
          <t>C1125</t>
        </is>
      </c>
      <c r="D1053" s="10" t="inlineStr">
        <is>
          <t>regular</t>
        </is>
      </c>
      <c r="E1053" s="10" t="inlineStr">
        <is>
          <t>TikTok Shop</t>
        </is>
      </c>
      <c r="F1053" s="10" t="inlineStr">
        <is>
          <t>Jabodetabek</t>
        </is>
      </c>
      <c r="G1053" s="10" t="inlineStr">
        <is>
          <t>Elektronik</t>
        </is>
      </c>
      <c r="H1053" s="10" t="inlineStr">
        <is>
          <t>Power Bank 20K</t>
        </is>
      </c>
      <c r="I1053" s="19" t="n">
        <v>1</v>
      </c>
      <c r="J1053" s="20" t="n">
        <v>185000</v>
      </c>
      <c r="K1053" s="20" t="n">
        <v>185000</v>
      </c>
      <c r="L1053" s="10">
        <f>IF($B1053="","",TEXT($B1053,"YYYY-MM"))</f>
        <v/>
      </c>
    </row>
    <row r="1054">
      <c r="A1054" s="10" t="inlineStr">
        <is>
          <t>INV-70271</t>
        </is>
      </c>
      <c r="B1054" s="18" t="n">
        <v>46015</v>
      </c>
      <c r="C1054" s="10" t="inlineStr">
        <is>
          <t>C1076</t>
        </is>
      </c>
      <c r="D1054" s="10" t="inlineStr">
        <is>
          <t>loyal</t>
        </is>
      </c>
      <c r="E1054" s="10" t="inlineStr">
        <is>
          <t>Shopee</t>
        </is>
      </c>
      <c r="F1054" s="10" t="inlineStr">
        <is>
          <t>Sumatera</t>
        </is>
      </c>
      <c r="G1054" s="10" t="inlineStr">
        <is>
          <t>Elektronik</t>
        </is>
      </c>
      <c r="H1054" s="10" t="inlineStr">
        <is>
          <t>Smartwatch</t>
        </is>
      </c>
      <c r="I1054" s="19" t="n">
        <v>4</v>
      </c>
      <c r="J1054" s="20" t="n">
        <v>450000</v>
      </c>
      <c r="K1054" s="20" t="n">
        <v>1800000</v>
      </c>
      <c r="L1054" s="10">
        <f>IF($B1054="","",TEXT($B1054,"YYYY-MM"))</f>
        <v/>
      </c>
    </row>
    <row r="1055">
      <c r="A1055" s="10" t="inlineStr">
        <is>
          <t>INV-70491</t>
        </is>
      </c>
      <c r="B1055" s="18" t="n">
        <v>46015</v>
      </c>
      <c r="C1055" s="10" t="inlineStr">
        <is>
          <t>C1139</t>
        </is>
      </c>
      <c r="D1055" s="10" t="inlineStr">
        <is>
          <t>champion</t>
        </is>
      </c>
      <c r="E1055" s="10" t="inlineStr">
        <is>
          <t>TikTok Shop</t>
        </is>
      </c>
      <c r="F1055" s="10" t="inlineStr">
        <is>
          <t>Jabodetabek</t>
        </is>
      </c>
      <c r="G1055" s="10" t="inlineStr">
        <is>
          <t>Rumah Tangga</t>
        </is>
      </c>
      <c r="H1055" s="10" t="inlineStr">
        <is>
          <t>Organizer Laci</t>
        </is>
      </c>
      <c r="I1055" s="19" t="n">
        <v>3</v>
      </c>
      <c r="J1055" s="20" t="n">
        <v>78000</v>
      </c>
      <c r="K1055" s="20" t="n">
        <v>234000</v>
      </c>
      <c r="L1055" s="10">
        <f>IF($B1055="","",TEXT($B1055,"YYYY-MM"))</f>
        <v/>
      </c>
    </row>
    <row r="1056">
      <c r="A1056" s="10" t="inlineStr">
        <is>
          <t>INV-71445</t>
        </is>
      </c>
      <c r="B1056" s="18" t="n">
        <v>46016</v>
      </c>
      <c r="C1056" s="10" t="inlineStr">
        <is>
          <t>C1399</t>
        </is>
      </c>
      <c r="D1056" s="10" t="inlineStr">
        <is>
          <t>onetime</t>
        </is>
      </c>
      <c r="E1056" s="10" t="inlineStr">
        <is>
          <t>TikTok Shop</t>
        </is>
      </c>
      <c r="F1056" s="10" t="inlineStr">
        <is>
          <t>Jawa Barat</t>
        </is>
      </c>
      <c r="G1056" s="10" t="inlineStr">
        <is>
          <t>Rumah Tangga</t>
        </is>
      </c>
      <c r="H1056" s="10" t="inlineStr">
        <is>
          <t>Set Wadah Kedap</t>
        </is>
      </c>
      <c r="I1056" s="19" t="n">
        <v>1</v>
      </c>
      <c r="J1056" s="20" t="n">
        <v>135000</v>
      </c>
      <c r="K1056" s="20" t="n">
        <v>135000</v>
      </c>
      <c r="L1056" s="10">
        <f>IF($B1056="","",TEXT($B1056,"YYYY-MM"))</f>
        <v/>
      </c>
    </row>
    <row r="1057">
      <c r="A1057" s="10" t="inlineStr">
        <is>
          <t>INV-70354</t>
        </is>
      </c>
      <c r="B1057" s="18" t="n">
        <v>46016</v>
      </c>
      <c r="C1057" s="10" t="inlineStr">
        <is>
          <t>C1096</t>
        </is>
      </c>
      <c r="D1057" s="10" t="inlineStr">
        <is>
          <t>occasional</t>
        </is>
      </c>
      <c r="E1057" s="10" t="inlineStr">
        <is>
          <t>Offline Store</t>
        </is>
      </c>
      <c r="F1057" s="10" t="inlineStr">
        <is>
          <t>Jabodetabek</t>
        </is>
      </c>
      <c r="G1057" s="10" t="inlineStr">
        <is>
          <t>Kecantikan</t>
        </is>
      </c>
      <c r="H1057" s="10" t="inlineStr">
        <is>
          <t>Masker Wajah (5s)</t>
        </is>
      </c>
      <c r="I1057" s="19" t="n">
        <v>2</v>
      </c>
      <c r="J1057" s="20" t="n">
        <v>55000</v>
      </c>
      <c r="K1057" s="20" t="n">
        <v>110000</v>
      </c>
      <c r="L1057" s="10">
        <f>IF($B1057="","",TEXT($B1057,"YYYY-MM"))</f>
        <v/>
      </c>
    </row>
    <row r="1058">
      <c r="A1058" s="10" t="inlineStr">
        <is>
          <t>INV-71557</t>
        </is>
      </c>
      <c r="B1058" s="18" t="n">
        <v>46016</v>
      </c>
      <c r="C1058" s="10" t="inlineStr">
        <is>
          <t>C1428</t>
        </is>
      </c>
      <c r="D1058" s="10" t="inlineStr">
        <is>
          <t>loyal</t>
        </is>
      </c>
      <c r="E1058" s="10" t="inlineStr">
        <is>
          <t>TikTok Shop</t>
        </is>
      </c>
      <c r="F1058" s="10" t="inlineStr">
        <is>
          <t>Jawa Barat</t>
        </is>
      </c>
      <c r="G1058" s="10" t="inlineStr">
        <is>
          <t>Fashion</t>
        </is>
      </c>
      <c r="H1058" s="10" t="inlineStr">
        <is>
          <t>Celana Chino</t>
        </is>
      </c>
      <c r="I1058" s="19" t="n">
        <v>2</v>
      </c>
      <c r="J1058" s="20" t="n">
        <v>195000</v>
      </c>
      <c r="K1058" s="20" t="n">
        <v>390000</v>
      </c>
      <c r="L1058" s="10">
        <f>IF($B1058="","",TEXT($B1058,"YYYY-MM"))</f>
        <v/>
      </c>
    </row>
    <row r="1059">
      <c r="A1059" s="10" t="inlineStr">
        <is>
          <t>INV-70652</t>
        </is>
      </c>
      <c r="B1059" s="18" t="n">
        <v>46016</v>
      </c>
      <c r="C1059" s="10" t="inlineStr">
        <is>
          <t>C1179</t>
        </is>
      </c>
      <c r="D1059" s="10" t="inlineStr">
        <is>
          <t>loyal</t>
        </is>
      </c>
      <c r="E1059" s="10" t="inlineStr">
        <is>
          <t>Shopee</t>
        </is>
      </c>
      <c r="F1059" s="10" t="inlineStr">
        <is>
          <t>Jabodetabek</t>
        </is>
      </c>
      <c r="G1059" s="10" t="inlineStr">
        <is>
          <t>Elektronik</t>
        </is>
      </c>
      <c r="H1059" s="10" t="inlineStr">
        <is>
          <t>Power Bank 20K</t>
        </is>
      </c>
      <c r="I1059" s="19" t="n">
        <v>2</v>
      </c>
      <c r="J1059" s="20" t="n">
        <v>185000</v>
      </c>
      <c r="K1059" s="20" t="n">
        <v>370000</v>
      </c>
      <c r="L1059" s="10">
        <f>IF($B1059="","",TEXT($B1059,"YYYY-MM"))</f>
        <v/>
      </c>
    </row>
    <row r="1060">
      <c r="A1060" s="10" t="inlineStr">
        <is>
          <t>INV-70627</t>
        </is>
      </c>
      <c r="B1060" s="18" t="n">
        <v>46017</v>
      </c>
      <c r="C1060" s="10" t="inlineStr">
        <is>
          <t>C1171</t>
        </is>
      </c>
      <c r="D1060" s="10" t="inlineStr">
        <is>
          <t>regular</t>
        </is>
      </c>
      <c r="E1060" s="10" t="inlineStr">
        <is>
          <t>Offline Store</t>
        </is>
      </c>
      <c r="F1060" s="10" t="inlineStr">
        <is>
          <t>Jawa Tengah</t>
        </is>
      </c>
      <c r="G1060" s="10" t="inlineStr">
        <is>
          <t>Kecantikan</t>
        </is>
      </c>
      <c r="H1060" s="10" t="inlineStr">
        <is>
          <t>Masker Wajah (5s)</t>
        </is>
      </c>
      <c r="I1060" s="19" t="n">
        <v>2</v>
      </c>
      <c r="J1060" s="20" t="n">
        <v>55000</v>
      </c>
      <c r="K1060" s="20" t="n">
        <v>110000</v>
      </c>
      <c r="L1060" s="10">
        <f>IF($B1060="","",TEXT($B1060,"YYYY-MM"))</f>
        <v/>
      </c>
    </row>
    <row r="1061">
      <c r="A1061" s="10" t="inlineStr">
        <is>
          <t>INV-70602</t>
        </is>
      </c>
      <c r="B1061" s="18" t="n">
        <v>46017</v>
      </c>
      <c r="C1061" s="10" t="inlineStr">
        <is>
          <t>C1161</t>
        </is>
      </c>
      <c r="D1061" s="10" t="inlineStr">
        <is>
          <t>champion</t>
        </is>
      </c>
      <c r="E1061" s="10" t="inlineStr">
        <is>
          <t>Tokopedia</t>
        </is>
      </c>
      <c r="F1061" s="10" t="inlineStr">
        <is>
          <t>Jawa Tengah</t>
        </is>
      </c>
      <c r="G1061" s="10" t="inlineStr">
        <is>
          <t>Elektronik</t>
        </is>
      </c>
      <c r="H1061" s="10" t="inlineStr">
        <is>
          <t>Webcam HD</t>
        </is>
      </c>
      <c r="I1061" s="19" t="n">
        <v>2</v>
      </c>
      <c r="J1061" s="20" t="n">
        <v>210000</v>
      </c>
      <c r="K1061" s="20" t="n">
        <v>420000</v>
      </c>
      <c r="L1061" s="10">
        <f>IF($B1061="","",TEXT($B1061,"YYYY-MM"))</f>
        <v/>
      </c>
    </row>
    <row r="1062">
      <c r="A1062" s="10" t="inlineStr">
        <is>
          <t>INV-70989</t>
        </is>
      </c>
      <c r="B1062" s="18" t="n">
        <v>46017</v>
      </c>
      <c r="C1062" s="10" t="inlineStr">
        <is>
          <t>C1285</t>
        </is>
      </c>
      <c r="D1062" s="10" t="inlineStr">
        <is>
          <t>loyal</t>
        </is>
      </c>
      <c r="E1062" s="10" t="inlineStr">
        <is>
          <t>Tokopedia</t>
        </is>
      </c>
      <c r="F1062" s="10" t="inlineStr">
        <is>
          <t>Jabodetabek</t>
        </is>
      </c>
      <c r="G1062" s="10" t="inlineStr">
        <is>
          <t>Makanan</t>
        </is>
      </c>
      <c r="H1062" s="10" t="inlineStr">
        <is>
          <t>Madu Hutan 250ml</t>
        </is>
      </c>
      <c r="I1062" s="19" t="n">
        <v>1</v>
      </c>
      <c r="J1062" s="20" t="n">
        <v>110000</v>
      </c>
      <c r="K1062" s="20" t="n">
        <v>110000</v>
      </c>
      <c r="L1062" s="10">
        <f>IF($B1062="","",TEXT($B1062,"YYYY-MM"))</f>
        <v/>
      </c>
    </row>
    <row r="1063">
      <c r="A1063" s="10" t="inlineStr">
        <is>
          <t>INV-71545</t>
        </is>
      </c>
      <c r="B1063" s="18" t="n">
        <v>46018</v>
      </c>
      <c r="C1063" s="10" t="inlineStr">
        <is>
          <t>C1425</t>
        </is>
      </c>
      <c r="D1063" s="10" t="inlineStr">
        <is>
          <t>loyal</t>
        </is>
      </c>
      <c r="E1063" s="10" t="inlineStr">
        <is>
          <t>Tokopedia</t>
        </is>
      </c>
      <c r="F1063" s="10" t="inlineStr">
        <is>
          <t>Jawa Timur</t>
        </is>
      </c>
      <c r="G1063" s="10" t="inlineStr">
        <is>
          <t>Fashion</t>
        </is>
      </c>
      <c r="H1063" s="10" t="inlineStr">
        <is>
          <t>Kemeja Linen</t>
        </is>
      </c>
      <c r="I1063" s="19" t="n">
        <v>1</v>
      </c>
      <c r="J1063" s="20" t="n">
        <v>185000</v>
      </c>
      <c r="K1063" s="20" t="n">
        <v>185000</v>
      </c>
      <c r="L1063" s="10">
        <f>IF($B1063="","",TEXT($B1063,"YYYY-MM"))</f>
        <v/>
      </c>
    </row>
    <row r="1064">
      <c r="A1064" s="10" t="inlineStr">
        <is>
          <t>INV-70435</t>
        </is>
      </c>
      <c r="B1064" s="18" t="n">
        <v>46018</v>
      </c>
      <c r="C1064" s="10" t="inlineStr">
        <is>
          <t>C1123</t>
        </is>
      </c>
      <c r="D1064" s="10" t="inlineStr">
        <is>
          <t>regular</t>
        </is>
      </c>
      <c r="E1064" s="10" t="inlineStr">
        <is>
          <t>Tokopedia</t>
        </is>
      </c>
      <c r="F1064" s="10" t="inlineStr">
        <is>
          <t>Jawa Barat</t>
        </is>
      </c>
      <c r="G1064" s="10" t="inlineStr">
        <is>
          <t>Rumah Tangga</t>
        </is>
      </c>
      <c r="H1064" s="10" t="inlineStr">
        <is>
          <t>Diffuser Aroma</t>
        </is>
      </c>
      <c r="I1064" s="19" t="n">
        <v>1</v>
      </c>
      <c r="J1064" s="20" t="n">
        <v>195000</v>
      </c>
      <c r="K1064" s="20" t="n">
        <v>195000</v>
      </c>
      <c r="L1064" s="10">
        <f>IF($B1064="","",TEXT($B1064,"YYYY-MM"))</f>
        <v/>
      </c>
    </row>
    <row r="1065">
      <c r="A1065" s="10" t="inlineStr">
        <is>
          <t>INV-70915</t>
        </is>
      </c>
      <c r="B1065" s="18" t="n">
        <v>46018</v>
      </c>
      <c r="C1065" s="10" t="inlineStr">
        <is>
          <t>C1258</t>
        </is>
      </c>
      <c r="D1065" s="10" t="inlineStr">
        <is>
          <t>regular</t>
        </is>
      </c>
      <c r="E1065" s="10" t="inlineStr">
        <is>
          <t>TikTok Shop</t>
        </is>
      </c>
      <c r="F1065" s="10" t="inlineStr">
        <is>
          <t>Sumatera</t>
        </is>
      </c>
      <c r="G1065" s="10" t="inlineStr">
        <is>
          <t>Elektronik</t>
        </is>
      </c>
      <c r="H1065" s="10" t="inlineStr">
        <is>
          <t>Smartwatch</t>
        </is>
      </c>
      <c r="I1065" s="19" t="n">
        <v>1</v>
      </c>
      <c r="J1065" s="20" t="n">
        <v>450000</v>
      </c>
      <c r="K1065" s="20" t="n">
        <v>450000</v>
      </c>
      <c r="L1065" s="10">
        <f>IF($B1065="","",TEXT($B1065,"YYYY-MM"))</f>
        <v/>
      </c>
    </row>
    <row r="1066">
      <c r="A1066" s="10" t="inlineStr">
        <is>
          <t>INV-70211</t>
        </is>
      </c>
      <c r="B1066" s="18" t="n">
        <v>46018</v>
      </c>
      <c r="C1066" s="10" t="inlineStr">
        <is>
          <t>C1060</t>
        </is>
      </c>
      <c r="D1066" s="10" t="inlineStr">
        <is>
          <t>loyal</t>
        </is>
      </c>
      <c r="E1066" s="10" t="inlineStr">
        <is>
          <t>Offline Store</t>
        </is>
      </c>
      <c r="F1066" s="10" t="inlineStr">
        <is>
          <t>Sumatera</t>
        </is>
      </c>
      <c r="G1066" s="10" t="inlineStr">
        <is>
          <t>Rumah Tangga</t>
        </is>
      </c>
      <c r="H1066" s="10" t="inlineStr">
        <is>
          <t>Set Wadah Kedap</t>
        </is>
      </c>
      <c r="I1066" s="19" t="n">
        <v>1</v>
      </c>
      <c r="J1066" s="20" t="n">
        <v>135000</v>
      </c>
      <c r="K1066" s="20" t="n">
        <v>135000</v>
      </c>
      <c r="L1066" s="10">
        <f>IF($B1066="","",TEXT($B1066,"YYYY-MM"))</f>
        <v/>
      </c>
    </row>
    <row r="1067">
      <c r="A1067" s="10" t="inlineStr">
        <is>
          <t>INV-70267</t>
        </is>
      </c>
      <c r="B1067" s="18" t="n">
        <v>46018</v>
      </c>
      <c r="C1067" s="10" t="inlineStr">
        <is>
          <t>C1075</t>
        </is>
      </c>
      <c r="D1067" s="10" t="inlineStr">
        <is>
          <t>occasional</t>
        </is>
      </c>
      <c r="E1067" s="10" t="inlineStr">
        <is>
          <t>Tokopedia</t>
        </is>
      </c>
      <c r="F1067" s="10" t="inlineStr">
        <is>
          <t>Jawa Tengah</t>
        </is>
      </c>
      <c r="G1067" s="10" t="inlineStr">
        <is>
          <t>Rumah Tangga</t>
        </is>
      </c>
      <c r="H1067" s="10" t="inlineStr">
        <is>
          <t>Set Wadah Kedap</t>
        </is>
      </c>
      <c r="I1067" s="19" t="n">
        <v>4</v>
      </c>
      <c r="J1067" s="20" t="n">
        <v>135000</v>
      </c>
      <c r="K1067" s="20" t="n">
        <v>540000</v>
      </c>
      <c r="L1067" s="10">
        <f>IF($B1067="","",TEXT($B1067,"YYYY-MM"))</f>
        <v/>
      </c>
    </row>
    <row r="1068">
      <c r="A1068" s="10" t="inlineStr">
        <is>
          <t>INV-70858</t>
        </is>
      </c>
      <c r="B1068" s="18" t="n">
        <v>46018</v>
      </c>
      <c r="C1068" s="10" t="inlineStr">
        <is>
          <t>C1240</t>
        </is>
      </c>
      <c r="D1068" s="10" t="inlineStr">
        <is>
          <t>loyal</t>
        </is>
      </c>
      <c r="E1068" s="10" t="inlineStr">
        <is>
          <t>Shopee</t>
        </is>
      </c>
      <c r="F1068" s="10" t="inlineStr">
        <is>
          <t>Sumatera</t>
        </is>
      </c>
      <c r="G1068" s="10" t="inlineStr">
        <is>
          <t>Fashion</t>
        </is>
      </c>
      <c r="H1068" s="10" t="inlineStr">
        <is>
          <t>Celana Chino</t>
        </is>
      </c>
      <c r="I1068" s="19" t="n">
        <v>1</v>
      </c>
      <c r="J1068" s="20" t="n">
        <v>195000</v>
      </c>
      <c r="K1068" s="20" t="n">
        <v>195000</v>
      </c>
      <c r="L1068" s="10">
        <f>IF($B1068="","",TEXT($B1068,"YYYY-MM"))</f>
        <v/>
      </c>
    </row>
    <row r="1069">
      <c r="A1069" s="10" t="inlineStr">
        <is>
          <t>INV-70395</t>
        </is>
      </c>
      <c r="B1069" s="18" t="n">
        <v>46018</v>
      </c>
      <c r="C1069" s="10" t="inlineStr">
        <is>
          <t>C1111</t>
        </is>
      </c>
      <c r="D1069" s="10" t="inlineStr">
        <is>
          <t>champion</t>
        </is>
      </c>
      <c r="E1069" s="10" t="inlineStr">
        <is>
          <t>Offline Store</t>
        </is>
      </c>
      <c r="F1069" s="10" t="inlineStr">
        <is>
          <t>Jabodetabek</t>
        </is>
      </c>
      <c r="G1069" s="10" t="inlineStr">
        <is>
          <t>Rumah Tangga</t>
        </is>
      </c>
      <c r="H1069" s="10" t="inlineStr">
        <is>
          <t>Set Wadah Kedap</t>
        </is>
      </c>
      <c r="I1069" s="19" t="n">
        <v>1</v>
      </c>
      <c r="J1069" s="20" t="n">
        <v>135000</v>
      </c>
      <c r="K1069" s="20" t="n">
        <v>135000</v>
      </c>
      <c r="L1069" s="10">
        <f>IF($B1069="","",TEXT($B1069,"YYYY-MM"))</f>
        <v/>
      </c>
    </row>
    <row r="1070">
      <c r="A1070" s="10" t="inlineStr">
        <is>
          <t>INV-70965</t>
        </is>
      </c>
      <c r="B1070" s="18" t="n">
        <v>46024</v>
      </c>
      <c r="C1070" s="10" t="inlineStr">
        <is>
          <t>C1274</t>
        </is>
      </c>
      <c r="D1070" s="10" t="inlineStr">
        <is>
          <t>regular</t>
        </is>
      </c>
      <c r="E1070" s="10" t="inlineStr">
        <is>
          <t>Tokopedia</t>
        </is>
      </c>
      <c r="F1070" s="10" t="inlineStr">
        <is>
          <t>Sumatera</t>
        </is>
      </c>
      <c r="G1070" s="10" t="inlineStr">
        <is>
          <t>Elektronik</t>
        </is>
      </c>
      <c r="H1070" s="10" t="inlineStr">
        <is>
          <t>Smartwatch</t>
        </is>
      </c>
      <c r="I1070" s="19" t="n">
        <v>4</v>
      </c>
      <c r="J1070" s="20" t="n">
        <v>450000</v>
      </c>
      <c r="K1070" s="20" t="n">
        <v>1800000</v>
      </c>
      <c r="L1070" s="10">
        <f>IF($B1070="","",TEXT($B1070,"YYYY-MM"))</f>
        <v/>
      </c>
    </row>
    <row r="1071">
      <c r="A1071" s="10" t="inlineStr">
        <is>
          <t>INV-71072</t>
        </is>
      </c>
      <c r="B1071" s="18" t="n">
        <v>46024</v>
      </c>
      <c r="C1071" s="10" t="inlineStr">
        <is>
          <t>C1302</t>
        </is>
      </c>
      <c r="D1071" s="10" t="inlineStr">
        <is>
          <t>champion</t>
        </is>
      </c>
      <c r="E1071" s="10" t="inlineStr">
        <is>
          <t>TikTok Shop</t>
        </is>
      </c>
      <c r="F1071" s="10" t="inlineStr">
        <is>
          <t>Jabodetabek</t>
        </is>
      </c>
      <c r="G1071" s="10" t="inlineStr">
        <is>
          <t>Elektronik</t>
        </is>
      </c>
      <c r="H1071" s="10" t="inlineStr">
        <is>
          <t>Power Bank 20K</t>
        </is>
      </c>
      <c r="I1071" s="19" t="n">
        <v>2</v>
      </c>
      <c r="J1071" s="20" t="n">
        <v>185000</v>
      </c>
      <c r="K1071" s="20" t="n">
        <v>370000</v>
      </c>
      <c r="L1071" s="10">
        <f>IF($B1071="","",TEXT($B1071,"YYYY-MM"))</f>
        <v/>
      </c>
    </row>
    <row r="1072">
      <c r="A1072" s="10" t="inlineStr">
        <is>
          <t>INV-70302</t>
        </is>
      </c>
      <c r="B1072" s="18" t="n">
        <v>46024</v>
      </c>
      <c r="C1072" s="10" t="inlineStr">
        <is>
          <t>C1085</t>
        </is>
      </c>
      <c r="D1072" s="10" t="inlineStr">
        <is>
          <t>occasional</t>
        </is>
      </c>
      <c r="E1072" s="10" t="inlineStr">
        <is>
          <t>Tokopedia</t>
        </is>
      </c>
      <c r="F1072" s="10" t="inlineStr">
        <is>
          <t>Jabodetabek</t>
        </is>
      </c>
      <c r="G1072" s="10" t="inlineStr">
        <is>
          <t>Rumah Tangga</t>
        </is>
      </c>
      <c r="H1072" s="10" t="inlineStr">
        <is>
          <t>Organizer Laci</t>
        </is>
      </c>
      <c r="I1072" s="19" t="n">
        <v>1</v>
      </c>
      <c r="J1072" s="20" t="n">
        <v>78000</v>
      </c>
      <c r="K1072" s="20" t="n">
        <v>78000</v>
      </c>
      <c r="L1072" s="10">
        <f>IF($B1072="","",TEXT($B1072,"YYYY-MM"))</f>
        <v/>
      </c>
    </row>
    <row r="1073">
      <c r="A1073" s="10" t="inlineStr">
        <is>
          <t>INV-70938</t>
        </is>
      </c>
      <c r="B1073" s="18" t="n">
        <v>46025</v>
      </c>
      <c r="C1073" s="10" t="inlineStr">
        <is>
          <t>C1264</t>
        </is>
      </c>
      <c r="D1073" s="10" t="inlineStr">
        <is>
          <t>occasional</t>
        </is>
      </c>
      <c r="E1073" s="10" t="inlineStr">
        <is>
          <t>Tokopedia</t>
        </is>
      </c>
      <c r="F1073" s="10" t="inlineStr">
        <is>
          <t>Sumatera</t>
        </is>
      </c>
      <c r="G1073" s="10" t="inlineStr">
        <is>
          <t>Fashion</t>
        </is>
      </c>
      <c r="H1073" s="10" t="inlineStr">
        <is>
          <t>Kemeja Linen</t>
        </is>
      </c>
      <c r="I1073" s="19" t="n">
        <v>1</v>
      </c>
      <c r="J1073" s="20" t="n">
        <v>185000</v>
      </c>
      <c r="K1073" s="20" t="n">
        <v>185000</v>
      </c>
      <c r="L1073" s="10">
        <f>IF($B1073="","",TEXT($B1073,"YYYY-MM"))</f>
        <v/>
      </c>
    </row>
    <row r="1074">
      <c r="A1074" s="10" t="inlineStr">
        <is>
          <t>INV-70554</t>
        </is>
      </c>
      <c r="B1074" s="18" t="n">
        <v>46025</v>
      </c>
      <c r="C1074" s="10" t="inlineStr">
        <is>
          <t>C1152</t>
        </is>
      </c>
      <c r="D1074" s="10" t="inlineStr">
        <is>
          <t>regular</t>
        </is>
      </c>
      <c r="E1074" s="10" t="inlineStr">
        <is>
          <t>Shopee</t>
        </is>
      </c>
      <c r="F1074" s="10" t="inlineStr">
        <is>
          <t>Jabodetabek</t>
        </is>
      </c>
      <c r="G1074" s="10" t="inlineStr">
        <is>
          <t>Rumah Tangga</t>
        </is>
      </c>
      <c r="H1074" s="10" t="inlineStr">
        <is>
          <t>Set Wadah Kedap</t>
        </is>
      </c>
      <c r="I1074" s="19" t="n">
        <v>1</v>
      </c>
      <c r="J1074" s="20" t="n">
        <v>135000</v>
      </c>
      <c r="K1074" s="20" t="n">
        <v>135000</v>
      </c>
      <c r="L1074" s="10">
        <f>IF($B1074="","",TEXT($B1074,"YYYY-MM"))</f>
        <v/>
      </c>
    </row>
    <row r="1075">
      <c r="A1075" s="10" t="inlineStr">
        <is>
          <t>INV-70674</t>
        </is>
      </c>
      <c r="B1075" s="18" t="n">
        <v>46025</v>
      </c>
      <c r="C1075" s="10" t="inlineStr">
        <is>
          <t>C1184</t>
        </is>
      </c>
      <c r="D1075" s="10" t="inlineStr">
        <is>
          <t>loyal</t>
        </is>
      </c>
      <c r="E1075" s="10" t="inlineStr">
        <is>
          <t>Tokopedia</t>
        </is>
      </c>
      <c r="F1075" s="10" t="inlineStr">
        <is>
          <t>Jawa Timur</t>
        </is>
      </c>
      <c r="G1075" s="10" t="inlineStr">
        <is>
          <t>Rumah Tangga</t>
        </is>
      </c>
      <c r="H1075" s="10" t="inlineStr">
        <is>
          <t>Karpet Bulu</t>
        </is>
      </c>
      <c r="I1075" s="19" t="n">
        <v>1</v>
      </c>
      <c r="J1075" s="20" t="n">
        <v>240000</v>
      </c>
      <c r="K1075" s="20" t="n">
        <v>240000</v>
      </c>
      <c r="L1075" s="10">
        <f>IF($B1075="","",TEXT($B1075,"YYYY-MM"))</f>
        <v/>
      </c>
    </row>
    <row r="1076">
      <c r="A1076" s="10" t="inlineStr">
        <is>
          <t>INV-70716</t>
        </is>
      </c>
      <c r="B1076" s="18" t="n">
        <v>46026</v>
      </c>
      <c r="C1076" s="10" t="inlineStr">
        <is>
          <t>C1199</t>
        </is>
      </c>
      <c r="D1076" s="10" t="inlineStr">
        <is>
          <t>loyal</t>
        </is>
      </c>
      <c r="E1076" s="10" t="inlineStr">
        <is>
          <t>Shopee</t>
        </is>
      </c>
      <c r="F1076" s="10" t="inlineStr">
        <is>
          <t>Jabodetabek</t>
        </is>
      </c>
      <c r="G1076" s="10" t="inlineStr">
        <is>
          <t>Rumah Tangga</t>
        </is>
      </c>
      <c r="H1076" s="10" t="inlineStr">
        <is>
          <t>Set Wadah Kedap</t>
        </is>
      </c>
      <c r="I1076" s="19" t="n">
        <v>3</v>
      </c>
      <c r="J1076" s="20" t="n">
        <v>135000</v>
      </c>
      <c r="K1076" s="20" t="n">
        <v>405000</v>
      </c>
      <c r="L1076" s="10">
        <f>IF($B1076="","",TEXT($B1076,"YYYY-MM"))</f>
        <v/>
      </c>
    </row>
    <row r="1077">
      <c r="A1077" s="10" t="inlineStr">
        <is>
          <t>INV-71363</t>
        </is>
      </c>
      <c r="B1077" s="18" t="n">
        <v>46028</v>
      </c>
      <c r="C1077" s="10" t="inlineStr">
        <is>
          <t>C1377</t>
        </is>
      </c>
      <c r="D1077" s="10" t="inlineStr">
        <is>
          <t>champion</t>
        </is>
      </c>
      <c r="E1077" s="10" t="inlineStr">
        <is>
          <t>Shopee</t>
        </is>
      </c>
      <c r="F1077" s="10" t="inlineStr">
        <is>
          <t>Sumatera</t>
        </is>
      </c>
      <c r="G1077" s="10" t="inlineStr">
        <is>
          <t>Elektronik</t>
        </is>
      </c>
      <c r="H1077" s="10" t="inlineStr">
        <is>
          <t>Earbuds TWS</t>
        </is>
      </c>
      <c r="I1077" s="19" t="n">
        <v>2</v>
      </c>
      <c r="J1077" s="20" t="n">
        <v>265000</v>
      </c>
      <c r="K1077" s="20" t="n">
        <v>530000</v>
      </c>
      <c r="L1077" s="10">
        <f>IF($B1077="","",TEXT($B1077,"YYYY-MM"))</f>
        <v/>
      </c>
    </row>
    <row r="1078">
      <c r="A1078" s="10" t="inlineStr">
        <is>
          <t>INV-70369</t>
        </is>
      </c>
      <c r="B1078" s="18" t="n">
        <v>46028</v>
      </c>
      <c r="C1078" s="10" t="inlineStr">
        <is>
          <t>C1103</t>
        </is>
      </c>
      <c r="D1078" s="10" t="inlineStr">
        <is>
          <t>occasional</t>
        </is>
      </c>
      <c r="E1078" s="10" t="inlineStr">
        <is>
          <t>TikTok Shop</t>
        </is>
      </c>
      <c r="F1078" s="10" t="inlineStr">
        <is>
          <t>Jawa Timur</t>
        </is>
      </c>
      <c r="G1078" s="10" t="inlineStr">
        <is>
          <t>Rumah Tangga</t>
        </is>
      </c>
      <c r="H1078" s="10" t="inlineStr">
        <is>
          <t>Set Wadah Kedap</t>
        </is>
      </c>
      <c r="I1078" s="19" t="n">
        <v>2</v>
      </c>
      <c r="J1078" s="20" t="n">
        <v>135000</v>
      </c>
      <c r="K1078" s="20" t="n">
        <v>270000</v>
      </c>
      <c r="L1078" s="10">
        <f>IF($B1078="","",TEXT($B1078,"YYYY-MM"))</f>
        <v/>
      </c>
    </row>
    <row r="1079">
      <c r="A1079" s="10" t="inlineStr">
        <is>
          <t>INV-70213</t>
        </is>
      </c>
      <c r="B1079" s="18" t="n">
        <v>46029</v>
      </c>
      <c r="C1079" s="10" t="inlineStr">
        <is>
          <t>C1060</t>
        </is>
      </c>
      <c r="D1079" s="10" t="inlineStr">
        <is>
          <t>loyal</t>
        </is>
      </c>
      <c r="E1079" s="10" t="inlineStr">
        <is>
          <t>Shopee</t>
        </is>
      </c>
      <c r="F1079" s="10" t="inlineStr">
        <is>
          <t>Jawa Barat</t>
        </is>
      </c>
      <c r="G1079" s="10" t="inlineStr">
        <is>
          <t>Rumah Tangga</t>
        </is>
      </c>
      <c r="H1079" s="10" t="inlineStr">
        <is>
          <t>Set Wadah Kedap</t>
        </is>
      </c>
      <c r="I1079" s="19" t="n">
        <v>1</v>
      </c>
      <c r="J1079" s="20" t="n">
        <v>135000</v>
      </c>
      <c r="K1079" s="20" t="n">
        <v>135000</v>
      </c>
      <c r="L1079" s="10">
        <f>IF($B1079="","",TEXT($B1079,"YYYY-MM"))</f>
        <v/>
      </c>
    </row>
    <row r="1080">
      <c r="A1080" s="10" t="inlineStr">
        <is>
          <t>INV-70804</t>
        </is>
      </c>
      <c r="B1080" s="18" t="n">
        <v>46029</v>
      </c>
      <c r="C1080" s="10" t="inlineStr">
        <is>
          <t>C1225</t>
        </is>
      </c>
      <c r="D1080" s="10" t="inlineStr">
        <is>
          <t>regular</t>
        </is>
      </c>
      <c r="E1080" s="10" t="inlineStr">
        <is>
          <t>TikTok Shop</t>
        </is>
      </c>
      <c r="F1080" s="10" t="inlineStr">
        <is>
          <t>Jabodetabek</t>
        </is>
      </c>
      <c r="G1080" s="10" t="inlineStr">
        <is>
          <t>Makanan</t>
        </is>
      </c>
      <c r="H1080" s="10" t="inlineStr">
        <is>
          <t>Granola 500g</t>
        </is>
      </c>
      <c r="I1080" s="19" t="n">
        <v>1</v>
      </c>
      <c r="J1080" s="20" t="n">
        <v>92000</v>
      </c>
      <c r="K1080" s="20" t="n">
        <v>92000</v>
      </c>
      <c r="L1080" s="10">
        <f>IF($B1080="","",TEXT($B1080,"YYYY-MM"))</f>
        <v/>
      </c>
    </row>
    <row r="1081">
      <c r="A1081" s="10" t="inlineStr">
        <is>
          <t>INV-70557</t>
        </is>
      </c>
      <c r="B1081" s="18" t="n">
        <v>46029</v>
      </c>
      <c r="C1081" s="10" t="inlineStr">
        <is>
          <t>C1153</t>
        </is>
      </c>
      <c r="D1081" s="10" t="inlineStr">
        <is>
          <t>loyal</t>
        </is>
      </c>
      <c r="E1081" s="10" t="inlineStr">
        <is>
          <t>TikTok Shop</t>
        </is>
      </c>
      <c r="F1081" s="10" t="inlineStr">
        <is>
          <t>Jawa Timur</t>
        </is>
      </c>
      <c r="G1081" s="10" t="inlineStr">
        <is>
          <t>Makanan</t>
        </is>
      </c>
      <c r="H1081" s="10" t="inlineStr">
        <is>
          <t>Granola 500g</t>
        </is>
      </c>
      <c r="I1081" s="19" t="n">
        <v>3</v>
      </c>
      <c r="J1081" s="20" t="n">
        <v>92000</v>
      </c>
      <c r="K1081" s="20" t="n">
        <v>276000</v>
      </c>
      <c r="L1081" s="10">
        <f>IF($B1081="","",TEXT($B1081,"YYYY-MM"))</f>
        <v/>
      </c>
    </row>
    <row r="1082">
      <c r="A1082" s="10" t="inlineStr">
        <is>
          <t>INV-70237</t>
        </is>
      </c>
      <c r="B1082" s="18" t="n">
        <v>46029</v>
      </c>
      <c r="C1082" s="10" t="inlineStr">
        <is>
          <t>C1067</t>
        </is>
      </c>
      <c r="D1082" s="10" t="inlineStr">
        <is>
          <t>occasional</t>
        </is>
      </c>
      <c r="E1082" s="10" t="inlineStr">
        <is>
          <t>Offline Store</t>
        </is>
      </c>
      <c r="F1082" s="10" t="inlineStr">
        <is>
          <t>Jawa Timur</t>
        </is>
      </c>
      <c r="G1082" s="10" t="inlineStr">
        <is>
          <t>Rumah Tangga</t>
        </is>
      </c>
      <c r="H1082" s="10" t="inlineStr">
        <is>
          <t>Set Wadah Kedap</t>
        </is>
      </c>
      <c r="I1082" s="19" t="n">
        <v>1</v>
      </c>
      <c r="J1082" s="20" t="n">
        <v>135000</v>
      </c>
      <c r="K1082" s="20" t="n">
        <v>135000</v>
      </c>
      <c r="L1082" s="10">
        <f>IF($B1082="","",TEXT($B1082,"YYYY-MM"))</f>
        <v/>
      </c>
    </row>
    <row r="1083">
      <c r="A1083" s="10" t="inlineStr">
        <is>
          <t>INV-70864</t>
        </is>
      </c>
      <c r="B1083" s="18" t="n">
        <v>46029</v>
      </c>
      <c r="C1083" s="10" t="inlineStr">
        <is>
          <t>C1244</t>
        </is>
      </c>
      <c r="D1083" s="10" t="inlineStr">
        <is>
          <t>regular</t>
        </is>
      </c>
      <c r="E1083" s="10" t="inlineStr">
        <is>
          <t>Shopee</t>
        </is>
      </c>
      <c r="F1083" s="10" t="inlineStr">
        <is>
          <t>Jabodetabek</t>
        </is>
      </c>
      <c r="G1083" s="10" t="inlineStr">
        <is>
          <t>Kecantikan</t>
        </is>
      </c>
      <c r="H1083" s="10" t="inlineStr">
        <is>
          <t>Masker Wajah (5s)</t>
        </is>
      </c>
      <c r="I1083" s="19" t="n">
        <v>4</v>
      </c>
      <c r="J1083" s="20" t="n">
        <v>55000</v>
      </c>
      <c r="K1083" s="20" t="n">
        <v>220000</v>
      </c>
      <c r="L1083" s="10">
        <f>IF($B1083="","",TEXT($B1083,"YYYY-MM"))</f>
        <v/>
      </c>
    </row>
    <row r="1084">
      <c r="A1084" s="10" t="inlineStr">
        <is>
          <t>INV-70696</t>
        </is>
      </c>
      <c r="B1084" s="18" t="n">
        <v>46030</v>
      </c>
      <c r="C1084" s="10" t="inlineStr">
        <is>
          <t>C1193</t>
        </is>
      </c>
      <c r="D1084" s="10" t="inlineStr">
        <is>
          <t>loyal</t>
        </is>
      </c>
      <c r="E1084" s="10" t="inlineStr">
        <is>
          <t>TikTok Shop</t>
        </is>
      </c>
      <c r="F1084" s="10" t="inlineStr">
        <is>
          <t>Jawa Barat</t>
        </is>
      </c>
      <c r="G1084" s="10" t="inlineStr">
        <is>
          <t>Makanan</t>
        </is>
      </c>
      <c r="H1084" s="10" t="inlineStr">
        <is>
          <t>Granola 500g</t>
        </is>
      </c>
      <c r="I1084" s="19" t="n">
        <v>3</v>
      </c>
      <c r="J1084" s="20" t="n">
        <v>92000</v>
      </c>
      <c r="K1084" s="20" t="n">
        <v>276000</v>
      </c>
      <c r="L1084" s="10">
        <f>IF($B1084="","",TEXT($B1084,"YYYY-MM"))</f>
        <v/>
      </c>
    </row>
    <row r="1085">
      <c r="A1085" s="10" t="inlineStr">
        <is>
          <t>INV-71451</t>
        </is>
      </c>
      <c r="B1085" s="18" t="n">
        <v>46030</v>
      </c>
      <c r="C1085" s="10" t="inlineStr">
        <is>
          <t>C1401</t>
        </is>
      </c>
      <c r="D1085" s="10" t="inlineStr">
        <is>
          <t>occasional</t>
        </is>
      </c>
      <c r="E1085" s="10" t="inlineStr">
        <is>
          <t>Tokopedia</t>
        </is>
      </c>
      <c r="F1085" s="10" t="inlineStr">
        <is>
          <t>Jabodetabek</t>
        </is>
      </c>
      <c r="G1085" s="10" t="inlineStr">
        <is>
          <t>Elektronik</t>
        </is>
      </c>
      <c r="H1085" s="10" t="inlineStr">
        <is>
          <t>Smartwatch</t>
        </is>
      </c>
      <c r="I1085" s="19" t="n">
        <v>1</v>
      </c>
      <c r="J1085" s="20" t="n">
        <v>450000</v>
      </c>
      <c r="K1085" s="20" t="n">
        <v>450000</v>
      </c>
      <c r="L1085" s="10">
        <f>IF($B1085="","",TEXT($B1085,"YYYY-MM"))</f>
        <v/>
      </c>
    </row>
    <row r="1086">
      <c r="A1086" s="10" t="inlineStr">
        <is>
          <t>INV-71097</t>
        </is>
      </c>
      <c r="B1086" s="18" t="n">
        <v>46031</v>
      </c>
      <c r="C1086" s="10" t="inlineStr">
        <is>
          <t>C1307</t>
        </is>
      </c>
      <c r="D1086" s="10" t="inlineStr">
        <is>
          <t>onetime</t>
        </is>
      </c>
      <c r="E1086" s="10" t="inlineStr">
        <is>
          <t>TikTok Shop</t>
        </is>
      </c>
      <c r="F1086" s="10" t="inlineStr">
        <is>
          <t>Jawa Barat</t>
        </is>
      </c>
      <c r="G1086" s="10" t="inlineStr">
        <is>
          <t>Kecantikan</t>
        </is>
      </c>
      <c r="H1086" s="10" t="inlineStr">
        <is>
          <t>Masker Wajah (5s)</t>
        </is>
      </c>
      <c r="I1086" s="19" t="n">
        <v>3</v>
      </c>
      <c r="J1086" s="20" t="n">
        <v>55000</v>
      </c>
      <c r="K1086" s="20" t="n">
        <v>165000</v>
      </c>
      <c r="L1086" s="10">
        <f>IF($B1086="","",TEXT($B1086,"YYYY-MM"))</f>
        <v/>
      </c>
    </row>
    <row r="1087">
      <c r="A1087" s="10" t="inlineStr">
        <is>
          <t>INV-70275</t>
        </is>
      </c>
      <c r="B1087" s="18" t="n">
        <v>46031</v>
      </c>
      <c r="C1087" s="10" t="inlineStr">
        <is>
          <t>C1077</t>
        </is>
      </c>
      <c r="D1087" s="10" t="inlineStr">
        <is>
          <t>regular</t>
        </is>
      </c>
      <c r="E1087" s="10" t="inlineStr">
        <is>
          <t>Offline Store</t>
        </is>
      </c>
      <c r="F1087" s="10" t="inlineStr">
        <is>
          <t>Sumatera</t>
        </is>
      </c>
      <c r="G1087" s="10" t="inlineStr">
        <is>
          <t>Fashion</t>
        </is>
      </c>
      <c r="H1087" s="10" t="inlineStr">
        <is>
          <t>Kemeja Linen</t>
        </is>
      </c>
      <c r="I1087" s="19" t="n">
        <v>3</v>
      </c>
      <c r="J1087" s="20" t="n">
        <v>185000</v>
      </c>
      <c r="K1087" s="20" t="n">
        <v>555000</v>
      </c>
      <c r="L1087" s="10">
        <f>IF($B1087="","",TEXT($B1087,"YYYY-MM"))</f>
        <v/>
      </c>
    </row>
    <row r="1088">
      <c r="A1088" s="10" t="inlineStr">
        <is>
          <t>INV-70949</t>
        </is>
      </c>
      <c r="B1088" s="18" t="n">
        <v>46031</v>
      </c>
      <c r="C1088" s="10" t="inlineStr">
        <is>
          <t>C1268</t>
        </is>
      </c>
      <c r="D1088" s="10" t="inlineStr">
        <is>
          <t>regular</t>
        </is>
      </c>
      <c r="E1088" s="10" t="inlineStr">
        <is>
          <t>Tokopedia</t>
        </is>
      </c>
      <c r="F1088" s="10" t="inlineStr">
        <is>
          <t>Jabodetabek</t>
        </is>
      </c>
      <c r="G1088" s="10" t="inlineStr">
        <is>
          <t>Rumah Tangga</t>
        </is>
      </c>
      <c r="H1088" s="10" t="inlineStr">
        <is>
          <t>Set Wadah Kedap</t>
        </is>
      </c>
      <c r="I1088" s="19" t="n">
        <v>4</v>
      </c>
      <c r="J1088" s="20" t="n">
        <v>135000</v>
      </c>
      <c r="K1088" s="20" t="n">
        <v>540000</v>
      </c>
      <c r="L1088" s="10">
        <f>IF($B1088="","",TEXT($B1088,"YYYY-MM"))</f>
        <v/>
      </c>
    </row>
    <row r="1089">
      <c r="A1089" s="10" t="inlineStr">
        <is>
          <t>INV-71195</t>
        </is>
      </c>
      <c r="B1089" s="18" t="n">
        <v>46032</v>
      </c>
      <c r="C1089" s="10" t="inlineStr">
        <is>
          <t>C1336</t>
        </is>
      </c>
      <c r="D1089" s="10" t="inlineStr">
        <is>
          <t>regular</t>
        </is>
      </c>
      <c r="E1089" s="10" t="inlineStr">
        <is>
          <t>Shopee</t>
        </is>
      </c>
      <c r="F1089" s="10" t="inlineStr">
        <is>
          <t>Sumatera</t>
        </is>
      </c>
      <c r="G1089" s="10" t="inlineStr">
        <is>
          <t>Rumah Tangga</t>
        </is>
      </c>
      <c r="H1089" s="10" t="inlineStr">
        <is>
          <t>Organizer Laci</t>
        </is>
      </c>
      <c r="I1089" s="19" t="n">
        <v>1</v>
      </c>
      <c r="J1089" s="20" t="n">
        <v>78000</v>
      </c>
      <c r="K1089" s="20" t="n">
        <v>78000</v>
      </c>
      <c r="L1089" s="10">
        <f>IF($B1089="","",TEXT($B1089,"YYYY-MM"))</f>
        <v/>
      </c>
    </row>
    <row r="1090">
      <c r="A1090" s="10" t="inlineStr">
        <is>
          <t>INV-70954</t>
        </is>
      </c>
      <c r="B1090" s="18" t="n">
        <v>46032</v>
      </c>
      <c r="C1090" s="10" t="inlineStr">
        <is>
          <t>C1271</t>
        </is>
      </c>
      <c r="D1090" s="10" t="inlineStr">
        <is>
          <t>regular</t>
        </is>
      </c>
      <c r="E1090" s="10" t="inlineStr">
        <is>
          <t>TikTok Shop</t>
        </is>
      </c>
      <c r="F1090" s="10" t="inlineStr">
        <is>
          <t>Sumatera</t>
        </is>
      </c>
      <c r="G1090" s="10" t="inlineStr">
        <is>
          <t>Rumah Tangga</t>
        </is>
      </c>
      <c r="H1090" s="10" t="inlineStr">
        <is>
          <t>Set Wadah Kedap</t>
        </is>
      </c>
      <c r="I1090" s="19" t="n">
        <v>1</v>
      </c>
      <c r="J1090" s="20" t="n">
        <v>135000</v>
      </c>
      <c r="K1090" s="20" t="n">
        <v>135000</v>
      </c>
      <c r="L1090" s="10">
        <f>IF($B1090="","",TEXT($B1090,"YYYY-MM"))</f>
        <v/>
      </c>
    </row>
    <row r="1091">
      <c r="A1091" s="10" t="inlineStr">
        <is>
          <t>INV-70964</t>
        </is>
      </c>
      <c r="B1091" s="18" t="n">
        <v>46034</v>
      </c>
      <c r="C1091" s="10" t="inlineStr">
        <is>
          <t>C1274</t>
        </is>
      </c>
      <c r="D1091" s="10" t="inlineStr">
        <is>
          <t>regular</t>
        </is>
      </c>
      <c r="E1091" s="10" t="inlineStr">
        <is>
          <t>TikTok Shop</t>
        </is>
      </c>
      <c r="F1091" s="10" t="inlineStr">
        <is>
          <t>Jabodetabek</t>
        </is>
      </c>
      <c r="G1091" s="10" t="inlineStr">
        <is>
          <t>Rumah Tangga</t>
        </is>
      </c>
      <c r="H1091" s="10" t="inlineStr">
        <is>
          <t>Set Wadah Kedap</t>
        </is>
      </c>
      <c r="I1091" s="19" t="n">
        <v>1</v>
      </c>
      <c r="J1091" s="20" t="n">
        <v>135000</v>
      </c>
      <c r="K1091" s="20" t="n">
        <v>135000</v>
      </c>
      <c r="L1091" s="10">
        <f>IF($B1091="","",TEXT($B1091,"YYYY-MM"))</f>
        <v/>
      </c>
    </row>
    <row r="1092">
      <c r="A1092" s="10" t="inlineStr">
        <is>
          <t>INV-70555</t>
        </is>
      </c>
      <c r="B1092" s="18" t="n">
        <v>46034</v>
      </c>
      <c r="C1092" s="10" t="inlineStr">
        <is>
          <t>C1153</t>
        </is>
      </c>
      <c r="D1092" s="10" t="inlineStr">
        <is>
          <t>loyal</t>
        </is>
      </c>
      <c r="E1092" s="10" t="inlineStr">
        <is>
          <t>Offline Store</t>
        </is>
      </c>
      <c r="F1092" s="10" t="inlineStr">
        <is>
          <t>Jawa Timur</t>
        </is>
      </c>
      <c r="G1092" s="10" t="inlineStr">
        <is>
          <t>Elektronik</t>
        </is>
      </c>
      <c r="H1092" s="10" t="inlineStr">
        <is>
          <t>Webcam HD</t>
        </is>
      </c>
      <c r="I1092" s="19" t="n">
        <v>4</v>
      </c>
      <c r="J1092" s="20" t="n">
        <v>210000</v>
      </c>
      <c r="K1092" s="20" t="n">
        <v>840000</v>
      </c>
      <c r="L1092" s="10">
        <f>IF($B1092="","",TEXT($B1092,"YYYY-MM"))</f>
        <v/>
      </c>
    </row>
    <row r="1093">
      <c r="A1093" s="10" t="inlineStr">
        <is>
          <t>INV-70823</t>
        </is>
      </c>
      <c r="B1093" s="18" t="n">
        <v>46035</v>
      </c>
      <c r="C1093" s="10" t="inlineStr">
        <is>
          <t>C1233</t>
        </is>
      </c>
      <c r="D1093" s="10" t="inlineStr">
        <is>
          <t>regular</t>
        </is>
      </c>
      <c r="E1093" s="10" t="inlineStr">
        <is>
          <t>Shopee</t>
        </is>
      </c>
      <c r="F1093" s="10" t="inlineStr">
        <is>
          <t>Jawa Tengah</t>
        </is>
      </c>
      <c r="G1093" s="10" t="inlineStr">
        <is>
          <t>Elektronik</t>
        </is>
      </c>
      <c r="H1093" s="10" t="inlineStr">
        <is>
          <t>Webcam HD</t>
        </is>
      </c>
      <c r="I1093" s="19" t="n">
        <v>1</v>
      </c>
      <c r="J1093" s="20" t="n">
        <v>210000</v>
      </c>
      <c r="K1093" s="20" t="n">
        <v>210000</v>
      </c>
      <c r="L1093" s="10">
        <f>IF($B1093="","",TEXT($B1093,"YYYY-MM"))</f>
        <v/>
      </c>
    </row>
    <row r="1094">
      <c r="A1094" s="10" t="inlineStr">
        <is>
          <t>INV-71479</t>
        </is>
      </c>
      <c r="B1094" s="18" t="n">
        <v>46035</v>
      </c>
      <c r="C1094" s="10" t="inlineStr">
        <is>
          <t>C1409</t>
        </is>
      </c>
      <c r="D1094" s="10" t="inlineStr">
        <is>
          <t>loyal</t>
        </is>
      </c>
      <c r="E1094" s="10" t="inlineStr">
        <is>
          <t>Shopee</t>
        </is>
      </c>
      <c r="F1094" s="10" t="inlineStr">
        <is>
          <t>Jabodetabek</t>
        </is>
      </c>
      <c r="G1094" s="10" t="inlineStr">
        <is>
          <t>Rumah Tangga</t>
        </is>
      </c>
      <c r="H1094" s="10" t="inlineStr">
        <is>
          <t>Set Wadah Kedap</t>
        </is>
      </c>
      <c r="I1094" s="19" t="n">
        <v>1</v>
      </c>
      <c r="J1094" s="20" t="n">
        <v>135000</v>
      </c>
      <c r="K1094" s="20" t="n">
        <v>135000</v>
      </c>
      <c r="L1094" s="10">
        <f>IF($B1094="","",TEXT($B1094,"YYYY-MM"))</f>
        <v/>
      </c>
    </row>
    <row r="1095">
      <c r="A1095" s="10" t="inlineStr">
        <is>
          <t>INV-71260</t>
        </is>
      </c>
      <c r="B1095" s="18" t="n">
        <v>46035</v>
      </c>
      <c r="C1095" s="10" t="inlineStr">
        <is>
          <t>C1357</t>
        </is>
      </c>
      <c r="D1095" s="10" t="inlineStr">
        <is>
          <t>onetime</t>
        </is>
      </c>
      <c r="E1095" s="10" t="inlineStr">
        <is>
          <t>Shopee</t>
        </is>
      </c>
      <c r="F1095" s="10" t="inlineStr">
        <is>
          <t>Jabodetabek</t>
        </is>
      </c>
      <c r="G1095" s="10" t="inlineStr">
        <is>
          <t>Fashion</t>
        </is>
      </c>
      <c r="H1095" s="10" t="inlineStr">
        <is>
          <t>Dress Casual</t>
        </is>
      </c>
      <c r="I1095" s="19" t="n">
        <v>4</v>
      </c>
      <c r="J1095" s="20" t="n">
        <v>225000</v>
      </c>
      <c r="K1095" s="20" t="n">
        <v>900000</v>
      </c>
      <c r="L1095" s="10">
        <f>IF($B1095="","",TEXT($B1095,"YYYY-MM"))</f>
        <v/>
      </c>
    </row>
    <row r="1096">
      <c r="A1096" s="10" t="inlineStr">
        <is>
          <t>INV-71082</t>
        </is>
      </c>
      <c r="B1096" s="18" t="n">
        <v>46035</v>
      </c>
      <c r="C1096" s="10" t="inlineStr">
        <is>
          <t>C1305</t>
        </is>
      </c>
      <c r="D1096" s="10" t="inlineStr">
        <is>
          <t>champion</t>
        </is>
      </c>
      <c r="E1096" s="10" t="inlineStr">
        <is>
          <t>Shopee</t>
        </is>
      </c>
      <c r="F1096" s="10" t="inlineStr">
        <is>
          <t>Sumatera</t>
        </is>
      </c>
      <c r="G1096" s="10" t="inlineStr">
        <is>
          <t>Kecantikan</t>
        </is>
      </c>
      <c r="H1096" s="10" t="inlineStr">
        <is>
          <t>Masker Wajah (5s)</t>
        </is>
      </c>
      <c r="I1096" s="19" t="n">
        <v>4</v>
      </c>
      <c r="J1096" s="20" t="n">
        <v>55000</v>
      </c>
      <c r="K1096" s="20" t="n">
        <v>220000</v>
      </c>
      <c r="L1096" s="10">
        <f>IF($B1096="","",TEXT($B1096,"YYYY-MM"))</f>
        <v/>
      </c>
    </row>
    <row r="1097">
      <c r="A1097" s="10" t="inlineStr">
        <is>
          <t>INV-71434</t>
        </is>
      </c>
      <c r="B1097" s="18" t="n">
        <v>46035</v>
      </c>
      <c r="C1097" s="10" t="inlineStr">
        <is>
          <t>C1394</t>
        </is>
      </c>
      <c r="D1097" s="10" t="inlineStr">
        <is>
          <t>loyal</t>
        </is>
      </c>
      <c r="E1097" s="10" t="inlineStr">
        <is>
          <t>Tokopedia</t>
        </is>
      </c>
      <c r="F1097" s="10" t="inlineStr">
        <is>
          <t>Sumatera</t>
        </is>
      </c>
      <c r="G1097" s="10" t="inlineStr">
        <is>
          <t>Rumah Tangga</t>
        </is>
      </c>
      <c r="H1097" s="10" t="inlineStr">
        <is>
          <t>Set Wadah Kedap</t>
        </is>
      </c>
      <c r="I1097" s="19" t="n">
        <v>1</v>
      </c>
      <c r="J1097" s="20" t="n">
        <v>135000</v>
      </c>
      <c r="K1097" s="20" t="n">
        <v>135000</v>
      </c>
      <c r="L1097" s="10">
        <f>IF($B1097="","",TEXT($B1097,"YYYY-MM"))</f>
        <v/>
      </c>
    </row>
    <row r="1098">
      <c r="A1098" s="10" t="inlineStr">
        <is>
          <t>INV-70597</t>
        </is>
      </c>
      <c r="B1098" s="18" t="n">
        <v>46037</v>
      </c>
      <c r="C1098" s="10" t="inlineStr">
        <is>
          <t>C1161</t>
        </is>
      </c>
      <c r="D1098" s="10" t="inlineStr">
        <is>
          <t>champion</t>
        </is>
      </c>
      <c r="E1098" s="10" t="inlineStr">
        <is>
          <t>Tokopedia</t>
        </is>
      </c>
      <c r="F1098" s="10" t="inlineStr">
        <is>
          <t>Jawa Barat</t>
        </is>
      </c>
      <c r="G1098" s="10" t="inlineStr">
        <is>
          <t>Rumah Tangga</t>
        </is>
      </c>
      <c r="H1098" s="10" t="inlineStr">
        <is>
          <t>Set Wadah Kedap</t>
        </is>
      </c>
      <c r="I1098" s="19" t="n">
        <v>4</v>
      </c>
      <c r="J1098" s="20" t="n">
        <v>135000</v>
      </c>
      <c r="K1098" s="20" t="n">
        <v>540000</v>
      </c>
      <c r="L1098" s="10">
        <f>IF($B1098="","",TEXT($B1098,"YYYY-MM"))</f>
        <v/>
      </c>
    </row>
    <row r="1099">
      <c r="A1099" s="10" t="inlineStr">
        <is>
          <t>INV-71168</t>
        </is>
      </c>
      <c r="B1099" s="18" t="n">
        <v>46037</v>
      </c>
      <c r="C1099" s="10" t="inlineStr">
        <is>
          <t>C1330</t>
        </is>
      </c>
      <c r="D1099" s="10" t="inlineStr">
        <is>
          <t>regular</t>
        </is>
      </c>
      <c r="E1099" s="10" t="inlineStr">
        <is>
          <t>Shopee</t>
        </is>
      </c>
      <c r="F1099" s="10" t="inlineStr">
        <is>
          <t>Sumatera</t>
        </is>
      </c>
      <c r="G1099" s="10" t="inlineStr">
        <is>
          <t>Rumah Tangga</t>
        </is>
      </c>
      <c r="H1099" s="10" t="inlineStr">
        <is>
          <t>Set Wadah Kedap</t>
        </is>
      </c>
      <c r="I1099" s="19" t="n">
        <v>1</v>
      </c>
      <c r="J1099" s="20" t="n">
        <v>135000</v>
      </c>
      <c r="K1099" s="20" t="n">
        <v>135000</v>
      </c>
      <c r="L1099" s="10">
        <f>IF($B1099="","",TEXT($B1099,"YYYY-MM"))</f>
        <v/>
      </c>
    </row>
    <row r="1100">
      <c r="A1100" s="10" t="inlineStr">
        <is>
          <t>INV-71560</t>
        </is>
      </c>
      <c r="B1100" s="18" t="n">
        <v>46037</v>
      </c>
      <c r="C1100" s="10" t="inlineStr">
        <is>
          <t>C1428</t>
        </is>
      </c>
      <c r="D1100" s="10" t="inlineStr">
        <is>
          <t>loyal</t>
        </is>
      </c>
      <c r="E1100" s="10" t="inlineStr">
        <is>
          <t>Shopee</t>
        </is>
      </c>
      <c r="F1100" s="10" t="inlineStr">
        <is>
          <t>Jabodetabek</t>
        </is>
      </c>
      <c r="G1100" s="10" t="inlineStr">
        <is>
          <t>Rumah Tangga</t>
        </is>
      </c>
      <c r="H1100" s="10" t="inlineStr">
        <is>
          <t>Set Wadah Kedap</t>
        </is>
      </c>
      <c r="I1100" s="19" t="n">
        <v>1</v>
      </c>
      <c r="J1100" s="20" t="n">
        <v>135000</v>
      </c>
      <c r="K1100" s="20" t="n">
        <v>135000</v>
      </c>
      <c r="L1100" s="10">
        <f>IF($B1100="","",TEXT($B1100,"YYYY-MM"))</f>
        <v/>
      </c>
    </row>
    <row r="1101">
      <c r="A1101" s="10" t="inlineStr">
        <is>
          <t>INV-71346</t>
        </is>
      </c>
      <c r="B1101" s="18" t="n">
        <v>46037</v>
      </c>
      <c r="C1101" s="10" t="inlineStr">
        <is>
          <t>C1371</t>
        </is>
      </c>
      <c r="D1101" s="10" t="inlineStr">
        <is>
          <t>regular</t>
        </is>
      </c>
      <c r="E1101" s="10" t="inlineStr">
        <is>
          <t>TikTok Shop</t>
        </is>
      </c>
      <c r="F1101" s="10" t="inlineStr">
        <is>
          <t>Jawa Tengah</t>
        </is>
      </c>
      <c r="G1101" s="10" t="inlineStr">
        <is>
          <t>Makanan</t>
        </is>
      </c>
      <c r="H1101" s="10" t="inlineStr">
        <is>
          <t>Keripik Sehat</t>
        </is>
      </c>
      <c r="I1101" s="19" t="n">
        <v>4</v>
      </c>
      <c r="J1101" s="20" t="n">
        <v>45000</v>
      </c>
      <c r="K1101" s="20" t="n">
        <v>180000</v>
      </c>
      <c r="L1101" s="10">
        <f>IF($B1101="","",TEXT($B1101,"YYYY-MM"))</f>
        <v/>
      </c>
    </row>
    <row r="1102">
      <c r="A1102" s="10" t="inlineStr">
        <is>
          <t>INV-70893</t>
        </is>
      </c>
      <c r="B1102" s="18" t="n">
        <v>46038</v>
      </c>
      <c r="C1102" s="10" t="inlineStr">
        <is>
          <t>C1250</t>
        </is>
      </c>
      <c r="D1102" s="10" t="inlineStr">
        <is>
          <t>regular</t>
        </is>
      </c>
      <c r="E1102" s="10" t="inlineStr">
        <is>
          <t>Offline Store</t>
        </is>
      </c>
      <c r="F1102" s="10" t="inlineStr">
        <is>
          <t>Jawa Tengah</t>
        </is>
      </c>
      <c r="G1102" s="10" t="inlineStr">
        <is>
          <t>Kecantikan</t>
        </is>
      </c>
      <c r="H1102" s="10" t="inlineStr">
        <is>
          <t>Masker Wajah (5s)</t>
        </is>
      </c>
      <c r="I1102" s="19" t="n">
        <v>2</v>
      </c>
      <c r="J1102" s="20" t="n">
        <v>55000</v>
      </c>
      <c r="K1102" s="20" t="n">
        <v>110000</v>
      </c>
      <c r="L1102" s="10">
        <f>IF($B1102="","",TEXT($B1102,"YYYY-MM"))</f>
        <v/>
      </c>
    </row>
    <row r="1103">
      <c r="A1103" s="10" t="inlineStr">
        <is>
          <t>INV-70413</t>
        </is>
      </c>
      <c r="B1103" s="18" t="n">
        <v>46038</v>
      </c>
      <c r="C1103" s="10" t="inlineStr">
        <is>
          <t>C1114</t>
        </is>
      </c>
      <c r="D1103" s="10" t="inlineStr">
        <is>
          <t>occasional</t>
        </is>
      </c>
      <c r="E1103" s="10" t="inlineStr">
        <is>
          <t>Tokopedia</t>
        </is>
      </c>
      <c r="F1103" s="10" t="inlineStr">
        <is>
          <t>Jawa Barat</t>
        </is>
      </c>
      <c r="G1103" s="10" t="inlineStr">
        <is>
          <t>Rumah Tangga</t>
        </is>
      </c>
      <c r="H1103" s="10" t="inlineStr">
        <is>
          <t>Set Wadah Kedap</t>
        </is>
      </c>
      <c r="I1103" s="19" t="n">
        <v>2</v>
      </c>
      <c r="J1103" s="20" t="n">
        <v>135000</v>
      </c>
      <c r="K1103" s="20" t="n">
        <v>270000</v>
      </c>
      <c r="L1103" s="10">
        <f>IF($B1103="","",TEXT($B1103,"YYYY-MM"))</f>
        <v/>
      </c>
    </row>
    <row r="1104">
      <c r="A1104" s="10" t="inlineStr">
        <is>
          <t>INV-71416</t>
        </is>
      </c>
      <c r="B1104" s="18" t="n">
        <v>46038</v>
      </c>
      <c r="C1104" s="10" t="inlineStr">
        <is>
          <t>C1392</t>
        </is>
      </c>
      <c r="D1104" s="10" t="inlineStr">
        <is>
          <t>loyal</t>
        </is>
      </c>
      <c r="E1104" s="10" t="inlineStr">
        <is>
          <t>Shopee</t>
        </is>
      </c>
      <c r="F1104" s="10" t="inlineStr">
        <is>
          <t>Jawa Tengah</t>
        </is>
      </c>
      <c r="G1104" s="10" t="inlineStr">
        <is>
          <t>Elektronik</t>
        </is>
      </c>
      <c r="H1104" s="10" t="inlineStr">
        <is>
          <t>Earbuds TWS</t>
        </is>
      </c>
      <c r="I1104" s="19" t="n">
        <v>1</v>
      </c>
      <c r="J1104" s="20" t="n">
        <v>265000</v>
      </c>
      <c r="K1104" s="20" t="n">
        <v>265000</v>
      </c>
      <c r="L1104" s="10">
        <f>IF($B1104="","",TEXT($B1104,"YYYY-MM"))</f>
        <v/>
      </c>
    </row>
    <row r="1105">
      <c r="A1105" s="10" t="inlineStr">
        <is>
          <t>INV-71318</t>
        </is>
      </c>
      <c r="B1105" s="18" t="n">
        <v>46039</v>
      </c>
      <c r="C1105" s="10" t="inlineStr">
        <is>
          <t>C1364</t>
        </is>
      </c>
      <c r="D1105" s="10" t="inlineStr">
        <is>
          <t>champion</t>
        </is>
      </c>
      <c r="E1105" s="10" t="inlineStr">
        <is>
          <t>TikTok Shop</t>
        </is>
      </c>
      <c r="F1105" s="10" t="inlineStr">
        <is>
          <t>Jabodetabek</t>
        </is>
      </c>
      <c r="G1105" s="10" t="inlineStr">
        <is>
          <t>Kecantikan</t>
        </is>
      </c>
      <c r="H1105" s="10" t="inlineStr">
        <is>
          <t>Masker Wajah (5s)</t>
        </is>
      </c>
      <c r="I1105" s="19" t="n">
        <v>3</v>
      </c>
      <c r="J1105" s="20" t="n">
        <v>55000</v>
      </c>
      <c r="K1105" s="20" t="n">
        <v>165000</v>
      </c>
      <c r="L1105" s="10">
        <f>IF($B1105="","",TEXT($B1105,"YYYY-MM"))</f>
        <v/>
      </c>
    </row>
    <row r="1106">
      <c r="A1106" s="10" t="inlineStr">
        <is>
          <t>INV-70123</t>
        </is>
      </c>
      <c r="B1106" s="18" t="n">
        <v>46039</v>
      </c>
      <c r="C1106" s="10" t="inlineStr">
        <is>
          <t>C1038</t>
        </is>
      </c>
      <c r="D1106" s="10" t="inlineStr">
        <is>
          <t>champion</t>
        </is>
      </c>
      <c r="E1106" s="10" t="inlineStr">
        <is>
          <t>Shopee</t>
        </is>
      </c>
      <c r="F1106" s="10" t="inlineStr">
        <is>
          <t>Jabodetabek</t>
        </is>
      </c>
      <c r="G1106" s="10" t="inlineStr">
        <is>
          <t>Fashion</t>
        </is>
      </c>
      <c r="H1106" s="10" t="inlineStr">
        <is>
          <t>Kaos Premium</t>
        </is>
      </c>
      <c r="I1106" s="19" t="n">
        <v>1</v>
      </c>
      <c r="J1106" s="20" t="n">
        <v>95000</v>
      </c>
      <c r="K1106" s="20" t="n">
        <v>95000</v>
      </c>
      <c r="L1106" s="10">
        <f>IF($B1106="","",TEXT($B1106,"YYYY-MM"))</f>
        <v/>
      </c>
    </row>
    <row r="1107">
      <c r="A1107" s="10" t="inlineStr">
        <is>
          <t>INV-70283</t>
        </is>
      </c>
      <c r="B1107" s="18" t="n">
        <v>46039</v>
      </c>
      <c r="C1107" s="10" t="inlineStr">
        <is>
          <t>C1080</t>
        </is>
      </c>
      <c r="D1107" s="10" t="inlineStr">
        <is>
          <t>regular</t>
        </is>
      </c>
      <c r="E1107" s="10" t="inlineStr">
        <is>
          <t>TikTok Shop</t>
        </is>
      </c>
      <c r="F1107" s="10" t="inlineStr">
        <is>
          <t>Sumatera</t>
        </is>
      </c>
      <c r="G1107" s="10" t="inlineStr">
        <is>
          <t>Rumah Tangga</t>
        </is>
      </c>
      <c r="H1107" s="10" t="inlineStr">
        <is>
          <t>Set Wadah Kedap</t>
        </is>
      </c>
      <c r="I1107" s="19" t="n">
        <v>1</v>
      </c>
      <c r="J1107" s="20" t="n">
        <v>135000</v>
      </c>
      <c r="K1107" s="20" t="n">
        <v>135000</v>
      </c>
      <c r="L1107" s="10">
        <f>IF($B1107="","",TEXT($B1107,"YYYY-MM"))</f>
        <v/>
      </c>
    </row>
    <row r="1108">
      <c r="A1108" s="10" t="inlineStr">
        <is>
          <t>INV-70246</t>
        </is>
      </c>
      <c r="B1108" s="18" t="n">
        <v>46040</v>
      </c>
      <c r="C1108" s="10" t="inlineStr">
        <is>
          <t>C1070</t>
        </is>
      </c>
      <c r="D1108" s="10" t="inlineStr">
        <is>
          <t>regular</t>
        </is>
      </c>
      <c r="E1108" s="10" t="inlineStr">
        <is>
          <t>Shopee</t>
        </is>
      </c>
      <c r="F1108" s="10" t="inlineStr">
        <is>
          <t>Jabodetabek</t>
        </is>
      </c>
      <c r="G1108" s="10" t="inlineStr">
        <is>
          <t>Fashion</t>
        </is>
      </c>
      <c r="H1108" s="10" t="inlineStr">
        <is>
          <t>Dress Casual</t>
        </is>
      </c>
      <c r="I1108" s="19" t="n">
        <v>1</v>
      </c>
      <c r="J1108" s="20" t="n">
        <v>225000</v>
      </c>
      <c r="K1108" s="20" t="n">
        <v>225000</v>
      </c>
      <c r="L1108" s="10">
        <f>IF($B1108="","",TEXT($B1108,"YYYY-MM"))</f>
        <v/>
      </c>
    </row>
    <row r="1109">
      <c r="A1109" s="10" t="inlineStr">
        <is>
          <t>INV-70713</t>
        </is>
      </c>
      <c r="B1109" s="18" t="n">
        <v>46041</v>
      </c>
      <c r="C1109" s="10" t="inlineStr">
        <is>
          <t>C1198</t>
        </is>
      </c>
      <c r="D1109" s="10" t="inlineStr">
        <is>
          <t>occasional</t>
        </is>
      </c>
      <c r="E1109" s="10" t="inlineStr">
        <is>
          <t>Offline Store</t>
        </is>
      </c>
      <c r="F1109" s="10" t="inlineStr">
        <is>
          <t>Jabodetabek</t>
        </is>
      </c>
      <c r="G1109" s="10" t="inlineStr">
        <is>
          <t>Elektronik</t>
        </is>
      </c>
      <c r="H1109" s="10" t="inlineStr">
        <is>
          <t>Keyboard Mekanik</t>
        </is>
      </c>
      <c r="I1109" s="19" t="n">
        <v>1</v>
      </c>
      <c r="J1109" s="20" t="n">
        <v>380000</v>
      </c>
      <c r="K1109" s="20" t="n">
        <v>380000</v>
      </c>
      <c r="L1109" s="10">
        <f>IF($B1109="","",TEXT($B1109,"YYYY-MM"))</f>
        <v/>
      </c>
    </row>
    <row r="1110">
      <c r="A1110" s="10" t="inlineStr">
        <is>
          <t>INV-70398</t>
        </is>
      </c>
      <c r="B1110" s="18" t="n">
        <v>46041</v>
      </c>
      <c r="C1110" s="10" t="inlineStr">
        <is>
          <t>C1112</t>
        </is>
      </c>
      <c r="D1110" s="10" t="inlineStr">
        <is>
          <t>loyal</t>
        </is>
      </c>
      <c r="E1110" s="10" t="inlineStr">
        <is>
          <t>Shopee</t>
        </is>
      </c>
      <c r="F1110" s="10" t="inlineStr">
        <is>
          <t>Jawa Tengah</t>
        </is>
      </c>
      <c r="G1110" s="10" t="inlineStr">
        <is>
          <t>Kecantikan</t>
        </is>
      </c>
      <c r="H1110" s="10" t="inlineStr">
        <is>
          <t>Masker Wajah (5s)</t>
        </is>
      </c>
      <c r="I1110" s="19" t="n">
        <v>4</v>
      </c>
      <c r="J1110" s="20" t="n">
        <v>55000</v>
      </c>
      <c r="K1110" s="20" t="n">
        <v>220000</v>
      </c>
      <c r="L1110" s="10">
        <f>IF($B1110="","",TEXT($B1110,"YYYY-MM"))</f>
        <v/>
      </c>
    </row>
    <row r="1111">
      <c r="A1111" s="10" t="inlineStr">
        <is>
          <t>INV-70315</t>
        </is>
      </c>
      <c r="B1111" s="18" t="n">
        <v>46041</v>
      </c>
      <c r="C1111" s="10" t="inlineStr">
        <is>
          <t>C1088</t>
        </is>
      </c>
      <c r="D1111" s="10" t="inlineStr">
        <is>
          <t>champion</t>
        </is>
      </c>
      <c r="E1111" s="10" t="inlineStr">
        <is>
          <t>Tokopedia</t>
        </is>
      </c>
      <c r="F1111" s="10" t="inlineStr">
        <is>
          <t>Jabodetabek</t>
        </is>
      </c>
      <c r="G1111" s="10" t="inlineStr">
        <is>
          <t>Rumah Tangga</t>
        </is>
      </c>
      <c r="H1111" s="10" t="inlineStr">
        <is>
          <t>Organizer Laci</t>
        </is>
      </c>
      <c r="I1111" s="19" t="n">
        <v>3</v>
      </c>
      <c r="J1111" s="20" t="n">
        <v>78000</v>
      </c>
      <c r="K1111" s="20" t="n">
        <v>234000</v>
      </c>
      <c r="L1111" s="10">
        <f>IF($B1111="","",TEXT($B1111,"YYYY-MM"))</f>
        <v/>
      </c>
    </row>
    <row r="1112">
      <c r="A1112" s="10" t="inlineStr">
        <is>
          <t>INV-70360</t>
        </is>
      </c>
      <c r="B1112" s="18" t="n">
        <v>46041</v>
      </c>
      <c r="C1112" s="10" t="inlineStr">
        <is>
          <t>C1099</t>
        </is>
      </c>
      <c r="D1112" s="10" t="inlineStr">
        <is>
          <t>occasional</t>
        </is>
      </c>
      <c r="E1112" s="10" t="inlineStr">
        <is>
          <t>TikTok Shop</t>
        </is>
      </c>
      <c r="F1112" s="10" t="inlineStr">
        <is>
          <t>Jabodetabek</t>
        </is>
      </c>
      <c r="G1112" s="10" t="inlineStr">
        <is>
          <t>Makanan</t>
        </is>
      </c>
      <c r="H1112" s="10" t="inlineStr">
        <is>
          <t>Teh Herbal (15s)</t>
        </is>
      </c>
      <c r="I1112" s="19" t="n">
        <v>3</v>
      </c>
      <c r="J1112" s="20" t="n">
        <v>58000</v>
      </c>
      <c r="K1112" s="20" t="n">
        <v>174000</v>
      </c>
      <c r="L1112" s="10">
        <f>IF($B1112="","",TEXT($B1112,"YYYY-MM"))</f>
        <v/>
      </c>
    </row>
    <row r="1113">
      <c r="A1113" s="10" t="inlineStr">
        <is>
          <t>INV-70643</t>
        </is>
      </c>
      <c r="B1113" s="18" t="n">
        <v>46041</v>
      </c>
      <c r="C1113" s="10" t="inlineStr">
        <is>
          <t>C1174</t>
        </is>
      </c>
      <c r="D1113" s="10" t="inlineStr">
        <is>
          <t>loyal</t>
        </is>
      </c>
      <c r="E1113" s="10" t="inlineStr">
        <is>
          <t>Shopee</t>
        </is>
      </c>
      <c r="F1113" s="10" t="inlineStr">
        <is>
          <t>Jawa Barat</t>
        </is>
      </c>
      <c r="G1113" s="10" t="inlineStr">
        <is>
          <t>Rumah Tangga</t>
        </is>
      </c>
      <c r="H1113" s="10" t="inlineStr">
        <is>
          <t>Set Wadah Kedap</t>
        </is>
      </c>
      <c r="I1113" s="19" t="n">
        <v>1</v>
      </c>
      <c r="J1113" s="20" t="n">
        <v>135000</v>
      </c>
      <c r="K1113" s="20" t="n">
        <v>135000</v>
      </c>
      <c r="L1113" s="10">
        <f>IF($B1113="","",TEXT($B1113,"YYYY-MM"))</f>
        <v/>
      </c>
    </row>
    <row r="1114">
      <c r="A1114" s="10" t="inlineStr">
        <is>
          <t>INV-71321</t>
        </is>
      </c>
      <c r="B1114" s="18" t="n">
        <v>46042</v>
      </c>
      <c r="C1114" s="10" t="inlineStr">
        <is>
          <t>C1364</t>
        </is>
      </c>
      <c r="D1114" s="10" t="inlineStr">
        <is>
          <t>champion</t>
        </is>
      </c>
      <c r="E1114" s="10" t="inlineStr">
        <is>
          <t>TikTok Shop</t>
        </is>
      </c>
      <c r="F1114" s="10" t="inlineStr">
        <is>
          <t>Jabodetabek</t>
        </is>
      </c>
      <c r="G1114" s="10" t="inlineStr">
        <is>
          <t>Rumah Tangga</t>
        </is>
      </c>
      <c r="H1114" s="10" t="inlineStr">
        <is>
          <t>Set Wadah Kedap</t>
        </is>
      </c>
      <c r="I1114" s="19" t="n">
        <v>1</v>
      </c>
      <c r="J1114" s="20" t="n">
        <v>135000</v>
      </c>
      <c r="K1114" s="20" t="n">
        <v>135000</v>
      </c>
      <c r="L1114" s="10">
        <f>IF($B1114="","",TEXT($B1114,"YYYY-MM"))</f>
        <v/>
      </c>
    </row>
    <row r="1115">
      <c r="A1115" s="10" t="inlineStr">
        <is>
          <t>INV-71472</t>
        </is>
      </c>
      <c r="B1115" s="18" t="n">
        <v>46042</v>
      </c>
      <c r="C1115" s="10" t="inlineStr">
        <is>
          <t>C1406</t>
        </is>
      </c>
      <c r="D1115" s="10" t="inlineStr">
        <is>
          <t>regular</t>
        </is>
      </c>
      <c r="E1115" s="10" t="inlineStr">
        <is>
          <t>Shopee</t>
        </is>
      </c>
      <c r="F1115" s="10" t="inlineStr">
        <is>
          <t>Jawa Barat</t>
        </is>
      </c>
      <c r="G1115" s="10" t="inlineStr">
        <is>
          <t>Rumah Tangga</t>
        </is>
      </c>
      <c r="H1115" s="10" t="inlineStr">
        <is>
          <t>Set Wadah Kedap</t>
        </is>
      </c>
      <c r="I1115" s="19" t="n">
        <v>1</v>
      </c>
      <c r="J1115" s="20" t="n">
        <v>135000</v>
      </c>
      <c r="K1115" s="20" t="n">
        <v>135000</v>
      </c>
      <c r="L1115" s="10">
        <f>IF($B1115="","",TEXT($B1115,"YYYY-MM"))</f>
        <v/>
      </c>
    </row>
    <row r="1116">
      <c r="A1116" s="10" t="inlineStr">
        <is>
          <t>INV-71096</t>
        </is>
      </c>
      <c r="B1116" s="18" t="n">
        <v>46042</v>
      </c>
      <c r="C1116" s="10" t="inlineStr">
        <is>
          <t>C1306</t>
        </is>
      </c>
      <c r="D1116" s="10" t="inlineStr">
        <is>
          <t>loyal</t>
        </is>
      </c>
      <c r="E1116" s="10" t="inlineStr">
        <is>
          <t>Tokopedia</t>
        </is>
      </c>
      <c r="F1116" s="10" t="inlineStr">
        <is>
          <t>Jabodetabek</t>
        </is>
      </c>
      <c r="G1116" s="10" t="inlineStr">
        <is>
          <t>Rumah Tangga</t>
        </is>
      </c>
      <c r="H1116" s="10" t="inlineStr">
        <is>
          <t>Set Wadah Kedap</t>
        </is>
      </c>
      <c r="I1116" s="19" t="n">
        <v>1</v>
      </c>
      <c r="J1116" s="20" t="n">
        <v>135000</v>
      </c>
      <c r="K1116" s="20" t="n">
        <v>135000</v>
      </c>
      <c r="L1116" s="10">
        <f>IF($B1116="","",TEXT($B1116,"YYYY-MM"))</f>
        <v/>
      </c>
    </row>
    <row r="1117">
      <c r="A1117" s="10" t="inlineStr">
        <is>
          <t>INV-70155</t>
        </is>
      </c>
      <c r="B1117" s="18" t="n">
        <v>46042</v>
      </c>
      <c r="C1117" s="10" t="inlineStr">
        <is>
          <t>C1046</t>
        </is>
      </c>
      <c r="D1117" s="10" t="inlineStr">
        <is>
          <t>regular</t>
        </is>
      </c>
      <c r="E1117" s="10" t="inlineStr">
        <is>
          <t>Offline Store</t>
        </is>
      </c>
      <c r="F1117" s="10" t="inlineStr">
        <is>
          <t>Jawa Tengah</t>
        </is>
      </c>
      <c r="G1117" s="10" t="inlineStr">
        <is>
          <t>Kecantikan</t>
        </is>
      </c>
      <c r="H1117" s="10" t="inlineStr">
        <is>
          <t>Masker Wajah (5s)</t>
        </is>
      </c>
      <c r="I1117" s="19" t="n">
        <v>2</v>
      </c>
      <c r="J1117" s="20" t="n">
        <v>55000</v>
      </c>
      <c r="K1117" s="20" t="n">
        <v>110000</v>
      </c>
      <c r="L1117" s="10">
        <f>IF($B1117="","",TEXT($B1117,"YYYY-MM"))</f>
        <v/>
      </c>
    </row>
    <row r="1118">
      <c r="A1118" s="10" t="inlineStr">
        <is>
          <t>INV-70357</t>
        </is>
      </c>
      <c r="B1118" s="18" t="n">
        <v>46043</v>
      </c>
      <c r="C1118" s="10" t="inlineStr">
        <is>
          <t>C1097</t>
        </is>
      </c>
      <c r="D1118" s="10" t="inlineStr">
        <is>
          <t>regular</t>
        </is>
      </c>
      <c r="E1118" s="10" t="inlineStr">
        <is>
          <t>Shopee</t>
        </is>
      </c>
      <c r="F1118" s="10" t="inlineStr">
        <is>
          <t>Jabodetabek</t>
        </is>
      </c>
      <c r="G1118" s="10" t="inlineStr">
        <is>
          <t>Rumah Tangga</t>
        </is>
      </c>
      <c r="H1118" s="10" t="inlineStr">
        <is>
          <t>Set Wadah Kedap</t>
        </is>
      </c>
      <c r="I1118" s="19" t="n">
        <v>3</v>
      </c>
      <c r="J1118" s="20" t="n">
        <v>135000</v>
      </c>
      <c r="K1118" s="20" t="n">
        <v>405000</v>
      </c>
      <c r="L1118" s="10">
        <f>IF($B1118="","",TEXT($B1118,"YYYY-MM"))</f>
        <v/>
      </c>
    </row>
    <row r="1119">
      <c r="A1119" s="10" t="inlineStr">
        <is>
          <t>INV-70693</t>
        </is>
      </c>
      <c r="B1119" s="18" t="n">
        <v>46043</v>
      </c>
      <c r="C1119" s="10" t="inlineStr">
        <is>
          <t>C1192</t>
        </is>
      </c>
      <c r="D1119" s="10" t="inlineStr">
        <is>
          <t>regular</t>
        </is>
      </c>
      <c r="E1119" s="10" t="inlineStr">
        <is>
          <t>Shopee</t>
        </is>
      </c>
      <c r="F1119" s="10" t="inlineStr">
        <is>
          <t>Jawa Timur</t>
        </is>
      </c>
      <c r="G1119" s="10" t="inlineStr">
        <is>
          <t>Kecantikan</t>
        </is>
      </c>
      <c r="H1119" s="10" t="inlineStr">
        <is>
          <t>Masker Wajah (5s)</t>
        </is>
      </c>
      <c r="I1119" s="19" t="n">
        <v>1</v>
      </c>
      <c r="J1119" s="20" t="n">
        <v>55000</v>
      </c>
      <c r="K1119" s="20" t="n">
        <v>55000</v>
      </c>
      <c r="L1119" s="10">
        <f>IF($B1119="","",TEXT($B1119,"YYYY-MM"))</f>
        <v/>
      </c>
    </row>
    <row r="1120">
      <c r="A1120" s="10" t="inlineStr">
        <is>
          <t>INV-70297</t>
        </is>
      </c>
      <c r="B1120" s="18" t="n">
        <v>46043</v>
      </c>
      <c r="C1120" s="10" t="inlineStr">
        <is>
          <t>C1084</t>
        </is>
      </c>
      <c r="D1120" s="10" t="inlineStr">
        <is>
          <t>loyal</t>
        </is>
      </c>
      <c r="E1120" s="10" t="inlineStr">
        <is>
          <t>Tokopedia</t>
        </is>
      </c>
      <c r="F1120" s="10" t="inlineStr">
        <is>
          <t>Jabodetabek</t>
        </is>
      </c>
      <c r="G1120" s="10" t="inlineStr">
        <is>
          <t>Elektronik</t>
        </is>
      </c>
      <c r="H1120" s="10" t="inlineStr">
        <is>
          <t>Power Bank 20K</t>
        </is>
      </c>
      <c r="I1120" s="19" t="n">
        <v>3</v>
      </c>
      <c r="J1120" s="20" t="n">
        <v>185000</v>
      </c>
      <c r="K1120" s="20" t="n">
        <v>555000</v>
      </c>
      <c r="L1120" s="10">
        <f>IF($B1120="","",TEXT($B1120,"YYYY-MM"))</f>
        <v/>
      </c>
    </row>
    <row r="1121">
      <c r="A1121" s="10" t="inlineStr">
        <is>
          <t>INV-70723</t>
        </is>
      </c>
      <c r="B1121" s="18" t="n">
        <v>46043</v>
      </c>
      <c r="C1121" s="10" t="inlineStr">
        <is>
          <t>C1201</t>
        </is>
      </c>
      <c r="D1121" s="10" t="inlineStr">
        <is>
          <t>regular</t>
        </is>
      </c>
      <c r="E1121" s="10" t="inlineStr">
        <is>
          <t>Offline Store</t>
        </is>
      </c>
      <c r="F1121" s="10" t="inlineStr">
        <is>
          <t>Jawa Barat</t>
        </is>
      </c>
      <c r="G1121" s="10" t="inlineStr">
        <is>
          <t>Rumah Tangga</t>
        </is>
      </c>
      <c r="H1121" s="10" t="inlineStr">
        <is>
          <t>Set Wadah Kedap</t>
        </is>
      </c>
      <c r="I1121" s="19" t="n">
        <v>4</v>
      </c>
      <c r="J1121" s="20" t="n">
        <v>135000</v>
      </c>
      <c r="K1121" s="20" t="n">
        <v>540000</v>
      </c>
      <c r="L1121" s="10">
        <f>IF($B1121="","",TEXT($B1121,"YYYY-MM"))</f>
        <v/>
      </c>
    </row>
    <row r="1122">
      <c r="A1122" s="10" t="inlineStr">
        <is>
          <t>INV-70070</t>
        </is>
      </c>
      <c r="B1122" s="18" t="n">
        <v>46044</v>
      </c>
      <c r="C1122" s="10" t="inlineStr">
        <is>
          <t>C1021</t>
        </is>
      </c>
      <c r="D1122" s="10" t="inlineStr">
        <is>
          <t>loyal</t>
        </is>
      </c>
      <c r="E1122" s="10" t="inlineStr">
        <is>
          <t>Offline Store</t>
        </is>
      </c>
      <c r="F1122" s="10" t="inlineStr">
        <is>
          <t>Lainnya</t>
        </is>
      </c>
      <c r="G1122" s="10" t="inlineStr">
        <is>
          <t>Rumah Tangga</t>
        </is>
      </c>
      <c r="H1122" s="10" t="inlineStr">
        <is>
          <t>Diffuser Aroma</t>
        </is>
      </c>
      <c r="I1122" s="19" t="n">
        <v>1</v>
      </c>
      <c r="J1122" s="20" t="n">
        <v>195000</v>
      </c>
      <c r="K1122" s="20" t="n">
        <v>195000</v>
      </c>
      <c r="L1122" s="10">
        <f>IF($B1122="","",TEXT($B1122,"YYYY-MM"))</f>
        <v/>
      </c>
    </row>
    <row r="1123">
      <c r="A1123" s="10" t="inlineStr">
        <is>
          <t>INV-71417</t>
        </is>
      </c>
      <c r="B1123" s="18" t="n">
        <v>46044</v>
      </c>
      <c r="C1123" s="10" t="inlineStr">
        <is>
          <t>C1392</t>
        </is>
      </c>
      <c r="D1123" s="10" t="inlineStr">
        <is>
          <t>loyal</t>
        </is>
      </c>
      <c r="E1123" s="10" t="inlineStr">
        <is>
          <t>Offline Store</t>
        </is>
      </c>
      <c r="F1123" s="10" t="inlineStr">
        <is>
          <t>Jawa Tengah</t>
        </is>
      </c>
      <c r="G1123" s="10" t="inlineStr">
        <is>
          <t>Rumah Tangga</t>
        </is>
      </c>
      <c r="H1123" s="10" t="inlineStr">
        <is>
          <t>Organizer Laci</t>
        </is>
      </c>
      <c r="I1123" s="19" t="n">
        <v>2</v>
      </c>
      <c r="J1123" s="20" t="n">
        <v>78000</v>
      </c>
      <c r="K1123" s="20" t="n">
        <v>156000</v>
      </c>
      <c r="L1123" s="10">
        <f>IF($B1123="","",TEXT($B1123,"YYYY-MM"))</f>
        <v/>
      </c>
    </row>
    <row r="1124">
      <c r="A1124" s="10" t="inlineStr">
        <is>
          <t>INV-71116</t>
        </is>
      </c>
      <c r="B1124" s="18" t="n">
        <v>46044</v>
      </c>
      <c r="C1124" s="10" t="inlineStr">
        <is>
          <t>C1312</t>
        </is>
      </c>
      <c r="D1124" s="10" t="inlineStr">
        <is>
          <t>champion</t>
        </is>
      </c>
      <c r="E1124" s="10" t="inlineStr">
        <is>
          <t>Shopee</t>
        </is>
      </c>
      <c r="F1124" s="10" t="inlineStr">
        <is>
          <t>Jabodetabek</t>
        </is>
      </c>
      <c r="G1124" s="10" t="inlineStr">
        <is>
          <t>Rumah Tangga</t>
        </is>
      </c>
      <c r="H1124" s="10" t="inlineStr">
        <is>
          <t>Set Wadah Kedap</t>
        </is>
      </c>
      <c r="I1124" s="19" t="n">
        <v>1</v>
      </c>
      <c r="J1124" s="20" t="n">
        <v>135000</v>
      </c>
      <c r="K1124" s="20" t="n">
        <v>135000</v>
      </c>
      <c r="L1124" s="10">
        <f>IF($B1124="","",TEXT($B1124,"YYYY-MM"))</f>
        <v/>
      </c>
    </row>
    <row r="1125">
      <c r="A1125" s="10" t="inlineStr">
        <is>
          <t>INV-70318</t>
        </is>
      </c>
      <c r="B1125" s="18" t="n">
        <v>46045</v>
      </c>
      <c r="C1125" s="10" t="inlineStr">
        <is>
          <t>C1088</t>
        </is>
      </c>
      <c r="D1125" s="10" t="inlineStr">
        <is>
          <t>champion</t>
        </is>
      </c>
      <c r="E1125" s="10" t="inlineStr">
        <is>
          <t>Shopee</t>
        </is>
      </c>
      <c r="F1125" s="10" t="inlineStr">
        <is>
          <t>Sumatera</t>
        </is>
      </c>
      <c r="G1125" s="10" t="inlineStr">
        <is>
          <t>Rumah Tangga</t>
        </is>
      </c>
      <c r="H1125" s="10" t="inlineStr">
        <is>
          <t>Karpet Bulu</t>
        </is>
      </c>
      <c r="I1125" s="19" t="n">
        <v>3</v>
      </c>
      <c r="J1125" s="20" t="n">
        <v>240000</v>
      </c>
      <c r="K1125" s="20" t="n">
        <v>720000</v>
      </c>
      <c r="L1125" s="10">
        <f>IF($B1125="","",TEXT($B1125,"YYYY-MM"))</f>
        <v/>
      </c>
    </row>
    <row r="1126">
      <c r="A1126" s="10" t="inlineStr">
        <is>
          <t>INV-70844</t>
        </is>
      </c>
      <c r="B1126" s="18" t="n">
        <v>46045</v>
      </c>
      <c r="C1126" s="10" t="inlineStr">
        <is>
          <t>C1237</t>
        </is>
      </c>
      <c r="D1126" s="10" t="inlineStr">
        <is>
          <t>champion</t>
        </is>
      </c>
      <c r="E1126" s="10" t="inlineStr">
        <is>
          <t>Shopee</t>
        </is>
      </c>
      <c r="F1126" s="10" t="inlineStr">
        <is>
          <t>Sumatera</t>
        </is>
      </c>
      <c r="G1126" s="10" t="inlineStr">
        <is>
          <t>Kecantikan</t>
        </is>
      </c>
      <c r="H1126" s="10" t="inlineStr">
        <is>
          <t>Masker Wajah (5s)</t>
        </is>
      </c>
      <c r="I1126" s="19" t="n">
        <v>1</v>
      </c>
      <c r="J1126" s="20" t="n">
        <v>55000</v>
      </c>
      <c r="K1126" s="20" t="n">
        <v>55000</v>
      </c>
      <c r="L1126" s="10">
        <f>IF($B1126="","",TEXT($B1126,"YYYY-MM"))</f>
        <v/>
      </c>
    </row>
    <row r="1127">
      <c r="A1127" s="10" t="inlineStr">
        <is>
          <t>INV-71381</t>
        </is>
      </c>
      <c r="B1127" s="18" t="n">
        <v>46045</v>
      </c>
      <c r="C1127" s="10" t="inlineStr">
        <is>
          <t>C1382</t>
        </is>
      </c>
      <c r="D1127" s="10" t="inlineStr">
        <is>
          <t>regular</t>
        </is>
      </c>
      <c r="E1127" s="10" t="inlineStr">
        <is>
          <t>Tokopedia</t>
        </is>
      </c>
      <c r="F1127" s="10" t="inlineStr">
        <is>
          <t>Jawa Tengah</t>
        </is>
      </c>
      <c r="G1127" s="10" t="inlineStr">
        <is>
          <t>Kecantikan</t>
        </is>
      </c>
      <c r="H1127" s="10" t="inlineStr">
        <is>
          <t>Masker Wajah (5s)</t>
        </is>
      </c>
      <c r="I1127" s="19" t="n">
        <v>3</v>
      </c>
      <c r="J1127" s="20" t="n">
        <v>55000</v>
      </c>
      <c r="K1127" s="20" t="n">
        <v>165000</v>
      </c>
      <c r="L1127" s="10">
        <f>IF($B1127="","",TEXT($B1127,"YYYY-MM"))</f>
        <v/>
      </c>
    </row>
    <row r="1128">
      <c r="A1128" s="10" t="inlineStr">
        <is>
          <t>INV-71009</t>
        </is>
      </c>
      <c r="B1128" s="18" t="n">
        <v>46046</v>
      </c>
      <c r="C1128" s="10" t="inlineStr">
        <is>
          <t>C1287</t>
        </is>
      </c>
      <c r="D1128" s="10" t="inlineStr">
        <is>
          <t>champion</t>
        </is>
      </c>
      <c r="E1128" s="10" t="inlineStr">
        <is>
          <t>Offline Store</t>
        </is>
      </c>
      <c r="F1128" s="10" t="inlineStr">
        <is>
          <t>Jawa Timur</t>
        </is>
      </c>
      <c r="G1128" s="10" t="inlineStr">
        <is>
          <t>Rumah Tangga</t>
        </is>
      </c>
      <c r="H1128" s="10" t="inlineStr">
        <is>
          <t>Organizer Laci</t>
        </is>
      </c>
      <c r="I1128" s="19" t="n">
        <v>1</v>
      </c>
      <c r="J1128" s="20" t="n">
        <v>78000</v>
      </c>
      <c r="K1128" s="20" t="n">
        <v>78000</v>
      </c>
      <c r="L1128" s="10">
        <f>IF($B1128="","",TEXT($B1128,"YYYY-MM"))</f>
        <v/>
      </c>
    </row>
    <row r="1129">
      <c r="A1129" s="10" t="inlineStr">
        <is>
          <t>INV-71325</t>
        </is>
      </c>
      <c r="B1129" s="18" t="n">
        <v>46046</v>
      </c>
      <c r="C1129" s="10" t="inlineStr">
        <is>
          <t>C1365</t>
        </is>
      </c>
      <c r="D1129" s="10" t="inlineStr">
        <is>
          <t>regular</t>
        </is>
      </c>
      <c r="E1129" s="10" t="inlineStr">
        <is>
          <t>TikTok Shop</t>
        </is>
      </c>
      <c r="F1129" s="10" t="inlineStr">
        <is>
          <t>Sumatera</t>
        </is>
      </c>
      <c r="G1129" s="10" t="inlineStr">
        <is>
          <t>Rumah Tangga</t>
        </is>
      </c>
      <c r="H1129" s="10" t="inlineStr">
        <is>
          <t>Organizer Laci</t>
        </is>
      </c>
      <c r="I1129" s="19" t="n">
        <v>1</v>
      </c>
      <c r="J1129" s="20" t="n">
        <v>78000</v>
      </c>
      <c r="K1129" s="20" t="n">
        <v>78000</v>
      </c>
      <c r="L1129" s="10">
        <f>IF($B1129="","",TEXT($B1129,"YYYY-MM"))</f>
        <v/>
      </c>
    </row>
    <row r="1130">
      <c r="A1130" s="10" t="inlineStr">
        <is>
          <t>INV-70192</t>
        </is>
      </c>
      <c r="B1130" s="18" t="n">
        <v>46047</v>
      </c>
      <c r="C1130" s="10" t="inlineStr">
        <is>
          <t>C1054</t>
        </is>
      </c>
      <c r="D1130" s="10" t="inlineStr">
        <is>
          <t>regular</t>
        </is>
      </c>
      <c r="E1130" s="10" t="inlineStr">
        <is>
          <t>TikTok Shop</t>
        </is>
      </c>
      <c r="F1130" s="10" t="inlineStr">
        <is>
          <t>Jawa Timur</t>
        </is>
      </c>
      <c r="G1130" s="10" t="inlineStr">
        <is>
          <t>Fashion</t>
        </is>
      </c>
      <c r="H1130" s="10" t="inlineStr">
        <is>
          <t>Celana Chino</t>
        </is>
      </c>
      <c r="I1130" s="19" t="n">
        <v>1</v>
      </c>
      <c r="J1130" s="20" t="n">
        <v>195000</v>
      </c>
      <c r="K1130" s="20" t="n">
        <v>195000</v>
      </c>
      <c r="L1130" s="10">
        <f>IF($B1130="","",TEXT($B1130,"YYYY-MM"))</f>
        <v/>
      </c>
    </row>
    <row r="1131">
      <c r="A1131" s="10" t="inlineStr">
        <is>
          <t>INV-71209</t>
        </is>
      </c>
      <c r="B1131" s="18" t="n">
        <v>46048</v>
      </c>
      <c r="C1131" s="10" t="inlineStr">
        <is>
          <t>C1344</t>
        </is>
      </c>
      <c r="D1131" s="10" t="inlineStr">
        <is>
          <t>loyal</t>
        </is>
      </c>
      <c r="E1131" s="10" t="inlineStr">
        <is>
          <t>Shopee</t>
        </is>
      </c>
      <c r="F1131" s="10" t="inlineStr">
        <is>
          <t>Jawa Timur</t>
        </is>
      </c>
      <c r="G1131" s="10" t="inlineStr">
        <is>
          <t>Rumah Tangga</t>
        </is>
      </c>
      <c r="H1131" s="10" t="inlineStr">
        <is>
          <t>Set Wadah Kedap</t>
        </is>
      </c>
      <c r="I1131" s="19" t="n">
        <v>2</v>
      </c>
      <c r="J1131" s="20" t="n">
        <v>135000</v>
      </c>
      <c r="K1131" s="20" t="n">
        <v>270000</v>
      </c>
      <c r="L1131" s="10">
        <f>IF($B1131="","",TEXT($B1131,"YYYY-MM"))</f>
        <v/>
      </c>
    </row>
    <row r="1132">
      <c r="A1132" s="10" t="inlineStr">
        <is>
          <t>INV-71297</t>
        </is>
      </c>
      <c r="B1132" s="18" t="n">
        <v>46048</v>
      </c>
      <c r="C1132" s="10" t="inlineStr">
        <is>
          <t>C1359</t>
        </is>
      </c>
      <c r="D1132" s="10" t="inlineStr">
        <is>
          <t>champion</t>
        </is>
      </c>
      <c r="E1132" s="10" t="inlineStr">
        <is>
          <t>TikTok Shop</t>
        </is>
      </c>
      <c r="F1132" s="10" t="inlineStr">
        <is>
          <t>Jawa Barat</t>
        </is>
      </c>
      <c r="G1132" s="10" t="inlineStr">
        <is>
          <t>Elektronik</t>
        </is>
      </c>
      <c r="H1132" s="10" t="inlineStr">
        <is>
          <t>Keyboard Mekanik</t>
        </is>
      </c>
      <c r="I1132" s="19" t="n">
        <v>4</v>
      </c>
      <c r="J1132" s="20" t="n">
        <v>380000</v>
      </c>
      <c r="K1132" s="20" t="n">
        <v>1520000</v>
      </c>
      <c r="L1132" s="10">
        <f>IF($B1132="","",TEXT($B1132,"YYYY-MM"))</f>
        <v/>
      </c>
    </row>
    <row r="1133">
      <c r="A1133" s="10" t="inlineStr">
        <is>
          <t>INV-70295</t>
        </is>
      </c>
      <c r="B1133" s="18" t="n">
        <v>46048</v>
      </c>
      <c r="C1133" s="10" t="inlineStr">
        <is>
          <t>C1084</t>
        </is>
      </c>
      <c r="D1133" s="10" t="inlineStr">
        <is>
          <t>loyal</t>
        </is>
      </c>
      <c r="E1133" s="10" t="inlineStr">
        <is>
          <t>Shopee</t>
        </is>
      </c>
      <c r="F1133" s="10" t="inlineStr">
        <is>
          <t>Jawa Timur</t>
        </is>
      </c>
      <c r="G1133" s="10" t="inlineStr">
        <is>
          <t>Elektronik</t>
        </is>
      </c>
      <c r="H1133" s="10" t="inlineStr">
        <is>
          <t>Earbuds TWS</t>
        </is>
      </c>
      <c r="I1133" s="19" t="n">
        <v>3</v>
      </c>
      <c r="J1133" s="20" t="n">
        <v>265000</v>
      </c>
      <c r="K1133" s="20" t="n">
        <v>795000</v>
      </c>
      <c r="L1133" s="10">
        <f>IF($B1133="","",TEXT($B1133,"YYYY-MM"))</f>
        <v/>
      </c>
    </row>
    <row r="1134">
      <c r="A1134" s="10" t="inlineStr">
        <is>
          <t>INV-70816</t>
        </is>
      </c>
      <c r="B1134" s="18" t="n">
        <v>46048</v>
      </c>
      <c r="C1134" s="10" t="inlineStr">
        <is>
          <t>C1231</t>
        </is>
      </c>
      <c r="D1134" s="10" t="inlineStr">
        <is>
          <t>loyal</t>
        </is>
      </c>
      <c r="E1134" s="10" t="inlineStr">
        <is>
          <t>TikTok Shop</t>
        </is>
      </c>
      <c r="F1134" s="10" t="inlineStr">
        <is>
          <t>Jabodetabek</t>
        </is>
      </c>
      <c r="G1134" s="10" t="inlineStr">
        <is>
          <t>Makanan</t>
        </is>
      </c>
      <c r="H1134" s="10" t="inlineStr">
        <is>
          <t>Teh Herbal (15s)</t>
        </is>
      </c>
      <c r="I1134" s="19" t="n">
        <v>1</v>
      </c>
      <c r="J1134" s="20" t="n">
        <v>58000</v>
      </c>
      <c r="K1134" s="20" t="n">
        <v>58000</v>
      </c>
      <c r="L1134" s="10">
        <f>IF($B1134="","",TEXT($B1134,"YYYY-MM"))</f>
        <v/>
      </c>
    </row>
    <row r="1135">
      <c r="A1135" s="10" t="inlineStr">
        <is>
          <t>INV-70921</t>
        </is>
      </c>
      <c r="B1135" s="18" t="n">
        <v>46048</v>
      </c>
      <c r="C1135" s="10" t="inlineStr">
        <is>
          <t>C1261</t>
        </is>
      </c>
      <c r="D1135" s="10" t="inlineStr">
        <is>
          <t>champion</t>
        </is>
      </c>
      <c r="E1135" s="10" t="inlineStr">
        <is>
          <t>Shopee</t>
        </is>
      </c>
      <c r="F1135" s="10" t="inlineStr">
        <is>
          <t>Sumatera</t>
        </is>
      </c>
      <c r="G1135" s="10" t="inlineStr">
        <is>
          <t>Rumah Tangga</t>
        </is>
      </c>
      <c r="H1135" s="10" t="inlineStr">
        <is>
          <t>Set Wadah Kedap</t>
        </is>
      </c>
      <c r="I1135" s="19" t="n">
        <v>1</v>
      </c>
      <c r="J1135" s="20" t="n">
        <v>135000</v>
      </c>
      <c r="K1135" s="20" t="n">
        <v>135000</v>
      </c>
      <c r="L1135" s="10">
        <f>IF($B1135="","",TEXT($B1135,"YYYY-MM"))</f>
        <v/>
      </c>
    </row>
    <row r="1136">
      <c r="A1136" s="10" t="inlineStr">
        <is>
          <t>INV-71222</t>
        </is>
      </c>
      <c r="B1136" s="18" t="n">
        <v>46049</v>
      </c>
      <c r="C1136" s="10" t="inlineStr">
        <is>
          <t>C1348</t>
        </is>
      </c>
      <c r="D1136" s="10" t="inlineStr">
        <is>
          <t>loyal</t>
        </is>
      </c>
      <c r="E1136" s="10" t="inlineStr">
        <is>
          <t>TikTok Shop</t>
        </is>
      </c>
      <c r="F1136" s="10" t="inlineStr">
        <is>
          <t>Jawa Barat</t>
        </is>
      </c>
      <c r="G1136" s="10" t="inlineStr">
        <is>
          <t>Rumah Tangga</t>
        </is>
      </c>
      <c r="H1136" s="10" t="inlineStr">
        <is>
          <t>Set Wadah Kedap</t>
        </is>
      </c>
      <c r="I1136" s="19" t="n">
        <v>2</v>
      </c>
      <c r="J1136" s="20" t="n">
        <v>135000</v>
      </c>
      <c r="K1136" s="20" t="n">
        <v>270000</v>
      </c>
      <c r="L1136" s="10">
        <f>IF($B1136="","",TEXT($B1136,"YYYY-MM"))</f>
        <v/>
      </c>
    </row>
    <row r="1137">
      <c r="A1137" s="10" t="inlineStr">
        <is>
          <t>INV-71165</t>
        </is>
      </c>
      <c r="B1137" s="18" t="n">
        <v>46054</v>
      </c>
      <c r="C1137" s="10" t="inlineStr">
        <is>
          <t>C1329</t>
        </is>
      </c>
      <c r="D1137" s="10" t="inlineStr">
        <is>
          <t>regular</t>
        </is>
      </c>
      <c r="E1137" s="10" t="inlineStr">
        <is>
          <t>TikTok Shop</t>
        </is>
      </c>
      <c r="F1137" s="10" t="inlineStr">
        <is>
          <t>Jabodetabek</t>
        </is>
      </c>
      <c r="G1137" s="10" t="inlineStr">
        <is>
          <t>Rumah Tangga</t>
        </is>
      </c>
      <c r="H1137" s="10" t="inlineStr">
        <is>
          <t>Set Wadah Kedap</t>
        </is>
      </c>
      <c r="I1137" s="19" t="n">
        <v>2</v>
      </c>
      <c r="J1137" s="20" t="n">
        <v>135000</v>
      </c>
      <c r="K1137" s="20" t="n">
        <v>270000</v>
      </c>
      <c r="L1137" s="10">
        <f>IF($B1137="","",TEXT($B1137,"YYYY-MM"))</f>
        <v/>
      </c>
    </row>
    <row r="1138">
      <c r="A1138" s="10" t="inlineStr">
        <is>
          <t>INV-70809</t>
        </is>
      </c>
      <c r="B1138" s="18" t="n">
        <v>46054</v>
      </c>
      <c r="C1138" s="10" t="inlineStr">
        <is>
          <t>C1227</t>
        </is>
      </c>
      <c r="D1138" s="10" t="inlineStr">
        <is>
          <t>occasional</t>
        </is>
      </c>
      <c r="E1138" s="10" t="inlineStr">
        <is>
          <t>Offline Store</t>
        </is>
      </c>
      <c r="F1138" s="10" t="inlineStr">
        <is>
          <t>Jawa Tengah</t>
        </is>
      </c>
      <c r="G1138" s="10" t="inlineStr">
        <is>
          <t>Makanan</t>
        </is>
      </c>
      <c r="H1138" s="10" t="inlineStr">
        <is>
          <t>Granola 500g</t>
        </is>
      </c>
      <c r="I1138" s="19" t="n">
        <v>2</v>
      </c>
      <c r="J1138" s="20" t="n">
        <v>92000</v>
      </c>
      <c r="K1138" s="20" t="n">
        <v>184000</v>
      </c>
      <c r="L1138" s="10">
        <f>IF($B1138="","",TEXT($B1138,"YYYY-MM"))</f>
        <v/>
      </c>
    </row>
    <row r="1139">
      <c r="A1139" s="10" t="inlineStr">
        <is>
          <t>INV-70920</t>
        </is>
      </c>
      <c r="B1139" s="18" t="n">
        <v>46055</v>
      </c>
      <c r="C1139" s="10" t="inlineStr">
        <is>
          <t>C1260</t>
        </is>
      </c>
      <c r="D1139" s="10" t="inlineStr">
        <is>
          <t>occasional</t>
        </is>
      </c>
      <c r="E1139" s="10" t="inlineStr">
        <is>
          <t>TikTok Shop</t>
        </is>
      </c>
      <c r="F1139" s="10" t="inlineStr">
        <is>
          <t>Jabodetabek</t>
        </is>
      </c>
      <c r="G1139" s="10" t="inlineStr">
        <is>
          <t>Rumah Tangga</t>
        </is>
      </c>
      <c r="H1139" s="10" t="inlineStr">
        <is>
          <t>Set Wadah Kedap</t>
        </is>
      </c>
      <c r="I1139" s="19" t="n">
        <v>1</v>
      </c>
      <c r="J1139" s="20" t="n">
        <v>135000</v>
      </c>
      <c r="K1139" s="20" t="n">
        <v>135000</v>
      </c>
      <c r="L1139" s="10">
        <f>IF($B1139="","",TEXT($B1139,"YYYY-MM"))</f>
        <v/>
      </c>
    </row>
    <row r="1140">
      <c r="A1140" s="10" t="inlineStr">
        <is>
          <t>INV-70659</t>
        </is>
      </c>
      <c r="B1140" s="18" t="n">
        <v>46055</v>
      </c>
      <c r="C1140" s="10" t="inlineStr">
        <is>
          <t>C1179</t>
        </is>
      </c>
      <c r="D1140" s="10" t="inlineStr">
        <is>
          <t>loyal</t>
        </is>
      </c>
      <c r="E1140" s="10" t="inlineStr">
        <is>
          <t>TikTok Shop</t>
        </is>
      </c>
      <c r="F1140" s="10" t="inlineStr">
        <is>
          <t>Jabodetabek</t>
        </is>
      </c>
      <c r="G1140" s="10" t="inlineStr">
        <is>
          <t>Rumah Tangga</t>
        </is>
      </c>
      <c r="H1140" s="10" t="inlineStr">
        <is>
          <t>Set Wadah Kedap</t>
        </is>
      </c>
      <c r="I1140" s="19" t="n">
        <v>1</v>
      </c>
      <c r="J1140" s="20" t="n">
        <v>135000</v>
      </c>
      <c r="K1140" s="20" t="n">
        <v>135000</v>
      </c>
      <c r="L1140" s="10">
        <f>IF($B1140="","",TEXT($B1140,"YYYY-MM"))</f>
        <v/>
      </c>
    </row>
    <row r="1141">
      <c r="A1141" s="10" t="inlineStr">
        <is>
          <t>INV-70127</t>
        </is>
      </c>
      <c r="B1141" s="18" t="n">
        <v>46055</v>
      </c>
      <c r="C1141" s="10" t="inlineStr">
        <is>
          <t>C1038</t>
        </is>
      </c>
      <c r="D1141" s="10" t="inlineStr">
        <is>
          <t>champion</t>
        </is>
      </c>
      <c r="E1141" s="10" t="inlineStr">
        <is>
          <t>TikTok Shop</t>
        </is>
      </c>
      <c r="F1141" s="10" t="inlineStr">
        <is>
          <t>Jawa Tengah</t>
        </is>
      </c>
      <c r="G1141" s="10" t="inlineStr">
        <is>
          <t>Elektronik</t>
        </is>
      </c>
      <c r="H1141" s="10" t="inlineStr">
        <is>
          <t>Power Bank 20K</t>
        </is>
      </c>
      <c r="I1141" s="19" t="n">
        <v>3</v>
      </c>
      <c r="J1141" s="20" t="n">
        <v>185000</v>
      </c>
      <c r="K1141" s="20" t="n">
        <v>555000</v>
      </c>
      <c r="L1141" s="10">
        <f>IF($B1141="","",TEXT($B1141,"YYYY-MM"))</f>
        <v/>
      </c>
    </row>
    <row r="1142">
      <c r="A1142" s="10" t="inlineStr">
        <is>
          <t>INV-70303</t>
        </is>
      </c>
      <c r="B1142" s="18" t="n">
        <v>46056</v>
      </c>
      <c r="C1142" s="10" t="inlineStr">
        <is>
          <t>C1085</t>
        </is>
      </c>
      <c r="D1142" s="10" t="inlineStr">
        <is>
          <t>occasional</t>
        </is>
      </c>
      <c r="E1142" s="10" t="inlineStr">
        <is>
          <t>TikTok Shop</t>
        </is>
      </c>
      <c r="F1142" s="10" t="inlineStr">
        <is>
          <t>Jabodetabek</t>
        </is>
      </c>
      <c r="G1142" s="10" t="inlineStr">
        <is>
          <t>Kecantikan</t>
        </is>
      </c>
      <c r="H1142" s="10" t="inlineStr">
        <is>
          <t>Masker Wajah (5s)</t>
        </is>
      </c>
      <c r="I1142" s="19" t="n">
        <v>2</v>
      </c>
      <c r="J1142" s="20" t="n">
        <v>55000</v>
      </c>
      <c r="K1142" s="20" t="n">
        <v>110000</v>
      </c>
      <c r="L1142" s="10">
        <f>IF($B1142="","",TEXT($B1142,"YYYY-MM"))</f>
        <v/>
      </c>
    </row>
    <row r="1143">
      <c r="A1143" s="10" t="inlineStr">
        <is>
          <t>INV-70195</t>
        </is>
      </c>
      <c r="B1143" s="18" t="n">
        <v>46056</v>
      </c>
      <c r="C1143" s="10" t="inlineStr">
        <is>
          <t>C1056</t>
        </is>
      </c>
      <c r="D1143" s="10" t="inlineStr">
        <is>
          <t>loyal</t>
        </is>
      </c>
      <c r="E1143" s="10" t="inlineStr">
        <is>
          <t>Shopee</t>
        </is>
      </c>
      <c r="F1143" s="10" t="inlineStr">
        <is>
          <t>Jawa Barat</t>
        </is>
      </c>
      <c r="G1143" s="10" t="inlineStr">
        <is>
          <t>Elektronik</t>
        </is>
      </c>
      <c r="H1143" s="10" t="inlineStr">
        <is>
          <t>Webcam HD</t>
        </is>
      </c>
      <c r="I1143" s="19" t="n">
        <v>3</v>
      </c>
      <c r="J1143" s="20" t="n">
        <v>210000</v>
      </c>
      <c r="K1143" s="20" t="n">
        <v>630000</v>
      </c>
      <c r="L1143" s="10">
        <f>IF($B1143="","",TEXT($B1143,"YYYY-MM"))</f>
        <v/>
      </c>
    </row>
    <row r="1144">
      <c r="A1144" s="10" t="inlineStr">
        <is>
          <t>INV-71215</t>
        </is>
      </c>
      <c r="B1144" s="18" t="n">
        <v>46056</v>
      </c>
      <c r="C1144" s="10" t="inlineStr">
        <is>
          <t>C1346</t>
        </is>
      </c>
      <c r="D1144" s="10" t="inlineStr">
        <is>
          <t>regular</t>
        </is>
      </c>
      <c r="E1144" s="10" t="inlineStr">
        <is>
          <t>Shopee</t>
        </is>
      </c>
      <c r="F1144" s="10" t="inlineStr">
        <is>
          <t>Jabodetabek</t>
        </is>
      </c>
      <c r="G1144" s="10" t="inlineStr">
        <is>
          <t>Elektronik</t>
        </is>
      </c>
      <c r="H1144" s="10" t="inlineStr">
        <is>
          <t>Earbuds TWS</t>
        </is>
      </c>
      <c r="I1144" s="19" t="n">
        <v>2</v>
      </c>
      <c r="J1144" s="20" t="n">
        <v>265000</v>
      </c>
      <c r="K1144" s="20" t="n">
        <v>530000</v>
      </c>
      <c r="L1144" s="10">
        <f>IF($B1144="","",TEXT($B1144,"YYYY-MM"))</f>
        <v/>
      </c>
    </row>
    <row r="1145">
      <c r="A1145" s="10" t="inlineStr">
        <is>
          <t>INV-70216</t>
        </is>
      </c>
      <c r="B1145" s="18" t="n">
        <v>46057</v>
      </c>
      <c r="C1145" s="10" t="inlineStr">
        <is>
          <t>C1060</t>
        </is>
      </c>
      <c r="D1145" s="10" t="inlineStr">
        <is>
          <t>loyal</t>
        </is>
      </c>
      <c r="E1145" s="10" t="inlineStr">
        <is>
          <t>TikTok Shop</t>
        </is>
      </c>
      <c r="F1145" s="10" t="inlineStr">
        <is>
          <t>Jawa Barat</t>
        </is>
      </c>
      <c r="G1145" s="10" t="inlineStr">
        <is>
          <t>Rumah Tangga</t>
        </is>
      </c>
      <c r="H1145" s="10" t="inlineStr">
        <is>
          <t>Set Wadah Kedap</t>
        </is>
      </c>
      <c r="I1145" s="19" t="n">
        <v>3</v>
      </c>
      <c r="J1145" s="20" t="n">
        <v>135000</v>
      </c>
      <c r="K1145" s="20" t="n">
        <v>405000</v>
      </c>
      <c r="L1145" s="10">
        <f>IF($B1145="","",TEXT($B1145,"YYYY-MM"))</f>
        <v/>
      </c>
    </row>
    <row r="1146">
      <c r="A1146" s="10" t="inlineStr">
        <is>
          <t>INV-70743</t>
        </is>
      </c>
      <c r="B1146" s="18" t="n">
        <v>46058</v>
      </c>
      <c r="C1146" s="10" t="inlineStr">
        <is>
          <t>C1207</t>
        </is>
      </c>
      <c r="D1146" s="10" t="inlineStr">
        <is>
          <t>loyal</t>
        </is>
      </c>
      <c r="E1146" s="10" t="inlineStr">
        <is>
          <t>TikTok Shop</t>
        </is>
      </c>
      <c r="F1146" s="10" t="inlineStr">
        <is>
          <t>Sumatera</t>
        </is>
      </c>
      <c r="G1146" s="10" t="inlineStr">
        <is>
          <t>Makanan</t>
        </is>
      </c>
      <c r="H1146" s="10" t="inlineStr">
        <is>
          <t>Madu Hutan 250ml</t>
        </is>
      </c>
      <c r="I1146" s="19" t="n">
        <v>2</v>
      </c>
      <c r="J1146" s="20" t="n">
        <v>110000</v>
      </c>
      <c r="K1146" s="20" t="n">
        <v>220000</v>
      </c>
      <c r="L1146" s="10">
        <f>IF($B1146="","",TEXT($B1146,"YYYY-MM"))</f>
        <v/>
      </c>
    </row>
    <row r="1147">
      <c r="A1147" s="10" t="inlineStr">
        <is>
          <t>INV-70340</t>
        </is>
      </c>
      <c r="B1147" s="18" t="n">
        <v>46058</v>
      </c>
      <c r="C1147" s="10" t="inlineStr">
        <is>
          <t>C1093</t>
        </is>
      </c>
      <c r="D1147" s="10" t="inlineStr">
        <is>
          <t>champion</t>
        </is>
      </c>
      <c r="E1147" s="10" t="inlineStr">
        <is>
          <t>Tokopedia</t>
        </is>
      </c>
      <c r="F1147" s="10" t="inlineStr">
        <is>
          <t>Jabodetabek</t>
        </is>
      </c>
      <c r="G1147" s="10" t="inlineStr">
        <is>
          <t>Elektronik</t>
        </is>
      </c>
      <c r="H1147" s="10" t="inlineStr">
        <is>
          <t>Keyboard Mekanik</t>
        </is>
      </c>
      <c r="I1147" s="19" t="n">
        <v>2</v>
      </c>
      <c r="J1147" s="20" t="n">
        <v>380000</v>
      </c>
      <c r="K1147" s="20" t="n">
        <v>760000</v>
      </c>
      <c r="L1147" s="10">
        <f>IF($B1147="","",TEXT($B1147,"YYYY-MM"))</f>
        <v/>
      </c>
    </row>
    <row r="1148">
      <c r="A1148" s="10" t="inlineStr">
        <is>
          <t>INV-70657</t>
        </is>
      </c>
      <c r="B1148" s="18" t="n">
        <v>46058</v>
      </c>
      <c r="C1148" s="10" t="inlineStr">
        <is>
          <t>C1179</t>
        </is>
      </c>
      <c r="D1148" s="10" t="inlineStr">
        <is>
          <t>loyal</t>
        </is>
      </c>
      <c r="E1148" s="10" t="inlineStr">
        <is>
          <t>TikTok Shop</t>
        </is>
      </c>
      <c r="F1148" s="10" t="inlineStr">
        <is>
          <t>Sumatera</t>
        </is>
      </c>
      <c r="G1148" s="10" t="inlineStr">
        <is>
          <t>Kecantikan</t>
        </is>
      </c>
      <c r="H1148" s="10" t="inlineStr">
        <is>
          <t>Masker Wajah (5s)</t>
        </is>
      </c>
      <c r="I1148" s="19" t="n">
        <v>2</v>
      </c>
      <c r="J1148" s="20" t="n">
        <v>55000</v>
      </c>
      <c r="K1148" s="20" t="n">
        <v>110000</v>
      </c>
      <c r="L1148" s="10">
        <f>IF($B1148="","",TEXT($B1148,"YYYY-MM"))</f>
        <v/>
      </c>
    </row>
    <row r="1149">
      <c r="A1149" s="10" t="inlineStr">
        <is>
          <t>INV-71199</t>
        </is>
      </c>
      <c r="B1149" s="18" t="n">
        <v>46059</v>
      </c>
      <c r="C1149" s="10" t="inlineStr">
        <is>
          <t>C1338</t>
        </is>
      </c>
      <c r="D1149" s="10" t="inlineStr">
        <is>
          <t>regular</t>
        </is>
      </c>
      <c r="E1149" s="10" t="inlineStr">
        <is>
          <t>Shopee</t>
        </is>
      </c>
      <c r="F1149" s="10" t="inlineStr">
        <is>
          <t>Jawa Barat</t>
        </is>
      </c>
      <c r="G1149" s="10" t="inlineStr">
        <is>
          <t>Rumah Tangga</t>
        </is>
      </c>
      <c r="H1149" s="10" t="inlineStr">
        <is>
          <t>Set Wadah Kedap</t>
        </is>
      </c>
      <c r="I1149" s="19" t="n">
        <v>1</v>
      </c>
      <c r="J1149" s="20" t="n">
        <v>135000</v>
      </c>
      <c r="K1149" s="20" t="n">
        <v>135000</v>
      </c>
      <c r="L1149" s="10">
        <f>IF($B1149="","",TEXT($B1149,"YYYY-MM"))</f>
        <v/>
      </c>
    </row>
    <row r="1150">
      <c r="A1150" s="10" t="inlineStr">
        <is>
          <t>INV-70785</t>
        </is>
      </c>
      <c r="B1150" s="18" t="n">
        <v>46061</v>
      </c>
      <c r="C1150" s="10" t="inlineStr">
        <is>
          <t>C1221</t>
        </is>
      </c>
      <c r="D1150" s="10" t="inlineStr">
        <is>
          <t>regular</t>
        </is>
      </c>
      <c r="E1150" s="10" t="inlineStr">
        <is>
          <t>Tokopedia</t>
        </is>
      </c>
      <c r="F1150" s="10" t="inlineStr">
        <is>
          <t>Jabodetabek</t>
        </is>
      </c>
      <c r="G1150" s="10" t="inlineStr">
        <is>
          <t>Kecantikan</t>
        </is>
      </c>
      <c r="H1150" s="10" t="inlineStr">
        <is>
          <t>Masker Wajah (5s)</t>
        </is>
      </c>
      <c r="I1150" s="19" t="n">
        <v>1</v>
      </c>
      <c r="J1150" s="20" t="n">
        <v>55000</v>
      </c>
      <c r="K1150" s="20" t="n">
        <v>55000</v>
      </c>
      <c r="L1150" s="10">
        <f>IF($B1150="","",TEXT($B1150,"YYYY-MM"))</f>
        <v/>
      </c>
    </row>
    <row r="1151">
      <c r="A1151" s="10" t="inlineStr">
        <is>
          <t>INV-71359</t>
        </is>
      </c>
      <c r="B1151" s="18" t="n">
        <v>46061</v>
      </c>
      <c r="C1151" s="10" t="inlineStr">
        <is>
          <t>C1376</t>
        </is>
      </c>
      <c r="D1151" s="10" t="inlineStr">
        <is>
          <t>onetime</t>
        </is>
      </c>
      <c r="E1151" s="10" t="inlineStr">
        <is>
          <t>Offline Store</t>
        </is>
      </c>
      <c r="F1151" s="10" t="inlineStr">
        <is>
          <t>Jabodetabek</t>
        </is>
      </c>
      <c r="G1151" s="10" t="inlineStr">
        <is>
          <t>Elektronik</t>
        </is>
      </c>
      <c r="H1151" s="10" t="inlineStr">
        <is>
          <t>Power Bank 20K</t>
        </is>
      </c>
      <c r="I1151" s="19" t="n">
        <v>2</v>
      </c>
      <c r="J1151" s="20" t="n">
        <v>185000</v>
      </c>
      <c r="K1151" s="20" t="n">
        <v>370000</v>
      </c>
      <c r="L1151" s="10">
        <f>IF($B1151="","",TEXT($B1151,"YYYY-MM"))</f>
        <v/>
      </c>
    </row>
    <row r="1152">
      <c r="A1152" s="10" t="inlineStr">
        <is>
          <t>INV-70073</t>
        </is>
      </c>
      <c r="B1152" s="18" t="n">
        <v>46061</v>
      </c>
      <c r="C1152" s="10" t="inlineStr">
        <is>
          <t>C1022</t>
        </is>
      </c>
      <c r="D1152" s="10" t="inlineStr">
        <is>
          <t>onetime</t>
        </is>
      </c>
      <c r="E1152" s="10" t="inlineStr">
        <is>
          <t>TikTok Shop</t>
        </is>
      </c>
      <c r="F1152" s="10" t="inlineStr">
        <is>
          <t>Jawa Tengah</t>
        </is>
      </c>
      <c r="G1152" s="10" t="inlineStr">
        <is>
          <t>Kecantikan</t>
        </is>
      </c>
      <c r="H1152" s="10" t="inlineStr">
        <is>
          <t>Masker Wajah (5s)</t>
        </is>
      </c>
      <c r="I1152" s="19" t="n">
        <v>2</v>
      </c>
      <c r="J1152" s="20" t="n">
        <v>55000</v>
      </c>
      <c r="K1152" s="20" t="n">
        <v>110000</v>
      </c>
      <c r="L1152" s="10">
        <f>IF($B1152="","",TEXT($B1152,"YYYY-MM"))</f>
        <v/>
      </c>
    </row>
    <row r="1153">
      <c r="A1153" s="10" t="inlineStr">
        <is>
          <t>INV-70806</t>
        </is>
      </c>
      <c r="B1153" s="18" t="n">
        <v>46061</v>
      </c>
      <c r="C1153" s="10" t="inlineStr">
        <is>
          <t>C1226</t>
        </is>
      </c>
      <c r="D1153" s="10" t="inlineStr">
        <is>
          <t>occasional</t>
        </is>
      </c>
      <c r="E1153" s="10" t="inlineStr">
        <is>
          <t>Tokopedia</t>
        </is>
      </c>
      <c r="F1153" s="10" t="inlineStr">
        <is>
          <t>Jabodetabek</t>
        </is>
      </c>
      <c r="G1153" s="10" t="inlineStr">
        <is>
          <t>Rumah Tangga</t>
        </is>
      </c>
      <c r="H1153" s="10" t="inlineStr">
        <is>
          <t>Set Wadah Kedap</t>
        </is>
      </c>
      <c r="I1153" s="19" t="n">
        <v>4</v>
      </c>
      <c r="J1153" s="20" t="n">
        <v>135000</v>
      </c>
      <c r="K1153" s="20" t="n">
        <v>540000</v>
      </c>
      <c r="L1153" s="10">
        <f>IF($B1153="","",TEXT($B1153,"YYYY-MM"))</f>
        <v/>
      </c>
    </row>
    <row r="1154">
      <c r="A1154" s="10" t="inlineStr">
        <is>
          <t>INV-71055</t>
        </is>
      </c>
      <c r="B1154" s="18" t="n">
        <v>46062</v>
      </c>
      <c r="C1154" s="10" t="inlineStr">
        <is>
          <t>C1299</t>
        </is>
      </c>
      <c r="D1154" s="10" t="inlineStr">
        <is>
          <t>occasional</t>
        </is>
      </c>
      <c r="E1154" s="10" t="inlineStr">
        <is>
          <t>Tokopedia</t>
        </is>
      </c>
      <c r="F1154" s="10" t="inlineStr">
        <is>
          <t>Sumatera</t>
        </is>
      </c>
      <c r="G1154" s="10" t="inlineStr">
        <is>
          <t>Kecantikan</t>
        </is>
      </c>
      <c r="H1154" s="10" t="inlineStr">
        <is>
          <t>Masker Wajah (5s)</t>
        </is>
      </c>
      <c r="I1154" s="19" t="n">
        <v>2</v>
      </c>
      <c r="J1154" s="20" t="n">
        <v>55000</v>
      </c>
      <c r="K1154" s="20" t="n">
        <v>110000</v>
      </c>
      <c r="L1154" s="10">
        <f>IF($B1154="","",TEXT($B1154,"YYYY-MM"))</f>
        <v/>
      </c>
    </row>
    <row r="1155">
      <c r="A1155" s="10" t="inlineStr">
        <is>
          <t>INV-70418</t>
        </is>
      </c>
      <c r="B1155" s="18" t="n">
        <v>46062</v>
      </c>
      <c r="C1155" s="10" t="inlineStr">
        <is>
          <t>C1117</t>
        </is>
      </c>
      <c r="D1155" s="10" t="inlineStr">
        <is>
          <t>regular</t>
        </is>
      </c>
      <c r="E1155" s="10" t="inlineStr">
        <is>
          <t>Shopee</t>
        </is>
      </c>
      <c r="F1155" s="10" t="inlineStr">
        <is>
          <t>Jabodetabek</t>
        </is>
      </c>
      <c r="G1155" s="10" t="inlineStr">
        <is>
          <t>Rumah Tangga</t>
        </is>
      </c>
      <c r="H1155" s="10" t="inlineStr">
        <is>
          <t>Set Wadah Kedap</t>
        </is>
      </c>
      <c r="I1155" s="19" t="n">
        <v>1</v>
      </c>
      <c r="J1155" s="20" t="n">
        <v>135000</v>
      </c>
      <c r="K1155" s="20" t="n">
        <v>135000</v>
      </c>
      <c r="L1155" s="10">
        <f>IF($B1155="","",TEXT($B1155,"YYYY-MM"))</f>
        <v/>
      </c>
    </row>
    <row r="1156">
      <c r="A1156" s="10" t="inlineStr">
        <is>
          <t>INV-70118</t>
        </is>
      </c>
      <c r="B1156" s="18" t="n">
        <v>46063</v>
      </c>
      <c r="C1156" s="10" t="inlineStr">
        <is>
          <t>C1038</t>
        </is>
      </c>
      <c r="D1156" s="10" t="inlineStr">
        <is>
          <t>champion</t>
        </is>
      </c>
      <c r="E1156" s="10" t="inlineStr">
        <is>
          <t>TikTok Shop</t>
        </is>
      </c>
      <c r="F1156" s="10" t="inlineStr">
        <is>
          <t>Jawa Tengah</t>
        </is>
      </c>
      <c r="G1156" s="10" t="inlineStr">
        <is>
          <t>Rumah Tangga</t>
        </is>
      </c>
      <c r="H1156" s="10" t="inlineStr">
        <is>
          <t>Set Wadah Kedap</t>
        </is>
      </c>
      <c r="I1156" s="19" t="n">
        <v>1</v>
      </c>
      <c r="J1156" s="20" t="n">
        <v>135000</v>
      </c>
      <c r="K1156" s="20" t="n">
        <v>135000</v>
      </c>
      <c r="L1156" s="10">
        <f>IF($B1156="","",TEXT($B1156,"YYYY-MM"))</f>
        <v/>
      </c>
    </row>
    <row r="1157">
      <c r="A1157" s="10" t="inlineStr">
        <is>
          <t>INV-71411</t>
        </is>
      </c>
      <c r="B1157" s="18" t="n">
        <v>46063</v>
      </c>
      <c r="C1157" s="10" t="inlineStr">
        <is>
          <t>C1389</t>
        </is>
      </c>
      <c r="D1157" s="10" t="inlineStr">
        <is>
          <t>regular</t>
        </is>
      </c>
      <c r="E1157" s="10" t="inlineStr">
        <is>
          <t>Tokopedia</t>
        </is>
      </c>
      <c r="F1157" s="10" t="inlineStr">
        <is>
          <t>Jawa Timur</t>
        </is>
      </c>
      <c r="G1157" s="10" t="inlineStr">
        <is>
          <t>Elektronik</t>
        </is>
      </c>
      <c r="H1157" s="10" t="inlineStr">
        <is>
          <t>Power Bank 20K</t>
        </is>
      </c>
      <c r="I1157" s="19" t="n">
        <v>1</v>
      </c>
      <c r="J1157" s="20" t="n">
        <v>185000</v>
      </c>
      <c r="K1157" s="20" t="n">
        <v>185000</v>
      </c>
      <c r="L1157" s="10">
        <f>IF($B1157="","",TEXT($B1157,"YYYY-MM"))</f>
        <v/>
      </c>
    </row>
    <row r="1158">
      <c r="A1158" s="10" t="inlineStr">
        <is>
          <t>INV-71507</t>
        </is>
      </c>
      <c r="B1158" s="18" t="n">
        <v>46063</v>
      </c>
      <c r="C1158" s="10" t="inlineStr">
        <is>
          <t>C1413</t>
        </is>
      </c>
      <c r="D1158" s="10" t="inlineStr">
        <is>
          <t>occasional</t>
        </is>
      </c>
      <c r="E1158" s="10" t="inlineStr">
        <is>
          <t>Shopee</t>
        </is>
      </c>
      <c r="F1158" s="10" t="inlineStr">
        <is>
          <t>Jabodetabek</t>
        </is>
      </c>
      <c r="G1158" s="10" t="inlineStr">
        <is>
          <t>Kecantikan</t>
        </is>
      </c>
      <c r="H1158" s="10" t="inlineStr">
        <is>
          <t>Masker Wajah (5s)</t>
        </is>
      </c>
      <c r="I1158" s="19" t="n">
        <v>2</v>
      </c>
      <c r="J1158" s="20" t="n">
        <v>55000</v>
      </c>
      <c r="K1158" s="20" t="n">
        <v>110000</v>
      </c>
      <c r="L1158" s="10">
        <f>IF($B1158="","",TEXT($B1158,"YYYY-MM"))</f>
        <v/>
      </c>
    </row>
    <row r="1159">
      <c r="A1159" s="10" t="inlineStr">
        <is>
          <t>INV-71382</t>
        </is>
      </c>
      <c r="B1159" s="18" t="n">
        <v>46063</v>
      </c>
      <c r="C1159" s="10" t="inlineStr">
        <is>
          <t>C1383</t>
        </is>
      </c>
      <c r="D1159" s="10" t="inlineStr">
        <is>
          <t>loyal</t>
        </is>
      </c>
      <c r="E1159" s="10" t="inlineStr">
        <is>
          <t>TikTok Shop</t>
        </is>
      </c>
      <c r="F1159" s="10" t="inlineStr">
        <is>
          <t>Jabodetabek</t>
        </is>
      </c>
      <c r="G1159" s="10" t="inlineStr">
        <is>
          <t>Rumah Tangga</t>
        </is>
      </c>
      <c r="H1159" s="10" t="inlineStr">
        <is>
          <t>Organizer Laci</t>
        </is>
      </c>
      <c r="I1159" s="19" t="n">
        <v>4</v>
      </c>
      <c r="J1159" s="20" t="n">
        <v>78000</v>
      </c>
      <c r="K1159" s="20" t="n">
        <v>312000</v>
      </c>
      <c r="L1159" s="10">
        <f>IF($B1159="","",TEXT($B1159,"YYYY-MM"))</f>
        <v/>
      </c>
    </row>
    <row r="1160">
      <c r="A1160" s="10" t="inlineStr">
        <is>
          <t>INV-70645</t>
        </is>
      </c>
      <c r="B1160" s="18" t="n">
        <v>46064</v>
      </c>
      <c r="C1160" s="10" t="inlineStr">
        <is>
          <t>C1175</t>
        </is>
      </c>
      <c r="D1160" s="10" t="inlineStr">
        <is>
          <t>occasional</t>
        </is>
      </c>
      <c r="E1160" s="10" t="inlineStr">
        <is>
          <t>TikTok Shop</t>
        </is>
      </c>
      <c r="F1160" s="10" t="inlineStr">
        <is>
          <t>Jawa Timur</t>
        </is>
      </c>
      <c r="G1160" s="10" t="inlineStr">
        <is>
          <t>Elektronik</t>
        </is>
      </c>
      <c r="H1160" s="10" t="inlineStr">
        <is>
          <t>Power Bank 20K</t>
        </is>
      </c>
      <c r="I1160" s="19" t="n">
        <v>3</v>
      </c>
      <c r="J1160" s="20" t="n">
        <v>185000</v>
      </c>
      <c r="K1160" s="20" t="n">
        <v>555000</v>
      </c>
      <c r="L1160" s="10">
        <f>IF($B1160="","",TEXT($B1160,"YYYY-MM"))</f>
        <v/>
      </c>
    </row>
    <row r="1161">
      <c r="A1161" s="10" t="inlineStr">
        <is>
          <t>INV-71499</t>
        </is>
      </c>
      <c r="B1161" s="18" t="n">
        <v>46064</v>
      </c>
      <c r="C1161" s="10" t="inlineStr">
        <is>
          <t>C1412</t>
        </is>
      </c>
      <c r="D1161" s="10" t="inlineStr">
        <is>
          <t>champion</t>
        </is>
      </c>
      <c r="E1161" s="10" t="inlineStr">
        <is>
          <t>Shopee</t>
        </is>
      </c>
      <c r="F1161" s="10" t="inlineStr">
        <is>
          <t>Jawa Barat</t>
        </is>
      </c>
      <c r="G1161" s="10" t="inlineStr">
        <is>
          <t>Rumah Tangga</t>
        </is>
      </c>
      <c r="H1161" s="10" t="inlineStr">
        <is>
          <t>Set Wadah Kedap</t>
        </is>
      </c>
      <c r="I1161" s="19" t="n">
        <v>1</v>
      </c>
      <c r="J1161" s="20" t="n">
        <v>135000</v>
      </c>
      <c r="K1161" s="20" t="n">
        <v>135000</v>
      </c>
      <c r="L1161" s="10">
        <f>IF($B1161="","",TEXT($B1161,"YYYY-MM"))</f>
        <v/>
      </c>
    </row>
    <row r="1162">
      <c r="A1162" s="10" t="inlineStr">
        <is>
          <t>INV-70007</t>
        </is>
      </c>
      <c r="B1162" s="18" t="n">
        <v>46065</v>
      </c>
      <c r="C1162" s="10" t="inlineStr">
        <is>
          <t>C1002</t>
        </is>
      </c>
      <c r="D1162" s="10" t="inlineStr">
        <is>
          <t>loyal</t>
        </is>
      </c>
      <c r="E1162" s="10" t="inlineStr">
        <is>
          <t>TikTok Shop</t>
        </is>
      </c>
      <c r="F1162" s="10" t="inlineStr">
        <is>
          <t>Lainnya</t>
        </is>
      </c>
      <c r="G1162" s="10" t="inlineStr">
        <is>
          <t>Rumah Tangga</t>
        </is>
      </c>
      <c r="H1162" s="10" t="inlineStr">
        <is>
          <t>Organizer Laci</t>
        </is>
      </c>
      <c r="I1162" s="19" t="n">
        <v>2</v>
      </c>
      <c r="J1162" s="20" t="n">
        <v>78000</v>
      </c>
      <c r="K1162" s="20" t="n">
        <v>156000</v>
      </c>
      <c r="L1162" s="10">
        <f>IF($B1162="","",TEXT($B1162,"YYYY-MM"))</f>
        <v/>
      </c>
    </row>
    <row r="1163">
      <c r="A1163" s="10" t="inlineStr">
        <is>
          <t>INV-70188</t>
        </is>
      </c>
      <c r="B1163" s="18" t="n">
        <v>46066</v>
      </c>
      <c r="C1163" s="10" t="inlineStr">
        <is>
          <t>C1053</t>
        </is>
      </c>
      <c r="D1163" s="10" t="inlineStr">
        <is>
          <t>regular</t>
        </is>
      </c>
      <c r="E1163" s="10" t="inlineStr">
        <is>
          <t>Tokopedia</t>
        </is>
      </c>
      <c r="F1163" s="10" t="inlineStr">
        <is>
          <t>Jawa Barat</t>
        </is>
      </c>
      <c r="G1163" s="10" t="inlineStr">
        <is>
          <t>Makanan</t>
        </is>
      </c>
      <c r="H1163" s="10" t="inlineStr">
        <is>
          <t>Teh Herbal (15s)</t>
        </is>
      </c>
      <c r="I1163" s="19" t="n">
        <v>1</v>
      </c>
      <c r="J1163" s="20" t="n">
        <v>58000</v>
      </c>
      <c r="K1163" s="20" t="n">
        <v>58000</v>
      </c>
      <c r="L1163" s="10">
        <f>IF($B1163="","",TEXT($B1163,"YYYY-MM"))</f>
        <v/>
      </c>
    </row>
    <row r="1164">
      <c r="A1164" s="10" t="inlineStr">
        <is>
          <t>INV-71365</t>
        </is>
      </c>
      <c r="B1164" s="18" t="n">
        <v>46067</v>
      </c>
      <c r="C1164" s="10" t="inlineStr">
        <is>
          <t>C1377</t>
        </is>
      </c>
      <c r="D1164" s="10" t="inlineStr">
        <is>
          <t>champion</t>
        </is>
      </c>
      <c r="E1164" s="10" t="inlineStr">
        <is>
          <t>Shopee</t>
        </is>
      </c>
      <c r="F1164" s="10" t="inlineStr">
        <is>
          <t>Jawa Barat</t>
        </is>
      </c>
      <c r="G1164" s="10" t="inlineStr">
        <is>
          <t>Rumah Tangga</t>
        </is>
      </c>
      <c r="H1164" s="10" t="inlineStr">
        <is>
          <t>Organizer Laci</t>
        </is>
      </c>
      <c r="I1164" s="19" t="n">
        <v>2</v>
      </c>
      <c r="J1164" s="20" t="n">
        <v>78000</v>
      </c>
      <c r="K1164" s="20" t="n">
        <v>156000</v>
      </c>
      <c r="L1164" s="10">
        <f>IF($B1164="","",TEXT($B1164,"YYYY-MM"))</f>
        <v/>
      </c>
    </row>
    <row r="1165">
      <c r="A1165" s="10" t="inlineStr">
        <is>
          <t>INV-70420</t>
        </is>
      </c>
      <c r="B1165" s="18" t="n">
        <v>46067</v>
      </c>
      <c r="C1165" s="10" t="inlineStr">
        <is>
          <t>C1117</t>
        </is>
      </c>
      <c r="D1165" s="10" t="inlineStr">
        <is>
          <t>regular</t>
        </is>
      </c>
      <c r="E1165" s="10" t="inlineStr">
        <is>
          <t>TikTok Shop</t>
        </is>
      </c>
      <c r="F1165" s="10" t="inlineStr">
        <is>
          <t>Jawa Timur</t>
        </is>
      </c>
      <c r="G1165" s="10" t="inlineStr">
        <is>
          <t>Elektronik</t>
        </is>
      </c>
      <c r="H1165" s="10" t="inlineStr">
        <is>
          <t>Webcam HD</t>
        </is>
      </c>
      <c r="I1165" s="19" t="n">
        <v>2</v>
      </c>
      <c r="J1165" s="20" t="n">
        <v>210000</v>
      </c>
      <c r="K1165" s="20" t="n">
        <v>420000</v>
      </c>
      <c r="L1165" s="10">
        <f>IF($B1165="","",TEXT($B1165,"YYYY-MM"))</f>
        <v/>
      </c>
    </row>
    <row r="1166">
      <c r="A1166" s="10" t="inlineStr">
        <is>
          <t>INV-71135</t>
        </is>
      </c>
      <c r="B1166" s="18" t="n">
        <v>46068</v>
      </c>
      <c r="C1166" s="10" t="inlineStr">
        <is>
          <t>C1322</t>
        </is>
      </c>
      <c r="D1166" s="10" t="inlineStr">
        <is>
          <t>loyal</t>
        </is>
      </c>
      <c r="E1166" s="10" t="inlineStr">
        <is>
          <t>Shopee</t>
        </is>
      </c>
      <c r="F1166" s="10" t="inlineStr">
        <is>
          <t>Jabodetabek</t>
        </is>
      </c>
      <c r="G1166" s="10" t="inlineStr">
        <is>
          <t>Rumah Tangga</t>
        </is>
      </c>
      <c r="H1166" s="10" t="inlineStr">
        <is>
          <t>Set Wadah Kedap</t>
        </is>
      </c>
      <c r="I1166" s="19" t="n">
        <v>4</v>
      </c>
      <c r="J1166" s="20" t="n">
        <v>135000</v>
      </c>
      <c r="K1166" s="20" t="n">
        <v>540000</v>
      </c>
      <c r="L1166" s="10">
        <f>IF($B1166="","",TEXT($B1166,"YYYY-MM"))</f>
        <v/>
      </c>
    </row>
    <row r="1167">
      <c r="A1167" s="10" t="inlineStr">
        <is>
          <t>INV-70802</t>
        </is>
      </c>
      <c r="B1167" s="18" t="n">
        <v>46068</v>
      </c>
      <c r="C1167" s="10" t="inlineStr">
        <is>
          <t>C1225</t>
        </is>
      </c>
      <c r="D1167" s="10" t="inlineStr">
        <is>
          <t>regular</t>
        </is>
      </c>
      <c r="E1167" s="10" t="inlineStr">
        <is>
          <t>Tokopedia</t>
        </is>
      </c>
      <c r="F1167" s="10" t="inlineStr">
        <is>
          <t>Jabodetabek</t>
        </is>
      </c>
      <c r="G1167" s="10" t="inlineStr">
        <is>
          <t>Elektronik</t>
        </is>
      </c>
      <c r="H1167" s="10" t="inlineStr">
        <is>
          <t>Smartwatch</t>
        </is>
      </c>
      <c r="I1167" s="19" t="n">
        <v>1</v>
      </c>
      <c r="J1167" s="20" t="n">
        <v>450000</v>
      </c>
      <c r="K1167" s="20" t="n">
        <v>450000</v>
      </c>
      <c r="L1167" s="10">
        <f>IF($B1167="","",TEXT($B1167,"YYYY-MM"))</f>
        <v/>
      </c>
    </row>
    <row r="1168">
      <c r="A1168" s="10" t="inlineStr">
        <is>
          <t>INV-70252</t>
        </is>
      </c>
      <c r="B1168" s="18" t="n">
        <v>46068</v>
      </c>
      <c r="C1168" s="10" t="inlineStr">
        <is>
          <t>C1072</t>
        </is>
      </c>
      <c r="D1168" s="10" t="inlineStr">
        <is>
          <t>champion</t>
        </is>
      </c>
      <c r="E1168" s="10" t="inlineStr">
        <is>
          <t>TikTok Shop</t>
        </is>
      </c>
      <c r="F1168" s="10" t="inlineStr">
        <is>
          <t>Jawa Timur</t>
        </is>
      </c>
      <c r="G1168" s="10" t="inlineStr">
        <is>
          <t>Rumah Tangga</t>
        </is>
      </c>
      <c r="H1168" s="10" t="inlineStr">
        <is>
          <t>Set Wadah Kedap</t>
        </is>
      </c>
      <c r="I1168" s="19" t="n">
        <v>1</v>
      </c>
      <c r="J1168" s="20" t="n">
        <v>135000</v>
      </c>
      <c r="K1168" s="20" t="n">
        <v>135000</v>
      </c>
      <c r="L1168" s="10">
        <f>IF($B1168="","",TEXT($B1168,"YYYY-MM"))</f>
        <v/>
      </c>
    </row>
    <row r="1169">
      <c r="A1169" s="10" t="inlineStr">
        <is>
          <t>INV-70350</t>
        </is>
      </c>
      <c r="B1169" s="18" t="n">
        <v>46070</v>
      </c>
      <c r="C1169" s="10" t="inlineStr">
        <is>
          <t>C1094</t>
        </is>
      </c>
      <c r="D1169" s="10" t="inlineStr">
        <is>
          <t>regular</t>
        </is>
      </c>
      <c r="E1169" s="10" t="inlineStr">
        <is>
          <t>Offline Store</t>
        </is>
      </c>
      <c r="F1169" s="10" t="inlineStr">
        <is>
          <t>Jawa Tengah</t>
        </is>
      </c>
      <c r="G1169" s="10" t="inlineStr">
        <is>
          <t>Rumah Tangga</t>
        </is>
      </c>
      <c r="H1169" s="10" t="inlineStr">
        <is>
          <t>Set Wadah Kedap</t>
        </is>
      </c>
      <c r="I1169" s="19" t="n">
        <v>1</v>
      </c>
      <c r="J1169" s="20" t="n">
        <v>135000</v>
      </c>
      <c r="K1169" s="20" t="n">
        <v>135000</v>
      </c>
      <c r="L1169" s="10">
        <f>IF($B1169="","",TEXT($B1169,"YYYY-MM"))</f>
        <v/>
      </c>
    </row>
    <row r="1170">
      <c r="A1170" s="10" t="inlineStr">
        <is>
          <t>INV-71555</t>
        </is>
      </c>
      <c r="B1170" s="18" t="n">
        <v>46070</v>
      </c>
      <c r="C1170" s="10" t="inlineStr">
        <is>
          <t>C1428</t>
        </is>
      </c>
      <c r="D1170" s="10" t="inlineStr">
        <is>
          <t>loyal</t>
        </is>
      </c>
      <c r="E1170" s="10" t="inlineStr">
        <is>
          <t>Offline Store</t>
        </is>
      </c>
      <c r="F1170" s="10" t="inlineStr">
        <is>
          <t>Jabodetabek</t>
        </is>
      </c>
      <c r="G1170" s="10" t="inlineStr">
        <is>
          <t>Elektronik</t>
        </is>
      </c>
      <c r="H1170" s="10" t="inlineStr">
        <is>
          <t>Webcam HD</t>
        </is>
      </c>
      <c r="I1170" s="19" t="n">
        <v>1</v>
      </c>
      <c r="J1170" s="20" t="n">
        <v>210000</v>
      </c>
      <c r="K1170" s="20" t="n">
        <v>210000</v>
      </c>
      <c r="L1170" s="10">
        <f>IF($B1170="","",TEXT($B1170,"YYYY-MM"))</f>
        <v/>
      </c>
    </row>
    <row r="1171">
      <c r="A1171" s="10" t="inlineStr">
        <is>
          <t>INV-70045</t>
        </is>
      </c>
      <c r="B1171" s="18" t="n">
        <v>46070</v>
      </c>
      <c r="C1171" s="10" t="inlineStr">
        <is>
          <t>C1012</t>
        </is>
      </c>
      <c r="D1171" s="10" t="inlineStr">
        <is>
          <t>loyal</t>
        </is>
      </c>
      <c r="E1171" s="10" t="inlineStr">
        <is>
          <t>Shopee</t>
        </is>
      </c>
      <c r="F1171" s="10" t="inlineStr">
        <is>
          <t>Jabodetabek</t>
        </is>
      </c>
      <c r="G1171" s="10" t="inlineStr">
        <is>
          <t>Rumah Tangga</t>
        </is>
      </c>
      <c r="H1171" s="10" t="inlineStr">
        <is>
          <t>Set Wadah Kedap</t>
        </is>
      </c>
      <c r="I1171" s="19" t="n">
        <v>1</v>
      </c>
      <c r="J1171" s="20" t="n">
        <v>135000</v>
      </c>
      <c r="K1171" s="20" t="n">
        <v>135000</v>
      </c>
      <c r="L1171" s="10">
        <f>IF($B1171="","",TEXT($B1171,"YYYY-MM"))</f>
        <v/>
      </c>
    </row>
    <row r="1172">
      <c r="A1172" s="10" t="inlineStr">
        <is>
          <t>INV-71039</t>
        </is>
      </c>
      <c r="B1172" s="18" t="n">
        <v>46070</v>
      </c>
      <c r="C1172" s="10" t="inlineStr">
        <is>
          <t>C1295</t>
        </is>
      </c>
      <c r="D1172" s="10" t="inlineStr">
        <is>
          <t>regular</t>
        </is>
      </c>
      <c r="E1172" s="10" t="inlineStr">
        <is>
          <t>Tokopedia</t>
        </is>
      </c>
      <c r="F1172" s="10" t="inlineStr">
        <is>
          <t>Jabodetabek</t>
        </is>
      </c>
      <c r="G1172" s="10" t="inlineStr">
        <is>
          <t>Elektronik</t>
        </is>
      </c>
      <c r="H1172" s="10" t="inlineStr">
        <is>
          <t>Power Bank 20K</t>
        </is>
      </c>
      <c r="I1172" s="19" t="n">
        <v>3</v>
      </c>
      <c r="J1172" s="20" t="n">
        <v>185000</v>
      </c>
      <c r="K1172" s="20" t="n">
        <v>555000</v>
      </c>
      <c r="L1172" s="10">
        <f>IF($B1172="","",TEXT($B1172,"YYYY-MM"))</f>
        <v/>
      </c>
    </row>
    <row r="1173">
      <c r="A1173" s="10" t="inlineStr">
        <is>
          <t>INV-71543</t>
        </is>
      </c>
      <c r="B1173" s="18" t="n">
        <v>46071</v>
      </c>
      <c r="C1173" s="10" t="inlineStr">
        <is>
          <t>C1425</t>
        </is>
      </c>
      <c r="D1173" s="10" t="inlineStr">
        <is>
          <t>loyal</t>
        </is>
      </c>
      <c r="E1173" s="10" t="inlineStr">
        <is>
          <t>Shopee</t>
        </is>
      </c>
      <c r="F1173" s="10" t="inlineStr">
        <is>
          <t>Jabodetabek</t>
        </is>
      </c>
      <c r="G1173" s="10" t="inlineStr">
        <is>
          <t>Elektronik</t>
        </is>
      </c>
      <c r="H1173" s="10" t="inlineStr">
        <is>
          <t>Smartwatch</t>
        </is>
      </c>
      <c r="I1173" s="19" t="n">
        <v>1</v>
      </c>
      <c r="J1173" s="20" t="n">
        <v>450000</v>
      </c>
      <c r="K1173" s="20" t="n">
        <v>450000</v>
      </c>
      <c r="L1173" s="10">
        <f>IF($B1173="","",TEXT($B1173,"YYYY-MM"))</f>
        <v/>
      </c>
    </row>
    <row r="1174">
      <c r="A1174" s="10" t="inlineStr">
        <is>
          <t>INV-71091</t>
        </is>
      </c>
      <c r="B1174" s="18" t="n">
        <v>46072</v>
      </c>
      <c r="C1174" s="10" t="inlineStr">
        <is>
          <t>C1306</t>
        </is>
      </c>
      <c r="D1174" s="10" t="inlineStr">
        <is>
          <t>loyal</t>
        </is>
      </c>
      <c r="E1174" s="10" t="inlineStr">
        <is>
          <t>Shopee</t>
        </is>
      </c>
      <c r="F1174" s="10" t="inlineStr">
        <is>
          <t>Jawa Tengah</t>
        </is>
      </c>
      <c r="G1174" s="10" t="inlineStr">
        <is>
          <t>Rumah Tangga</t>
        </is>
      </c>
      <c r="H1174" s="10" t="inlineStr">
        <is>
          <t>Set Wadah Kedap</t>
        </is>
      </c>
      <c r="I1174" s="19" t="n">
        <v>1</v>
      </c>
      <c r="J1174" s="20" t="n">
        <v>135000</v>
      </c>
      <c r="K1174" s="20" t="n">
        <v>135000</v>
      </c>
      <c r="L1174" s="10">
        <f>IF($B1174="","",TEXT($B1174,"YYYY-MM"))</f>
        <v/>
      </c>
    </row>
    <row r="1175">
      <c r="A1175" s="10" t="inlineStr">
        <is>
          <t>INV-71470</t>
        </is>
      </c>
      <c r="B1175" s="18" t="n">
        <v>46073</v>
      </c>
      <c r="C1175" s="10" t="inlineStr">
        <is>
          <t>C1406</t>
        </is>
      </c>
      <c r="D1175" s="10" t="inlineStr">
        <is>
          <t>regular</t>
        </is>
      </c>
      <c r="E1175" s="10" t="inlineStr">
        <is>
          <t>Tokopedia</t>
        </is>
      </c>
      <c r="F1175" s="10" t="inlineStr">
        <is>
          <t>Jawa Tengah</t>
        </is>
      </c>
      <c r="G1175" s="10" t="inlineStr">
        <is>
          <t>Elektronik</t>
        </is>
      </c>
      <c r="H1175" s="10" t="inlineStr">
        <is>
          <t>Earbuds TWS</t>
        </is>
      </c>
      <c r="I1175" s="19" t="n">
        <v>4</v>
      </c>
      <c r="J1175" s="20" t="n">
        <v>265000</v>
      </c>
      <c r="K1175" s="20" t="n">
        <v>1060000</v>
      </c>
      <c r="L1175" s="10">
        <f>IF($B1175="","",TEXT($B1175,"YYYY-MM"))</f>
        <v/>
      </c>
    </row>
    <row r="1176">
      <c r="A1176" s="10" t="inlineStr">
        <is>
          <t>INV-71086</t>
        </is>
      </c>
      <c r="B1176" s="18" t="n">
        <v>46073</v>
      </c>
      <c r="C1176" s="10" t="inlineStr">
        <is>
          <t>C1305</t>
        </is>
      </c>
      <c r="D1176" s="10" t="inlineStr">
        <is>
          <t>champion</t>
        </is>
      </c>
      <c r="E1176" s="10" t="inlineStr">
        <is>
          <t>Tokopedia</t>
        </is>
      </c>
      <c r="F1176" s="10" t="inlineStr">
        <is>
          <t>Jawa Barat</t>
        </is>
      </c>
      <c r="G1176" s="10" t="inlineStr">
        <is>
          <t>Fashion</t>
        </is>
      </c>
      <c r="H1176" s="10" t="inlineStr">
        <is>
          <t>Dress Casual</t>
        </is>
      </c>
      <c r="I1176" s="19" t="n">
        <v>1</v>
      </c>
      <c r="J1176" s="20" t="n">
        <v>225000</v>
      </c>
      <c r="K1176" s="20" t="n">
        <v>225000</v>
      </c>
      <c r="L1176" s="10">
        <f>IF($B1176="","",TEXT($B1176,"YYYY-MM"))</f>
        <v/>
      </c>
    </row>
    <row r="1177">
      <c r="A1177" s="10" t="inlineStr">
        <is>
          <t>INV-71435</t>
        </is>
      </c>
      <c r="B1177" s="18" t="n">
        <v>46073</v>
      </c>
      <c r="C1177" s="10" t="inlineStr">
        <is>
          <t>C1395</t>
        </is>
      </c>
      <c r="D1177" s="10" t="inlineStr">
        <is>
          <t>occasional</t>
        </is>
      </c>
      <c r="E1177" s="10" t="inlineStr">
        <is>
          <t>TikTok Shop</t>
        </is>
      </c>
      <c r="F1177" s="10" t="inlineStr">
        <is>
          <t>Jawa Timur</t>
        </is>
      </c>
      <c r="G1177" s="10" t="inlineStr">
        <is>
          <t>Rumah Tangga</t>
        </is>
      </c>
      <c r="H1177" s="10" t="inlineStr">
        <is>
          <t>Set Wadah Kedap</t>
        </is>
      </c>
      <c r="I1177" s="19" t="n">
        <v>4</v>
      </c>
      <c r="J1177" s="20" t="n">
        <v>135000</v>
      </c>
      <c r="K1177" s="20" t="n">
        <v>540000</v>
      </c>
      <c r="L1177" s="10">
        <f>IF($B1177="","",TEXT($B1177,"YYYY-MM"))</f>
        <v/>
      </c>
    </row>
    <row r="1178">
      <c r="A1178" s="10" t="inlineStr">
        <is>
          <t>INV-71467</t>
        </is>
      </c>
      <c r="B1178" s="18" t="n">
        <v>46074</v>
      </c>
      <c r="C1178" s="10" t="inlineStr">
        <is>
          <t>C1405</t>
        </is>
      </c>
      <c r="D1178" s="10" t="inlineStr">
        <is>
          <t>regular</t>
        </is>
      </c>
      <c r="E1178" s="10" t="inlineStr">
        <is>
          <t>Shopee</t>
        </is>
      </c>
      <c r="F1178" s="10" t="inlineStr">
        <is>
          <t>Jawa Timur</t>
        </is>
      </c>
      <c r="G1178" s="10" t="inlineStr">
        <is>
          <t>Elektronik</t>
        </is>
      </c>
      <c r="H1178" s="10" t="inlineStr">
        <is>
          <t>Earbuds TWS</t>
        </is>
      </c>
      <c r="I1178" s="19" t="n">
        <v>1</v>
      </c>
      <c r="J1178" s="20" t="n">
        <v>265000</v>
      </c>
      <c r="K1178" s="20" t="n">
        <v>265000</v>
      </c>
      <c r="L1178" s="10">
        <f>IF($B1178="","",TEXT($B1178,"YYYY-MM"))</f>
        <v/>
      </c>
    </row>
    <row r="1179">
      <c r="A1179" s="10" t="inlineStr">
        <is>
          <t>INV-70831</t>
        </is>
      </c>
      <c r="B1179" s="18" t="n">
        <v>46074</v>
      </c>
      <c r="C1179" s="10" t="inlineStr">
        <is>
          <t>C1234</t>
        </is>
      </c>
      <c r="D1179" s="10" t="inlineStr">
        <is>
          <t>loyal</t>
        </is>
      </c>
      <c r="E1179" s="10" t="inlineStr">
        <is>
          <t>Shopee</t>
        </is>
      </c>
      <c r="F1179" s="10" t="inlineStr">
        <is>
          <t>Jawa Tengah</t>
        </is>
      </c>
      <c r="G1179" s="10" t="inlineStr">
        <is>
          <t>Rumah Tangga</t>
        </is>
      </c>
      <c r="H1179" s="10" t="inlineStr">
        <is>
          <t>Set Wadah Kedap</t>
        </is>
      </c>
      <c r="I1179" s="19" t="n">
        <v>2</v>
      </c>
      <c r="J1179" s="20" t="n">
        <v>135000</v>
      </c>
      <c r="K1179" s="20" t="n">
        <v>270000</v>
      </c>
      <c r="L1179" s="10">
        <f>IF($B1179="","",TEXT($B1179,"YYYY-MM"))</f>
        <v/>
      </c>
    </row>
    <row r="1180">
      <c r="A1180" s="10" t="inlineStr">
        <is>
          <t>INV-71510</t>
        </is>
      </c>
      <c r="B1180" s="18" t="n">
        <v>46074</v>
      </c>
      <c r="C1180" s="10" t="inlineStr">
        <is>
          <t>C1414</t>
        </is>
      </c>
      <c r="D1180" s="10" t="inlineStr">
        <is>
          <t>occasional</t>
        </is>
      </c>
      <c r="E1180" s="10" t="inlineStr">
        <is>
          <t>Shopee</t>
        </is>
      </c>
      <c r="F1180" s="10" t="inlineStr">
        <is>
          <t>Jawa Barat</t>
        </is>
      </c>
      <c r="G1180" s="10" t="inlineStr">
        <is>
          <t>Rumah Tangga</t>
        </is>
      </c>
      <c r="H1180" s="10" t="inlineStr">
        <is>
          <t>Set Wadah Kedap</t>
        </is>
      </c>
      <c r="I1180" s="19" t="n">
        <v>1</v>
      </c>
      <c r="J1180" s="20" t="n">
        <v>135000</v>
      </c>
      <c r="K1180" s="20" t="n">
        <v>135000</v>
      </c>
      <c r="L1180" s="10">
        <f>IF($B1180="","",TEXT($B1180,"YYYY-MM"))</f>
        <v/>
      </c>
    </row>
    <row r="1181">
      <c r="A1181" s="10" t="inlineStr">
        <is>
          <t>INV-70446</t>
        </is>
      </c>
      <c r="B1181" s="18" t="n">
        <v>46074</v>
      </c>
      <c r="C1181" s="10" t="inlineStr">
        <is>
          <t>C1126</t>
        </is>
      </c>
      <c r="D1181" s="10" t="inlineStr">
        <is>
          <t>occasional</t>
        </is>
      </c>
      <c r="E1181" s="10" t="inlineStr">
        <is>
          <t>TikTok Shop</t>
        </is>
      </c>
      <c r="F1181" s="10" t="inlineStr">
        <is>
          <t>Jabodetabek</t>
        </is>
      </c>
      <c r="G1181" s="10" t="inlineStr">
        <is>
          <t>Rumah Tangga</t>
        </is>
      </c>
      <c r="H1181" s="10" t="inlineStr">
        <is>
          <t>Set Wadah Kedap</t>
        </is>
      </c>
      <c r="I1181" s="19" t="n">
        <v>1</v>
      </c>
      <c r="J1181" s="20" t="n">
        <v>135000</v>
      </c>
      <c r="K1181" s="20" t="n">
        <v>135000</v>
      </c>
      <c r="L1181" s="10">
        <f>IF($B1181="","",TEXT($B1181,"YYYY-MM"))</f>
        <v/>
      </c>
    </row>
    <row r="1182">
      <c r="A1182" s="10" t="inlineStr">
        <is>
          <t>INV-70436</t>
        </is>
      </c>
      <c r="B1182" s="18" t="n">
        <v>46074</v>
      </c>
      <c r="C1182" s="10" t="inlineStr">
        <is>
          <t>C1123</t>
        </is>
      </c>
      <c r="D1182" s="10" t="inlineStr">
        <is>
          <t>regular</t>
        </is>
      </c>
      <c r="E1182" s="10" t="inlineStr">
        <is>
          <t>Shopee</t>
        </is>
      </c>
      <c r="F1182" s="10" t="inlineStr">
        <is>
          <t>Jabodetabek</t>
        </is>
      </c>
      <c r="G1182" s="10" t="inlineStr">
        <is>
          <t>Makanan</t>
        </is>
      </c>
      <c r="H1182" s="10" t="inlineStr">
        <is>
          <t>Madu Hutan 250ml</t>
        </is>
      </c>
      <c r="I1182" s="19" t="n">
        <v>1</v>
      </c>
      <c r="J1182" s="20" t="n">
        <v>110000</v>
      </c>
      <c r="K1182" s="20" t="n">
        <v>110000</v>
      </c>
      <c r="L1182" s="10">
        <f>IF($B1182="","",TEXT($B1182,"YYYY-MM"))</f>
        <v/>
      </c>
    </row>
    <row r="1183">
      <c r="A1183" s="10" t="inlineStr">
        <is>
          <t>INV-71481</t>
        </is>
      </c>
      <c r="B1183" s="18" t="n">
        <v>46074</v>
      </c>
      <c r="C1183" s="10" t="inlineStr">
        <is>
          <t>C1409</t>
        </is>
      </c>
      <c r="D1183" s="10" t="inlineStr">
        <is>
          <t>loyal</t>
        </is>
      </c>
      <c r="E1183" s="10" t="inlineStr">
        <is>
          <t>Tokopedia</t>
        </is>
      </c>
      <c r="F1183" s="10" t="inlineStr">
        <is>
          <t>Jawa Timur</t>
        </is>
      </c>
      <c r="G1183" s="10" t="inlineStr">
        <is>
          <t>Rumah Tangga</t>
        </is>
      </c>
      <c r="H1183" s="10" t="inlineStr">
        <is>
          <t>Organizer Laci</t>
        </is>
      </c>
      <c r="I1183" s="19" t="n">
        <v>1</v>
      </c>
      <c r="J1183" s="20" t="n">
        <v>78000</v>
      </c>
      <c r="K1183" s="20" t="n">
        <v>78000</v>
      </c>
      <c r="L1183" s="10">
        <f>IF($B1183="","",TEXT($B1183,"YYYY-MM"))</f>
        <v/>
      </c>
    </row>
    <row r="1184">
      <c r="A1184" s="10" t="inlineStr">
        <is>
          <t>INV-70605</t>
        </is>
      </c>
      <c r="B1184" s="18" t="n">
        <v>46076</v>
      </c>
      <c r="C1184" s="10" t="inlineStr">
        <is>
          <t>C1162</t>
        </is>
      </c>
      <c r="D1184" s="10" t="inlineStr">
        <is>
          <t>regular</t>
        </is>
      </c>
      <c r="E1184" s="10" t="inlineStr">
        <is>
          <t>Shopee</t>
        </is>
      </c>
      <c r="F1184" s="10" t="inlineStr">
        <is>
          <t>Jabodetabek</t>
        </is>
      </c>
      <c r="G1184" s="10" t="inlineStr">
        <is>
          <t>Makanan</t>
        </is>
      </c>
      <c r="H1184" s="10" t="inlineStr">
        <is>
          <t>Granola 500g</t>
        </is>
      </c>
      <c r="I1184" s="19" t="n">
        <v>3</v>
      </c>
      <c r="J1184" s="20" t="n">
        <v>92000</v>
      </c>
      <c r="K1184" s="20" t="n">
        <v>276000</v>
      </c>
      <c r="L1184" s="10">
        <f>IF($B1184="","",TEXT($B1184,"YYYY-MM"))</f>
        <v/>
      </c>
    </row>
    <row r="1185">
      <c r="A1185" s="10" t="inlineStr">
        <is>
          <t>INV-70892</t>
        </is>
      </c>
      <c r="B1185" s="18" t="n">
        <v>46076</v>
      </c>
      <c r="C1185" s="10" t="inlineStr">
        <is>
          <t>C1250</t>
        </is>
      </c>
      <c r="D1185" s="10" t="inlineStr">
        <is>
          <t>regular</t>
        </is>
      </c>
      <c r="E1185" s="10" t="inlineStr">
        <is>
          <t>Tokopedia</t>
        </is>
      </c>
      <c r="F1185" s="10" t="inlineStr">
        <is>
          <t>Jabodetabek</t>
        </is>
      </c>
      <c r="G1185" s="10" t="inlineStr">
        <is>
          <t>Elektronik</t>
        </is>
      </c>
      <c r="H1185" s="10" t="inlineStr">
        <is>
          <t>Webcam HD</t>
        </is>
      </c>
      <c r="I1185" s="19" t="n">
        <v>2</v>
      </c>
      <c r="J1185" s="20" t="n">
        <v>210000</v>
      </c>
      <c r="K1185" s="20" t="n">
        <v>420000</v>
      </c>
      <c r="L1185" s="10">
        <f>IF($B1185="","",TEXT($B1185,"YYYY-MM"))</f>
        <v/>
      </c>
    </row>
    <row r="1186">
      <c r="A1186" s="10" t="inlineStr">
        <is>
          <t>INV-70522</t>
        </is>
      </c>
      <c r="B1186" s="18" t="n">
        <v>46077</v>
      </c>
      <c r="C1186" s="10" t="inlineStr">
        <is>
          <t>C1143</t>
        </is>
      </c>
      <c r="D1186" s="10" t="inlineStr">
        <is>
          <t>onetime</t>
        </is>
      </c>
      <c r="E1186" s="10" t="inlineStr">
        <is>
          <t>Tokopedia</t>
        </is>
      </c>
      <c r="F1186" s="10" t="inlineStr">
        <is>
          <t>Jawa Timur</t>
        </is>
      </c>
      <c r="G1186" s="10" t="inlineStr">
        <is>
          <t>Rumah Tangga</t>
        </is>
      </c>
      <c r="H1186" s="10" t="inlineStr">
        <is>
          <t>Set Wadah Kedap</t>
        </is>
      </c>
      <c r="I1186" s="19" t="n">
        <v>2</v>
      </c>
      <c r="J1186" s="20" t="n">
        <v>135000</v>
      </c>
      <c r="K1186" s="20" t="n">
        <v>270000</v>
      </c>
      <c r="L1186" s="10">
        <f>IF($B1186="","",TEXT($B1186,"YYYY-MM"))</f>
        <v/>
      </c>
    </row>
    <row r="1187">
      <c r="A1187" s="10" t="inlineStr">
        <is>
          <t>INV-70801</t>
        </is>
      </c>
      <c r="B1187" s="18" t="n">
        <v>46078</v>
      </c>
      <c r="C1187" s="10" t="inlineStr">
        <is>
          <t>C1224</t>
        </is>
      </c>
      <c r="D1187" s="10" t="inlineStr">
        <is>
          <t>regular</t>
        </is>
      </c>
      <c r="E1187" s="10" t="inlineStr">
        <is>
          <t>Tokopedia</t>
        </is>
      </c>
      <c r="F1187" s="10" t="inlineStr">
        <is>
          <t>Sumatera</t>
        </is>
      </c>
      <c r="G1187" s="10" t="inlineStr">
        <is>
          <t>Rumah Tangga</t>
        </is>
      </c>
      <c r="H1187" s="10" t="inlineStr">
        <is>
          <t>Organizer Laci</t>
        </is>
      </c>
      <c r="I1187" s="19" t="n">
        <v>4</v>
      </c>
      <c r="J1187" s="20" t="n">
        <v>78000</v>
      </c>
      <c r="K1187" s="20" t="n">
        <v>312000</v>
      </c>
      <c r="L1187" s="10">
        <f>IF($B1187="","",TEXT($B1187,"YYYY-MM"))</f>
        <v/>
      </c>
    </row>
    <row r="1188">
      <c r="A1188" s="10" t="inlineStr">
        <is>
          <t>INV-70930</t>
        </is>
      </c>
      <c r="B1188" s="18" t="n">
        <v>46079</v>
      </c>
      <c r="C1188" s="10" t="inlineStr">
        <is>
          <t>C1261</t>
        </is>
      </c>
      <c r="D1188" s="10" t="inlineStr">
        <is>
          <t>champion</t>
        </is>
      </c>
      <c r="E1188" s="10" t="inlineStr">
        <is>
          <t>Tokopedia</t>
        </is>
      </c>
      <c r="F1188" s="10" t="inlineStr">
        <is>
          <t>Jabodetabek</t>
        </is>
      </c>
      <c r="G1188" s="10" t="inlineStr">
        <is>
          <t>Elektronik</t>
        </is>
      </c>
      <c r="H1188" s="10" t="inlineStr">
        <is>
          <t>Keyboard Mekanik</t>
        </is>
      </c>
      <c r="I1188" s="19" t="n">
        <v>1</v>
      </c>
      <c r="J1188" s="20" t="n">
        <v>380000</v>
      </c>
      <c r="K1188" s="20" t="n">
        <v>380000</v>
      </c>
      <c r="L1188" s="10">
        <f>IF($B1188="","",TEXT($B1188,"YYYY-MM"))</f>
        <v/>
      </c>
    </row>
    <row r="1189">
      <c r="A1189" s="10" t="inlineStr">
        <is>
          <t>INV-70913</t>
        </is>
      </c>
      <c r="B1189" s="18" t="n">
        <v>46079</v>
      </c>
      <c r="C1189" s="10" t="inlineStr">
        <is>
          <t>C1258</t>
        </is>
      </c>
      <c r="D1189" s="10" t="inlineStr">
        <is>
          <t>regular</t>
        </is>
      </c>
      <c r="E1189" s="10" t="inlineStr">
        <is>
          <t>Shopee</t>
        </is>
      </c>
      <c r="F1189" s="10" t="inlineStr">
        <is>
          <t>Jabodetabek</t>
        </is>
      </c>
      <c r="G1189" s="10" t="inlineStr">
        <is>
          <t>Fashion</t>
        </is>
      </c>
      <c r="H1189" s="10" t="inlineStr">
        <is>
          <t>Dress Casual</t>
        </is>
      </c>
      <c r="I1189" s="19" t="n">
        <v>1</v>
      </c>
      <c r="J1189" s="20" t="n">
        <v>225000</v>
      </c>
      <c r="K1189" s="20" t="n">
        <v>225000</v>
      </c>
      <c r="L1189" s="10">
        <f>IF($B1189="","",TEXT($B1189,"YYYY-MM"))</f>
        <v/>
      </c>
    </row>
    <row r="1190">
      <c r="A1190" s="10" t="inlineStr">
        <is>
          <t>INV-70692</t>
        </is>
      </c>
      <c r="B1190" s="18" t="n">
        <v>46080</v>
      </c>
      <c r="C1190" s="10" t="inlineStr">
        <is>
          <t>C1191</t>
        </is>
      </c>
      <c r="D1190" s="10" t="inlineStr">
        <is>
          <t>occasional</t>
        </is>
      </c>
      <c r="E1190" s="10" t="inlineStr">
        <is>
          <t>Shopee</t>
        </is>
      </c>
      <c r="F1190" s="10" t="inlineStr">
        <is>
          <t>Jabodetabek</t>
        </is>
      </c>
      <c r="G1190" s="10" t="inlineStr">
        <is>
          <t>Rumah Tangga</t>
        </is>
      </c>
      <c r="H1190" s="10" t="inlineStr">
        <is>
          <t>Set Wadah Kedap</t>
        </is>
      </c>
      <c r="I1190" s="19" t="n">
        <v>3</v>
      </c>
      <c r="J1190" s="20" t="n">
        <v>135000</v>
      </c>
      <c r="K1190" s="20" t="n">
        <v>405000</v>
      </c>
      <c r="L1190" s="10">
        <f>IF($B1190="","",TEXT($B1190,"YYYY-MM"))</f>
        <v/>
      </c>
    </row>
    <row r="1191">
      <c r="A1191" s="10" t="inlineStr">
        <is>
          <t>INV-70408</t>
        </is>
      </c>
      <c r="B1191" s="18" t="n">
        <v>46082</v>
      </c>
      <c r="C1191" s="10" t="inlineStr">
        <is>
          <t>C1113</t>
        </is>
      </c>
      <c r="D1191" s="10" t="inlineStr">
        <is>
          <t>loyal</t>
        </is>
      </c>
      <c r="E1191" s="10" t="inlineStr">
        <is>
          <t>TikTok Shop</t>
        </is>
      </c>
      <c r="F1191" s="10" t="inlineStr">
        <is>
          <t>Jabodetabek</t>
        </is>
      </c>
      <c r="G1191" s="10" t="inlineStr">
        <is>
          <t>Rumah Tangga</t>
        </is>
      </c>
      <c r="H1191" s="10" t="inlineStr">
        <is>
          <t>Set Wadah Kedap</t>
        </is>
      </c>
      <c r="I1191" s="19" t="n">
        <v>1</v>
      </c>
      <c r="J1191" s="20" t="n">
        <v>135000</v>
      </c>
      <c r="K1191" s="20" t="n">
        <v>135000</v>
      </c>
      <c r="L1191" s="10">
        <f>IF($B1191="","",TEXT($B1191,"YYYY-MM"))</f>
        <v/>
      </c>
    </row>
    <row r="1192">
      <c r="A1192" s="10" t="inlineStr">
        <is>
          <t>INV-71403</t>
        </is>
      </c>
      <c r="B1192" s="18" t="n">
        <v>46082</v>
      </c>
      <c r="C1192" s="10" t="inlineStr">
        <is>
          <t>C1386</t>
        </is>
      </c>
      <c r="D1192" s="10" t="inlineStr">
        <is>
          <t>loyal</t>
        </is>
      </c>
      <c r="E1192" s="10" t="inlineStr">
        <is>
          <t>Shopee</t>
        </is>
      </c>
      <c r="F1192" s="10" t="inlineStr">
        <is>
          <t>Jawa Barat</t>
        </is>
      </c>
      <c r="G1192" s="10" t="inlineStr">
        <is>
          <t>Rumah Tangga</t>
        </is>
      </c>
      <c r="H1192" s="10" t="inlineStr">
        <is>
          <t>Set Wadah Kedap</t>
        </is>
      </c>
      <c r="I1192" s="19" t="n">
        <v>4</v>
      </c>
      <c r="J1192" s="20" t="n">
        <v>135000</v>
      </c>
      <c r="K1192" s="20" t="n">
        <v>540000</v>
      </c>
      <c r="L1192" s="10">
        <f>IF($B1192="","",TEXT($B1192,"YYYY-MM"))</f>
        <v/>
      </c>
    </row>
    <row r="1193">
      <c r="A1193" s="10" t="inlineStr">
        <is>
          <t>INV-71482</t>
        </is>
      </c>
      <c r="B1193" s="18" t="n">
        <v>46083</v>
      </c>
      <c r="C1193" s="10" t="inlineStr">
        <is>
          <t>C1409</t>
        </is>
      </c>
      <c r="D1193" s="10" t="inlineStr">
        <is>
          <t>loyal</t>
        </is>
      </c>
      <c r="E1193" s="10" t="inlineStr">
        <is>
          <t>Shopee</t>
        </is>
      </c>
      <c r="F1193" s="10" t="inlineStr">
        <is>
          <t>Jawa Timur</t>
        </is>
      </c>
      <c r="G1193" s="10" t="inlineStr">
        <is>
          <t>Rumah Tangga</t>
        </is>
      </c>
      <c r="H1193" s="10" t="inlineStr">
        <is>
          <t>Set Wadah Kedap</t>
        </is>
      </c>
      <c r="I1193" s="19" t="n">
        <v>1</v>
      </c>
      <c r="J1193" s="20" t="n">
        <v>135000</v>
      </c>
      <c r="K1193" s="20" t="n">
        <v>135000</v>
      </c>
      <c r="L1193" s="10">
        <f>IF($B1193="","",TEXT($B1193,"YYYY-MM"))</f>
        <v/>
      </c>
    </row>
    <row r="1194">
      <c r="A1194" s="10" t="inlineStr">
        <is>
          <t>INV-70482</t>
        </is>
      </c>
      <c r="B1194" s="18" t="n">
        <v>46083</v>
      </c>
      <c r="C1194" s="10" t="inlineStr">
        <is>
          <t>C1138</t>
        </is>
      </c>
      <c r="D1194" s="10" t="inlineStr">
        <is>
          <t>regular</t>
        </is>
      </c>
      <c r="E1194" s="10" t="inlineStr">
        <is>
          <t>Offline Store</t>
        </is>
      </c>
      <c r="F1194" s="10" t="inlineStr">
        <is>
          <t>Jawa Timur</t>
        </is>
      </c>
      <c r="G1194" s="10" t="inlineStr">
        <is>
          <t>Rumah Tangga</t>
        </is>
      </c>
      <c r="H1194" s="10" t="inlineStr">
        <is>
          <t>Set Wadah Kedap</t>
        </is>
      </c>
      <c r="I1194" s="19" t="n">
        <v>3</v>
      </c>
      <c r="J1194" s="20" t="n">
        <v>135000</v>
      </c>
      <c r="K1194" s="20" t="n">
        <v>405000</v>
      </c>
      <c r="L1194" s="10">
        <f>IF($B1194="","",TEXT($B1194,"YYYY-MM"))</f>
        <v/>
      </c>
    </row>
    <row r="1195">
      <c r="A1195" s="10" t="inlineStr">
        <is>
          <t>INV-70306</t>
        </is>
      </c>
      <c r="B1195" s="18" t="n">
        <v>46084</v>
      </c>
      <c r="C1195" s="10" t="inlineStr">
        <is>
          <t>C1086</t>
        </is>
      </c>
      <c r="D1195" s="10" t="inlineStr">
        <is>
          <t>onetime</t>
        </is>
      </c>
      <c r="E1195" s="10" t="inlineStr">
        <is>
          <t>Offline Store</t>
        </is>
      </c>
      <c r="F1195" s="10" t="inlineStr">
        <is>
          <t>Jabodetabek</t>
        </is>
      </c>
      <c r="G1195" s="10" t="inlineStr">
        <is>
          <t>Kecantikan</t>
        </is>
      </c>
      <c r="H1195" s="10" t="inlineStr">
        <is>
          <t>Serum Vit C</t>
        </is>
      </c>
      <c r="I1195" s="19" t="n">
        <v>2</v>
      </c>
      <c r="J1195" s="20" t="n">
        <v>145000</v>
      </c>
      <c r="K1195" s="20" t="n">
        <v>290000</v>
      </c>
      <c r="L1195" s="10">
        <f>IF($B1195="","",TEXT($B1195,"YYYY-MM"))</f>
        <v/>
      </c>
    </row>
    <row r="1196">
      <c r="A1196" s="10" t="inlineStr">
        <is>
          <t>INV-71527</t>
        </is>
      </c>
      <c r="B1196" s="18" t="n">
        <v>46084</v>
      </c>
      <c r="C1196" s="10" t="inlineStr">
        <is>
          <t>C1419</t>
        </is>
      </c>
      <c r="D1196" s="10" t="inlineStr">
        <is>
          <t>loyal</t>
        </is>
      </c>
      <c r="E1196" s="10" t="inlineStr">
        <is>
          <t>TikTok Shop</t>
        </is>
      </c>
      <c r="F1196" s="10" t="inlineStr">
        <is>
          <t>Jabodetabek</t>
        </is>
      </c>
      <c r="G1196" s="10" t="inlineStr">
        <is>
          <t>Elektronik</t>
        </is>
      </c>
      <c r="H1196" s="10" t="inlineStr">
        <is>
          <t>Webcam HD</t>
        </is>
      </c>
      <c r="I1196" s="19" t="n">
        <v>2</v>
      </c>
      <c r="J1196" s="20" t="n">
        <v>210000</v>
      </c>
      <c r="K1196" s="20" t="n">
        <v>420000</v>
      </c>
      <c r="L1196" s="10">
        <f>IF($B1196="","",TEXT($B1196,"YYYY-MM"))</f>
        <v/>
      </c>
    </row>
    <row r="1197">
      <c r="A1197" s="10" t="inlineStr">
        <is>
          <t>INV-70230</t>
        </is>
      </c>
      <c r="B1197" s="18" t="n">
        <v>46084</v>
      </c>
      <c r="C1197" s="10" t="inlineStr">
        <is>
          <t>C1064</t>
        </is>
      </c>
      <c r="D1197" s="10" t="inlineStr">
        <is>
          <t>loyal</t>
        </is>
      </c>
      <c r="E1197" s="10" t="inlineStr">
        <is>
          <t>TikTok Shop</t>
        </is>
      </c>
      <c r="F1197" s="10" t="inlineStr">
        <is>
          <t>Jawa Tengah</t>
        </is>
      </c>
      <c r="G1197" s="10" t="inlineStr">
        <is>
          <t>Fashion</t>
        </is>
      </c>
      <c r="H1197" s="10" t="inlineStr">
        <is>
          <t>Kaos Premium</t>
        </is>
      </c>
      <c r="I1197" s="19" t="n">
        <v>1</v>
      </c>
      <c r="J1197" s="20" t="n">
        <v>95000</v>
      </c>
      <c r="K1197" s="20" t="n">
        <v>95000</v>
      </c>
      <c r="L1197" s="10">
        <f>IF($B1197="","",TEXT($B1197,"YYYY-MM"))</f>
        <v/>
      </c>
    </row>
    <row r="1198">
      <c r="A1198" s="10" t="inlineStr">
        <is>
          <t>INV-71171</t>
        </is>
      </c>
      <c r="B1198" s="18" t="n">
        <v>46084</v>
      </c>
      <c r="C1198" s="10" t="inlineStr">
        <is>
          <t>C1332</t>
        </is>
      </c>
      <c r="D1198" s="10" t="inlineStr">
        <is>
          <t>occasional</t>
        </is>
      </c>
      <c r="E1198" s="10" t="inlineStr">
        <is>
          <t>TikTok Shop</t>
        </is>
      </c>
      <c r="F1198" s="10" t="inlineStr">
        <is>
          <t>Lainnya</t>
        </is>
      </c>
      <c r="G1198" s="10" t="inlineStr">
        <is>
          <t>Rumah Tangga</t>
        </is>
      </c>
      <c r="H1198" s="10" t="inlineStr">
        <is>
          <t>Set Wadah Kedap</t>
        </is>
      </c>
      <c r="I1198" s="19" t="n">
        <v>2</v>
      </c>
      <c r="J1198" s="20" t="n">
        <v>135000</v>
      </c>
      <c r="K1198" s="20" t="n">
        <v>270000</v>
      </c>
      <c r="L1198" s="10">
        <f>IF($B1198="","",TEXT($B1198,"YYYY-MM"))</f>
        <v/>
      </c>
    </row>
    <row r="1199">
      <c r="A1199" s="10" t="inlineStr">
        <is>
          <t>INV-70835</t>
        </is>
      </c>
      <c r="B1199" s="18" t="n">
        <v>46085</v>
      </c>
      <c r="C1199" s="10" t="inlineStr">
        <is>
          <t>C1235</t>
        </is>
      </c>
      <c r="D1199" s="10" t="inlineStr">
        <is>
          <t>regular</t>
        </is>
      </c>
      <c r="E1199" s="10" t="inlineStr">
        <is>
          <t>Shopee</t>
        </is>
      </c>
      <c r="F1199" s="10" t="inlineStr">
        <is>
          <t>Jabodetabek</t>
        </is>
      </c>
      <c r="G1199" s="10" t="inlineStr">
        <is>
          <t>Elektronik</t>
        </is>
      </c>
      <c r="H1199" s="10" t="inlineStr">
        <is>
          <t>Power Bank 20K</t>
        </is>
      </c>
      <c r="I1199" s="19" t="n">
        <v>1</v>
      </c>
      <c r="J1199" s="20" t="n">
        <v>185000</v>
      </c>
      <c r="K1199" s="20" t="n">
        <v>185000</v>
      </c>
      <c r="L1199" s="10">
        <f>IF($B1199="","",TEXT($B1199,"YYYY-MM"))</f>
        <v/>
      </c>
    </row>
    <row r="1200">
      <c r="A1200" s="10" t="inlineStr">
        <is>
          <t>INV-70386</t>
        </is>
      </c>
      <c r="B1200" s="18" t="n">
        <v>46085</v>
      </c>
      <c r="C1200" s="10" t="inlineStr">
        <is>
          <t>C1111</t>
        </is>
      </c>
      <c r="D1200" s="10" t="inlineStr">
        <is>
          <t>champion</t>
        </is>
      </c>
      <c r="E1200" s="10" t="inlineStr">
        <is>
          <t>Tokopedia</t>
        </is>
      </c>
      <c r="F1200" s="10" t="inlineStr">
        <is>
          <t>Jawa Tengah</t>
        </is>
      </c>
      <c r="G1200" s="10" t="inlineStr">
        <is>
          <t>Rumah Tangga</t>
        </is>
      </c>
      <c r="H1200" s="10" t="inlineStr">
        <is>
          <t>Set Wadah Kedap</t>
        </is>
      </c>
      <c r="I1200" s="19" t="n">
        <v>1</v>
      </c>
      <c r="J1200" s="20" t="n">
        <v>135000</v>
      </c>
      <c r="K1200" s="20" t="n">
        <v>135000</v>
      </c>
      <c r="L1200" s="10">
        <f>IF($B1200="","",TEXT($B1200,"YYYY-MM"))</f>
        <v/>
      </c>
    </row>
    <row r="1201">
      <c r="A1201" s="10" t="inlineStr">
        <is>
          <t>INV-70658</t>
        </is>
      </c>
      <c r="B1201" s="18" t="n">
        <v>46085</v>
      </c>
      <c r="C1201" s="10" t="inlineStr">
        <is>
          <t>C1179</t>
        </is>
      </c>
      <c r="D1201" s="10" t="inlineStr">
        <is>
          <t>loyal</t>
        </is>
      </c>
      <c r="E1201" s="10" t="inlineStr">
        <is>
          <t>TikTok Shop</t>
        </is>
      </c>
      <c r="F1201" s="10" t="inlineStr">
        <is>
          <t>Jabodetabek</t>
        </is>
      </c>
      <c r="G1201" s="10" t="inlineStr">
        <is>
          <t>Kecantikan</t>
        </is>
      </c>
      <c r="H1201" s="10" t="inlineStr">
        <is>
          <t>Serum Vit C</t>
        </is>
      </c>
      <c r="I1201" s="19" t="n">
        <v>2</v>
      </c>
      <c r="J1201" s="20" t="n">
        <v>145000</v>
      </c>
      <c r="K1201" s="20" t="n">
        <v>290000</v>
      </c>
      <c r="L1201" s="10">
        <f>IF($B1201="","",TEXT($B1201,"YYYY-MM"))</f>
        <v/>
      </c>
    </row>
    <row r="1202">
      <c r="A1202" s="10" t="inlineStr">
        <is>
          <t>INV-71263</t>
        </is>
      </c>
      <c r="B1202" s="18" t="n">
        <v>46085</v>
      </c>
      <c r="C1202" s="10" t="inlineStr">
        <is>
          <t>C1358</t>
        </is>
      </c>
      <c r="D1202" s="10" t="inlineStr">
        <is>
          <t>champion</t>
        </is>
      </c>
      <c r="E1202" s="10" t="inlineStr">
        <is>
          <t>Tokopedia</t>
        </is>
      </c>
      <c r="F1202" s="10" t="inlineStr">
        <is>
          <t>Jawa Timur</t>
        </is>
      </c>
      <c r="G1202" s="10" t="inlineStr">
        <is>
          <t>Rumah Tangga</t>
        </is>
      </c>
      <c r="H1202" s="10" t="inlineStr">
        <is>
          <t>Set Wadah Kedap</t>
        </is>
      </c>
      <c r="I1202" s="19" t="n">
        <v>2</v>
      </c>
      <c r="J1202" s="20" t="n">
        <v>135000</v>
      </c>
      <c r="K1202" s="20" t="n">
        <v>270000</v>
      </c>
      <c r="L1202" s="10">
        <f>IF($B1202="","",TEXT($B1202,"YYYY-MM"))</f>
        <v/>
      </c>
    </row>
    <row r="1203">
      <c r="A1203" s="10" t="inlineStr">
        <is>
          <t>INV-70189</t>
        </is>
      </c>
      <c r="B1203" s="18" t="n">
        <v>46086</v>
      </c>
      <c r="C1203" s="10" t="inlineStr">
        <is>
          <t>C1053</t>
        </is>
      </c>
      <c r="D1203" s="10" t="inlineStr">
        <is>
          <t>regular</t>
        </is>
      </c>
      <c r="E1203" s="10" t="inlineStr">
        <is>
          <t>Tokopedia</t>
        </is>
      </c>
      <c r="F1203" s="10" t="inlineStr">
        <is>
          <t>Lainnya</t>
        </is>
      </c>
      <c r="G1203" s="10" t="inlineStr">
        <is>
          <t>Rumah Tangga</t>
        </is>
      </c>
      <c r="H1203" s="10" t="inlineStr">
        <is>
          <t>Diffuser Aroma</t>
        </is>
      </c>
      <c r="I1203" s="19" t="n">
        <v>1</v>
      </c>
      <c r="J1203" s="20" t="n">
        <v>195000</v>
      </c>
      <c r="K1203" s="20" t="n">
        <v>195000</v>
      </c>
      <c r="L1203" s="10">
        <f>IF($B1203="","",TEXT($B1203,"YYYY-MM"))</f>
        <v/>
      </c>
    </row>
    <row r="1204">
      <c r="A1204" s="10" t="inlineStr">
        <is>
          <t>INV-71161</t>
        </is>
      </c>
      <c r="B1204" s="18" t="n">
        <v>46086</v>
      </c>
      <c r="C1204" s="10" t="inlineStr">
        <is>
          <t>C1329</t>
        </is>
      </c>
      <c r="D1204" s="10" t="inlineStr">
        <is>
          <t>regular</t>
        </is>
      </c>
      <c r="E1204" s="10" t="inlineStr">
        <is>
          <t>Tokopedia</t>
        </is>
      </c>
      <c r="F1204" s="10" t="inlineStr">
        <is>
          <t>Jabodetabek</t>
        </is>
      </c>
      <c r="G1204" s="10" t="inlineStr">
        <is>
          <t>Elektronik</t>
        </is>
      </c>
      <c r="H1204" s="10" t="inlineStr">
        <is>
          <t>Power Bank 20K</t>
        </is>
      </c>
      <c r="I1204" s="19" t="n">
        <v>1</v>
      </c>
      <c r="J1204" s="20" t="n">
        <v>185000</v>
      </c>
      <c r="K1204" s="20" t="n">
        <v>185000</v>
      </c>
      <c r="L1204" s="10">
        <f>IF($B1204="","",TEXT($B1204,"YYYY-MM"))</f>
        <v/>
      </c>
    </row>
    <row r="1205">
      <c r="A1205" s="10" t="inlineStr">
        <is>
          <t>INV-71437</t>
        </is>
      </c>
      <c r="B1205" s="18" t="n">
        <v>46086</v>
      </c>
      <c r="C1205" s="10" t="inlineStr">
        <is>
          <t>C1396</t>
        </is>
      </c>
      <c r="D1205" s="10" t="inlineStr">
        <is>
          <t>loyal</t>
        </is>
      </c>
      <c r="E1205" s="10" t="inlineStr">
        <is>
          <t>Tokopedia</t>
        </is>
      </c>
      <c r="F1205" s="10" t="inlineStr">
        <is>
          <t>Jabodetabek</t>
        </is>
      </c>
      <c r="G1205" s="10" t="inlineStr">
        <is>
          <t>Elektronik</t>
        </is>
      </c>
      <c r="H1205" s="10" t="inlineStr">
        <is>
          <t>Power Bank 20K</t>
        </is>
      </c>
      <c r="I1205" s="19" t="n">
        <v>1</v>
      </c>
      <c r="J1205" s="20" t="n">
        <v>185000</v>
      </c>
      <c r="K1205" s="20" t="n">
        <v>185000</v>
      </c>
      <c r="L1205" s="10">
        <f>IF($B1205="","",TEXT($B1205,"YYYY-MM"))</f>
        <v/>
      </c>
    </row>
    <row r="1206">
      <c r="A1206" s="10" t="inlineStr">
        <is>
          <t>INV-70755</t>
        </is>
      </c>
      <c r="B1206" s="18" t="n">
        <v>46086</v>
      </c>
      <c r="C1206" s="10" t="inlineStr">
        <is>
          <t>C1211</t>
        </is>
      </c>
      <c r="D1206" s="10" t="inlineStr">
        <is>
          <t>regular</t>
        </is>
      </c>
      <c r="E1206" s="10" t="inlineStr">
        <is>
          <t>TikTok Shop</t>
        </is>
      </c>
      <c r="F1206" s="10" t="inlineStr">
        <is>
          <t>Jawa Barat</t>
        </is>
      </c>
      <c r="G1206" s="10" t="inlineStr">
        <is>
          <t>Elektronik</t>
        </is>
      </c>
      <c r="H1206" s="10" t="inlineStr">
        <is>
          <t>Webcam HD</t>
        </is>
      </c>
      <c r="I1206" s="19" t="n">
        <v>1</v>
      </c>
      <c r="J1206" s="20" t="n">
        <v>210000</v>
      </c>
      <c r="K1206" s="20" t="n">
        <v>210000</v>
      </c>
      <c r="L1206" s="10">
        <f>IF($B1206="","",TEXT($B1206,"YYYY-MM"))</f>
        <v/>
      </c>
    </row>
    <row r="1207">
      <c r="A1207" s="10" t="inlineStr">
        <is>
          <t>INV-70625</t>
        </is>
      </c>
      <c r="B1207" s="18" t="n">
        <v>46087</v>
      </c>
      <c r="C1207" s="10" t="inlineStr">
        <is>
          <t>C1170</t>
        </is>
      </c>
      <c r="D1207" s="10" t="inlineStr">
        <is>
          <t>champion</t>
        </is>
      </c>
      <c r="E1207" s="10" t="inlineStr">
        <is>
          <t>Tokopedia</t>
        </is>
      </c>
      <c r="F1207" s="10" t="inlineStr">
        <is>
          <t>Jabodetabek</t>
        </is>
      </c>
      <c r="G1207" s="10" t="inlineStr">
        <is>
          <t>Rumah Tangga</t>
        </is>
      </c>
      <c r="H1207" s="10" t="inlineStr">
        <is>
          <t>Set Wadah Kedap</t>
        </is>
      </c>
      <c r="I1207" s="19" t="n">
        <v>1</v>
      </c>
      <c r="J1207" s="20" t="n">
        <v>135000</v>
      </c>
      <c r="K1207" s="20" t="n">
        <v>135000</v>
      </c>
      <c r="L1207" s="10">
        <f>IF($B1207="","",TEXT($B1207,"YYYY-MM"))</f>
        <v/>
      </c>
    </row>
    <row r="1208">
      <c r="A1208" s="10" t="inlineStr">
        <is>
          <t>INV-70096</t>
        </is>
      </c>
      <c r="B1208" s="18" t="n">
        <v>46087</v>
      </c>
      <c r="C1208" s="10" t="inlineStr">
        <is>
          <t>C1028</t>
        </is>
      </c>
      <c r="D1208" s="10" t="inlineStr">
        <is>
          <t>occasional</t>
        </is>
      </c>
      <c r="E1208" s="10" t="inlineStr">
        <is>
          <t>Tokopedia</t>
        </is>
      </c>
      <c r="F1208" s="10" t="inlineStr">
        <is>
          <t>Jawa Tengah</t>
        </is>
      </c>
      <c r="G1208" s="10" t="inlineStr">
        <is>
          <t>Kecantikan</t>
        </is>
      </c>
      <c r="H1208" s="10" t="inlineStr">
        <is>
          <t>Masker Wajah (5s)</t>
        </is>
      </c>
      <c r="I1208" s="19" t="n">
        <v>1</v>
      </c>
      <c r="J1208" s="20" t="n">
        <v>55000</v>
      </c>
      <c r="K1208" s="20" t="n">
        <v>55000</v>
      </c>
      <c r="L1208" s="10">
        <f>IF($B1208="","",TEXT($B1208,"YYYY-MM"))</f>
        <v/>
      </c>
    </row>
    <row r="1209">
      <c r="A1209" s="10" t="inlineStr">
        <is>
          <t>INV-70559</t>
        </is>
      </c>
      <c r="B1209" s="18" t="n">
        <v>46087</v>
      </c>
      <c r="C1209" s="10" t="inlineStr">
        <is>
          <t>C1153</t>
        </is>
      </c>
      <c r="D1209" s="10" t="inlineStr">
        <is>
          <t>loyal</t>
        </is>
      </c>
      <c r="E1209" s="10" t="inlineStr">
        <is>
          <t>Shopee</t>
        </is>
      </c>
      <c r="F1209" s="10" t="inlineStr">
        <is>
          <t>Lainnya</t>
        </is>
      </c>
      <c r="G1209" s="10" t="inlineStr">
        <is>
          <t>Elektronik</t>
        </is>
      </c>
      <c r="H1209" s="10" t="inlineStr">
        <is>
          <t>Power Bank 20K</t>
        </is>
      </c>
      <c r="I1209" s="19" t="n">
        <v>1</v>
      </c>
      <c r="J1209" s="20" t="n">
        <v>185000</v>
      </c>
      <c r="K1209" s="20" t="n">
        <v>185000</v>
      </c>
      <c r="L1209" s="10">
        <f>IF($B1209="","",TEXT($B1209,"YYYY-MM"))</f>
        <v/>
      </c>
    </row>
    <row r="1210">
      <c r="A1210" s="10" t="inlineStr">
        <is>
          <t>INV-71340</t>
        </is>
      </c>
      <c r="B1210" s="18" t="n">
        <v>46087</v>
      </c>
      <c r="C1210" s="10" t="inlineStr">
        <is>
          <t>C1369</t>
        </is>
      </c>
      <c r="D1210" s="10" t="inlineStr">
        <is>
          <t>loyal</t>
        </is>
      </c>
      <c r="E1210" s="10" t="inlineStr">
        <is>
          <t>Offline Store</t>
        </is>
      </c>
      <c r="F1210" s="10" t="inlineStr">
        <is>
          <t>Jabodetabek</t>
        </is>
      </c>
      <c r="G1210" s="10" t="inlineStr">
        <is>
          <t>Rumah Tangga</t>
        </is>
      </c>
      <c r="H1210" s="10" t="inlineStr">
        <is>
          <t>Organizer Laci</t>
        </is>
      </c>
      <c r="I1210" s="19" t="n">
        <v>2</v>
      </c>
      <c r="J1210" s="20" t="n">
        <v>78000</v>
      </c>
      <c r="K1210" s="20" t="n">
        <v>156000</v>
      </c>
      <c r="L1210" s="10">
        <f>IF($B1210="","",TEXT($B1210,"YYYY-MM"))</f>
        <v/>
      </c>
    </row>
    <row r="1211">
      <c r="A1211" s="10" t="inlineStr">
        <is>
          <t>INV-70953</t>
        </is>
      </c>
      <c r="B1211" s="18" t="n">
        <v>46088</v>
      </c>
      <c r="C1211" s="10" t="inlineStr">
        <is>
          <t>C1271</t>
        </is>
      </c>
      <c r="D1211" s="10" t="inlineStr">
        <is>
          <t>regular</t>
        </is>
      </c>
      <c r="E1211" s="10" t="inlineStr">
        <is>
          <t>Offline Store</t>
        </is>
      </c>
      <c r="F1211" s="10" t="inlineStr">
        <is>
          <t>Jabodetabek</t>
        </is>
      </c>
      <c r="G1211" s="10" t="inlineStr">
        <is>
          <t>Rumah Tangga</t>
        </is>
      </c>
      <c r="H1211" s="10" t="inlineStr">
        <is>
          <t>Set Wadah Kedap</t>
        </is>
      </c>
      <c r="I1211" s="19" t="n">
        <v>2</v>
      </c>
      <c r="J1211" s="20" t="n">
        <v>135000</v>
      </c>
      <c r="K1211" s="20" t="n">
        <v>270000</v>
      </c>
      <c r="L1211" s="10">
        <f>IF($B1211="","",TEXT($B1211,"YYYY-MM"))</f>
        <v/>
      </c>
    </row>
    <row r="1212">
      <c r="A1212" s="10" t="inlineStr">
        <is>
          <t>INV-70914</t>
        </is>
      </c>
      <c r="B1212" s="18" t="n">
        <v>46088</v>
      </c>
      <c r="C1212" s="10" t="inlineStr">
        <is>
          <t>C1258</t>
        </is>
      </c>
      <c r="D1212" s="10" t="inlineStr">
        <is>
          <t>regular</t>
        </is>
      </c>
      <c r="E1212" s="10" t="inlineStr">
        <is>
          <t>Tokopedia</t>
        </is>
      </c>
      <c r="F1212" s="10" t="inlineStr">
        <is>
          <t>Jawa Timur</t>
        </is>
      </c>
      <c r="G1212" s="10" t="inlineStr">
        <is>
          <t>Fashion</t>
        </is>
      </c>
      <c r="H1212" s="10" t="inlineStr">
        <is>
          <t>Kaos Premium</t>
        </is>
      </c>
      <c r="I1212" s="19" t="n">
        <v>4</v>
      </c>
      <c r="J1212" s="20" t="n">
        <v>95000</v>
      </c>
      <c r="K1212" s="20" t="n">
        <v>380000</v>
      </c>
      <c r="L1212" s="10">
        <f>IF($B1212="","",TEXT($B1212,"YYYY-MM"))</f>
        <v/>
      </c>
    </row>
    <row r="1213">
      <c r="A1213" s="10" t="inlineStr">
        <is>
          <t>INV-70749</t>
        </is>
      </c>
      <c r="B1213" s="18" t="n">
        <v>46088</v>
      </c>
      <c r="C1213" s="10" t="inlineStr">
        <is>
          <t>C1210</t>
        </is>
      </c>
      <c r="D1213" s="10" t="inlineStr">
        <is>
          <t>loyal</t>
        </is>
      </c>
      <c r="E1213" s="10" t="inlineStr">
        <is>
          <t>Shopee</t>
        </is>
      </c>
      <c r="F1213" s="10" t="inlineStr">
        <is>
          <t>Jabodetabek</t>
        </is>
      </c>
      <c r="G1213" s="10" t="inlineStr">
        <is>
          <t>Elektronik</t>
        </is>
      </c>
      <c r="H1213" s="10" t="inlineStr">
        <is>
          <t>Smartwatch</t>
        </is>
      </c>
      <c r="I1213" s="19" t="n">
        <v>1</v>
      </c>
      <c r="J1213" s="20" t="n">
        <v>450000</v>
      </c>
      <c r="K1213" s="20" t="n">
        <v>450000</v>
      </c>
      <c r="L1213" s="10">
        <f>IF($B1213="","",TEXT($B1213,"YYYY-MM"))</f>
        <v/>
      </c>
    </row>
    <row r="1214">
      <c r="A1214" s="10" t="inlineStr">
        <is>
          <t>INV-70526</t>
        </is>
      </c>
      <c r="B1214" s="18" t="n">
        <v>46089</v>
      </c>
      <c r="C1214" s="10" t="inlineStr">
        <is>
          <t>C1145</t>
        </is>
      </c>
      <c r="D1214" s="10" t="inlineStr">
        <is>
          <t>occasional</t>
        </is>
      </c>
      <c r="E1214" s="10" t="inlineStr">
        <is>
          <t>Offline Store</t>
        </is>
      </c>
      <c r="F1214" s="10" t="inlineStr">
        <is>
          <t>Sumatera</t>
        </is>
      </c>
      <c r="G1214" s="10" t="inlineStr">
        <is>
          <t>Rumah Tangga</t>
        </is>
      </c>
      <c r="H1214" s="10" t="inlineStr">
        <is>
          <t>Organizer Laci</t>
        </is>
      </c>
      <c r="I1214" s="19" t="n">
        <v>1</v>
      </c>
      <c r="J1214" s="20" t="n">
        <v>78000</v>
      </c>
      <c r="K1214" s="20" t="n">
        <v>78000</v>
      </c>
      <c r="L1214" s="10">
        <f>IF($B1214="","",TEXT($B1214,"YYYY-MM"))</f>
        <v/>
      </c>
    </row>
    <row r="1215">
      <c r="A1215" s="10" t="inlineStr">
        <is>
          <t>INV-71420</t>
        </is>
      </c>
      <c r="B1215" s="18" t="n">
        <v>46089</v>
      </c>
      <c r="C1215" s="10" t="inlineStr">
        <is>
          <t>C1393</t>
        </is>
      </c>
      <c r="D1215" s="10" t="inlineStr">
        <is>
          <t>regular</t>
        </is>
      </c>
      <c r="E1215" s="10" t="inlineStr">
        <is>
          <t>TikTok Shop</t>
        </is>
      </c>
      <c r="F1215" s="10" t="inlineStr">
        <is>
          <t>Jawa Barat</t>
        </is>
      </c>
      <c r="G1215" s="10" t="inlineStr">
        <is>
          <t>Rumah Tangga</t>
        </is>
      </c>
      <c r="H1215" s="10" t="inlineStr">
        <is>
          <t>Set Wadah Kedap</t>
        </is>
      </c>
      <c r="I1215" s="19" t="n">
        <v>4</v>
      </c>
      <c r="J1215" s="20" t="n">
        <v>135000</v>
      </c>
      <c r="K1215" s="20" t="n">
        <v>540000</v>
      </c>
      <c r="L1215" s="10">
        <f>IF($B1215="","",TEXT($B1215,"YYYY-MM"))</f>
        <v/>
      </c>
    </row>
    <row r="1216">
      <c r="A1216" s="10" t="inlineStr">
        <is>
          <t>INV-70621</t>
        </is>
      </c>
      <c r="B1216" s="18" t="n">
        <v>46089</v>
      </c>
      <c r="C1216" s="10" t="inlineStr">
        <is>
          <t>C1170</t>
        </is>
      </c>
      <c r="D1216" s="10" t="inlineStr">
        <is>
          <t>champion</t>
        </is>
      </c>
      <c r="E1216" s="10" t="inlineStr">
        <is>
          <t>Tokopedia</t>
        </is>
      </c>
      <c r="F1216" s="10" t="inlineStr">
        <is>
          <t>Lainnya</t>
        </is>
      </c>
      <c r="G1216" s="10" t="inlineStr">
        <is>
          <t>Makanan</t>
        </is>
      </c>
      <c r="H1216" s="10" t="inlineStr">
        <is>
          <t>Madu Hutan 250ml</t>
        </is>
      </c>
      <c r="I1216" s="19" t="n">
        <v>1</v>
      </c>
      <c r="J1216" s="20" t="n">
        <v>110000</v>
      </c>
      <c r="K1216" s="20" t="n">
        <v>110000</v>
      </c>
      <c r="L1216" s="10">
        <f>IF($B1216="","",TEXT($B1216,"YYYY-MM"))</f>
        <v/>
      </c>
    </row>
    <row r="1217">
      <c r="A1217" s="10" t="inlineStr">
        <is>
          <t>INV-70148</t>
        </is>
      </c>
      <c r="B1217" s="18" t="n">
        <v>46089</v>
      </c>
      <c r="C1217" s="10" t="inlineStr">
        <is>
          <t>C1042</t>
        </is>
      </c>
      <c r="D1217" s="10" t="inlineStr">
        <is>
          <t>loyal</t>
        </is>
      </c>
      <c r="E1217" s="10" t="inlineStr">
        <is>
          <t>Tokopedia</t>
        </is>
      </c>
      <c r="F1217" s="10" t="inlineStr">
        <is>
          <t>Jabodetabek</t>
        </is>
      </c>
      <c r="G1217" s="10" t="inlineStr">
        <is>
          <t>Elektronik</t>
        </is>
      </c>
      <c r="H1217" s="10" t="inlineStr">
        <is>
          <t>Webcam HD</t>
        </is>
      </c>
      <c r="I1217" s="19" t="n">
        <v>1</v>
      </c>
      <c r="J1217" s="20" t="n">
        <v>210000</v>
      </c>
      <c r="K1217" s="20" t="n">
        <v>210000</v>
      </c>
      <c r="L1217" s="10">
        <f>IF($B1217="","",TEXT($B1217,"YYYY-MM"))</f>
        <v/>
      </c>
    </row>
    <row r="1218">
      <c r="A1218" s="10" t="inlineStr">
        <is>
          <t>INV-70904</t>
        </is>
      </c>
      <c r="B1218" s="18" t="n">
        <v>46089</v>
      </c>
      <c r="C1218" s="10" t="inlineStr">
        <is>
          <t>C1255</t>
        </is>
      </c>
      <c r="D1218" s="10" t="inlineStr">
        <is>
          <t>onetime</t>
        </is>
      </c>
      <c r="E1218" s="10" t="inlineStr">
        <is>
          <t>TikTok Shop</t>
        </is>
      </c>
      <c r="F1218" s="10" t="inlineStr">
        <is>
          <t>Jawa Barat</t>
        </is>
      </c>
      <c r="G1218" s="10" t="inlineStr">
        <is>
          <t>Elektronik</t>
        </is>
      </c>
      <c r="H1218" s="10" t="inlineStr">
        <is>
          <t>Power Bank 20K</t>
        </is>
      </c>
      <c r="I1218" s="19" t="n">
        <v>1</v>
      </c>
      <c r="J1218" s="20" t="n">
        <v>185000</v>
      </c>
      <c r="K1218" s="20" t="n">
        <v>185000</v>
      </c>
      <c r="L1218" s="10">
        <f>IF($B1218="","",TEXT($B1218,"YYYY-MM"))</f>
        <v/>
      </c>
    </row>
    <row r="1219">
      <c r="A1219" s="10" t="inlineStr">
        <is>
          <t>INV-71123</t>
        </is>
      </c>
      <c r="B1219" s="18" t="n">
        <v>46089</v>
      </c>
      <c r="C1219" s="10" t="inlineStr">
        <is>
          <t>C1315</t>
        </is>
      </c>
      <c r="D1219" s="10" t="inlineStr">
        <is>
          <t>regular</t>
        </is>
      </c>
      <c r="E1219" s="10" t="inlineStr">
        <is>
          <t>Shopee</t>
        </is>
      </c>
      <c r="F1219" s="10" t="inlineStr">
        <is>
          <t>Jawa Barat</t>
        </is>
      </c>
      <c r="G1219" s="10" t="inlineStr">
        <is>
          <t>Rumah Tangga</t>
        </is>
      </c>
      <c r="H1219" s="10" t="inlineStr">
        <is>
          <t>Set Wadah Kedap</t>
        </is>
      </c>
      <c r="I1219" s="19" t="n">
        <v>2</v>
      </c>
      <c r="J1219" s="20" t="n">
        <v>135000</v>
      </c>
      <c r="K1219" s="20" t="n">
        <v>270000</v>
      </c>
      <c r="L1219" s="10">
        <f>IF($B1219="","",TEXT($B1219,"YYYY-MM"))</f>
        <v/>
      </c>
    </row>
    <row r="1220">
      <c r="A1220" s="10" t="inlineStr">
        <is>
          <t>INV-71233</t>
        </is>
      </c>
      <c r="B1220" s="18" t="n">
        <v>46090</v>
      </c>
      <c r="C1220" s="10" t="inlineStr">
        <is>
          <t>C1349</t>
        </is>
      </c>
      <c r="D1220" s="10" t="inlineStr">
        <is>
          <t>champion</t>
        </is>
      </c>
      <c r="E1220" s="10" t="inlineStr">
        <is>
          <t>TikTok Shop</t>
        </is>
      </c>
      <c r="F1220" s="10" t="inlineStr">
        <is>
          <t>Jabodetabek</t>
        </is>
      </c>
      <c r="G1220" s="10" t="inlineStr">
        <is>
          <t>Kecantikan</t>
        </is>
      </c>
      <c r="H1220" s="10" t="inlineStr">
        <is>
          <t>Masker Wajah (5s)</t>
        </is>
      </c>
      <c r="I1220" s="19" t="n">
        <v>2</v>
      </c>
      <c r="J1220" s="20" t="n">
        <v>55000</v>
      </c>
      <c r="K1220" s="20" t="n">
        <v>110000</v>
      </c>
      <c r="L1220" s="10">
        <f>IF($B1220="","",TEXT($B1220,"YYYY-MM"))</f>
        <v/>
      </c>
    </row>
    <row r="1221">
      <c r="A1221" s="10" t="inlineStr">
        <is>
          <t>INV-71328</t>
        </is>
      </c>
      <c r="B1221" s="18" t="n">
        <v>46091</v>
      </c>
      <c r="C1221" s="10" t="inlineStr">
        <is>
          <t>C1366</t>
        </is>
      </c>
      <c r="D1221" s="10" t="inlineStr">
        <is>
          <t>loyal</t>
        </is>
      </c>
      <c r="E1221" s="10" t="inlineStr">
        <is>
          <t>Offline Store</t>
        </is>
      </c>
      <c r="F1221" s="10" t="inlineStr">
        <is>
          <t>Jabodetabek</t>
        </is>
      </c>
      <c r="G1221" s="10" t="inlineStr">
        <is>
          <t>Elektronik</t>
        </is>
      </c>
      <c r="H1221" s="10" t="inlineStr">
        <is>
          <t>Webcam HD</t>
        </is>
      </c>
      <c r="I1221" s="19" t="n">
        <v>3</v>
      </c>
      <c r="J1221" s="20" t="n">
        <v>210000</v>
      </c>
      <c r="K1221" s="20" t="n">
        <v>630000</v>
      </c>
      <c r="L1221" s="10">
        <f>IF($B1221="","",TEXT($B1221,"YYYY-MM"))</f>
        <v/>
      </c>
    </row>
    <row r="1222">
      <c r="A1222" s="10" t="inlineStr">
        <is>
          <t>INV-70918</t>
        </is>
      </c>
      <c r="B1222" s="18" t="n">
        <v>46091</v>
      </c>
      <c r="C1222" s="10" t="inlineStr">
        <is>
          <t>C1259</t>
        </is>
      </c>
      <c r="D1222" s="10" t="inlineStr">
        <is>
          <t>onetime</t>
        </is>
      </c>
      <c r="E1222" s="10" t="inlineStr">
        <is>
          <t>TikTok Shop</t>
        </is>
      </c>
      <c r="F1222" s="10" t="inlineStr">
        <is>
          <t>Jawa Tengah</t>
        </is>
      </c>
      <c r="G1222" s="10" t="inlineStr">
        <is>
          <t>Elektronik</t>
        </is>
      </c>
      <c r="H1222" s="10" t="inlineStr">
        <is>
          <t>Power Bank 20K</t>
        </is>
      </c>
      <c r="I1222" s="19" t="n">
        <v>2</v>
      </c>
      <c r="J1222" s="20" t="n">
        <v>185000</v>
      </c>
      <c r="K1222" s="20" t="n">
        <v>370000</v>
      </c>
      <c r="L1222" s="10">
        <f>IF($B1222="","",TEXT($B1222,"YYYY-MM"))</f>
        <v/>
      </c>
    </row>
    <row r="1223">
      <c r="A1223" s="10" t="inlineStr">
        <is>
          <t>INV-70299</t>
        </is>
      </c>
      <c r="B1223" s="18" t="n">
        <v>46091</v>
      </c>
      <c r="C1223" s="10" t="inlineStr">
        <is>
          <t>C1084</t>
        </is>
      </c>
      <c r="D1223" s="10" t="inlineStr">
        <is>
          <t>loyal</t>
        </is>
      </c>
      <c r="E1223" s="10" t="inlineStr">
        <is>
          <t>Shopee</t>
        </is>
      </c>
      <c r="F1223" s="10" t="inlineStr">
        <is>
          <t>Jabodetabek</t>
        </is>
      </c>
      <c r="G1223" s="10" t="inlineStr">
        <is>
          <t>Elektronik</t>
        </is>
      </c>
      <c r="H1223" s="10" t="inlineStr">
        <is>
          <t>Webcam HD</t>
        </is>
      </c>
      <c r="I1223" s="19" t="n">
        <v>4</v>
      </c>
      <c r="J1223" s="20" t="n">
        <v>210000</v>
      </c>
      <c r="K1223" s="20" t="n">
        <v>840000</v>
      </c>
      <c r="L1223" s="10">
        <f>IF($B1223="","",TEXT($B1223,"YYYY-MM"))</f>
        <v/>
      </c>
    </row>
    <row r="1224">
      <c r="A1224" s="10" t="inlineStr">
        <is>
          <t>INV-71438</t>
        </is>
      </c>
      <c r="B1224" s="18" t="n">
        <v>46092</v>
      </c>
      <c r="C1224" s="10" t="inlineStr">
        <is>
          <t>C1396</t>
        </is>
      </c>
      <c r="D1224" s="10" t="inlineStr">
        <is>
          <t>loyal</t>
        </is>
      </c>
      <c r="E1224" s="10" t="inlineStr">
        <is>
          <t>Tokopedia</t>
        </is>
      </c>
      <c r="F1224" s="10" t="inlineStr">
        <is>
          <t>Jawa Timur</t>
        </is>
      </c>
      <c r="G1224" s="10" t="inlineStr">
        <is>
          <t>Kecantikan</t>
        </is>
      </c>
      <c r="H1224" s="10" t="inlineStr">
        <is>
          <t>Masker Wajah (5s)</t>
        </is>
      </c>
      <c r="I1224" s="19" t="n">
        <v>1</v>
      </c>
      <c r="J1224" s="20" t="n">
        <v>55000</v>
      </c>
      <c r="K1224" s="20" t="n">
        <v>55000</v>
      </c>
      <c r="L1224" s="10">
        <f>IF($B1224="","",TEXT($B1224,"YYYY-MM"))</f>
        <v/>
      </c>
    </row>
    <row r="1225">
      <c r="A1225" s="10" t="inlineStr">
        <is>
          <t>INV-71292</t>
        </is>
      </c>
      <c r="B1225" s="18" t="n">
        <v>46092</v>
      </c>
      <c r="C1225" s="10" t="inlineStr">
        <is>
          <t>C1359</t>
        </is>
      </c>
      <c r="D1225" s="10" t="inlineStr">
        <is>
          <t>champion</t>
        </is>
      </c>
      <c r="E1225" s="10" t="inlineStr">
        <is>
          <t>Offline Store</t>
        </is>
      </c>
      <c r="F1225" s="10" t="inlineStr">
        <is>
          <t>Jawa Barat</t>
        </is>
      </c>
      <c r="G1225" s="10" t="inlineStr">
        <is>
          <t>Makanan</t>
        </is>
      </c>
      <c r="H1225" s="10" t="inlineStr">
        <is>
          <t>Granola 500g</t>
        </is>
      </c>
      <c r="I1225" s="19" t="n">
        <v>4</v>
      </c>
      <c r="J1225" s="20" t="n">
        <v>92000</v>
      </c>
      <c r="K1225" s="20" t="n">
        <v>368000</v>
      </c>
      <c r="L1225" s="10">
        <f>IF($B1225="","",TEXT($B1225,"YYYY-MM"))</f>
        <v/>
      </c>
    </row>
    <row r="1226">
      <c r="A1226" s="10" t="inlineStr">
        <is>
          <t>INV-70772</t>
        </is>
      </c>
      <c r="B1226" s="18" t="n">
        <v>46093</v>
      </c>
      <c r="C1226" s="10" t="inlineStr">
        <is>
          <t>C1216</t>
        </is>
      </c>
      <c r="D1226" s="10" t="inlineStr">
        <is>
          <t>occasional</t>
        </is>
      </c>
      <c r="E1226" s="10" t="inlineStr">
        <is>
          <t>Tokopedia</t>
        </is>
      </c>
      <c r="F1226" s="10" t="inlineStr">
        <is>
          <t>Sumatera</t>
        </is>
      </c>
      <c r="G1226" s="10" t="inlineStr">
        <is>
          <t>Rumah Tangga</t>
        </is>
      </c>
      <c r="H1226" s="10" t="inlineStr">
        <is>
          <t>Set Wadah Kedap</t>
        </is>
      </c>
      <c r="I1226" s="19" t="n">
        <v>1</v>
      </c>
      <c r="J1226" s="20" t="n">
        <v>135000</v>
      </c>
      <c r="K1226" s="20" t="n">
        <v>135000</v>
      </c>
      <c r="L1226" s="10">
        <f>IF($B1226="","",TEXT($B1226,"YYYY-MM"))</f>
        <v/>
      </c>
    </row>
    <row r="1227">
      <c r="A1227" s="10" t="inlineStr">
        <is>
          <t>INV-70648</t>
        </is>
      </c>
      <c r="B1227" s="18" t="n">
        <v>46093</v>
      </c>
      <c r="C1227" s="10" t="inlineStr">
        <is>
          <t>C1177</t>
        </is>
      </c>
      <c r="D1227" s="10" t="inlineStr">
        <is>
          <t>occasional</t>
        </is>
      </c>
      <c r="E1227" s="10" t="inlineStr">
        <is>
          <t>Shopee</t>
        </is>
      </c>
      <c r="F1227" s="10" t="inlineStr">
        <is>
          <t>Sumatera</t>
        </is>
      </c>
      <c r="G1227" s="10" t="inlineStr">
        <is>
          <t>Makanan</t>
        </is>
      </c>
      <c r="H1227" s="10" t="inlineStr">
        <is>
          <t>Granola 500g</t>
        </is>
      </c>
      <c r="I1227" s="19" t="n">
        <v>2</v>
      </c>
      <c r="J1227" s="20" t="n">
        <v>92000</v>
      </c>
      <c r="K1227" s="20" t="n">
        <v>184000</v>
      </c>
      <c r="L1227" s="10">
        <f>IF($B1227="","",TEXT($B1227,"YYYY-MM"))</f>
        <v/>
      </c>
    </row>
    <row r="1228">
      <c r="A1228" s="10" t="inlineStr">
        <is>
          <t>INV-70980</t>
        </is>
      </c>
      <c r="B1228" s="18" t="n">
        <v>46093</v>
      </c>
      <c r="C1228" s="10" t="inlineStr">
        <is>
          <t>C1281</t>
        </is>
      </c>
      <c r="D1228" s="10" t="inlineStr">
        <is>
          <t>regular</t>
        </is>
      </c>
      <c r="E1228" s="10" t="inlineStr">
        <is>
          <t>Offline Store</t>
        </is>
      </c>
      <c r="F1228" s="10" t="inlineStr">
        <is>
          <t>Jabodetabek</t>
        </is>
      </c>
      <c r="G1228" s="10" t="inlineStr">
        <is>
          <t>Rumah Tangga</t>
        </is>
      </c>
      <c r="H1228" s="10" t="inlineStr">
        <is>
          <t>Set Wadah Kedap</t>
        </is>
      </c>
      <c r="I1228" s="19" t="n">
        <v>2</v>
      </c>
      <c r="J1228" s="20" t="n">
        <v>135000</v>
      </c>
      <c r="K1228" s="20" t="n">
        <v>270000</v>
      </c>
      <c r="L1228" s="10">
        <f>IF($B1228="","",TEXT($B1228,"YYYY-MM"))</f>
        <v/>
      </c>
    </row>
    <row r="1229">
      <c r="A1229" s="10" t="inlineStr">
        <is>
          <t>INV-70549</t>
        </is>
      </c>
      <c r="B1229" s="18" t="n">
        <v>46094</v>
      </c>
      <c r="C1229" s="10" t="inlineStr">
        <is>
          <t>C1150</t>
        </is>
      </c>
      <c r="D1229" s="10" t="inlineStr">
        <is>
          <t>champion</t>
        </is>
      </c>
      <c r="E1229" s="10" t="inlineStr">
        <is>
          <t>TikTok Shop</t>
        </is>
      </c>
      <c r="F1229" s="10" t="inlineStr">
        <is>
          <t>Jabodetabek</t>
        </is>
      </c>
      <c r="G1229" s="10" t="inlineStr">
        <is>
          <t>Rumah Tangga</t>
        </is>
      </c>
      <c r="H1229" s="10" t="inlineStr">
        <is>
          <t>Set Wadah Kedap</t>
        </is>
      </c>
      <c r="I1229" s="19" t="n">
        <v>1</v>
      </c>
      <c r="J1229" s="20" t="n">
        <v>135000</v>
      </c>
      <c r="K1229" s="20" t="n">
        <v>135000</v>
      </c>
      <c r="L1229" s="10">
        <f>IF($B1229="","",TEXT($B1229,"YYYY-MM"))</f>
        <v/>
      </c>
    </row>
    <row r="1230">
      <c r="A1230" s="10" t="inlineStr">
        <is>
          <t>INV-70790</t>
        </is>
      </c>
      <c r="B1230" s="18" t="n">
        <v>46094</v>
      </c>
      <c r="C1230" s="10" t="inlineStr">
        <is>
          <t>C1222</t>
        </is>
      </c>
      <c r="D1230" s="10" t="inlineStr">
        <is>
          <t>loyal</t>
        </is>
      </c>
      <c r="E1230" s="10" t="inlineStr">
        <is>
          <t>Offline Store</t>
        </is>
      </c>
      <c r="F1230" s="10" t="inlineStr">
        <is>
          <t>Jawa Barat</t>
        </is>
      </c>
      <c r="G1230" s="10" t="inlineStr">
        <is>
          <t>Elektronik</t>
        </is>
      </c>
      <c r="H1230" s="10" t="inlineStr">
        <is>
          <t>Smartwatch</t>
        </is>
      </c>
      <c r="I1230" s="19" t="n">
        <v>1</v>
      </c>
      <c r="J1230" s="20" t="n">
        <v>450000</v>
      </c>
      <c r="K1230" s="20" t="n">
        <v>450000</v>
      </c>
      <c r="L1230" s="10">
        <f>IF($B1230="","",TEXT($B1230,"YYYY-MM"))</f>
        <v/>
      </c>
    </row>
    <row r="1231">
      <c r="A1231" s="10" t="inlineStr">
        <is>
          <t>INV-70775</t>
        </is>
      </c>
      <c r="B1231" s="18" t="n">
        <v>46094</v>
      </c>
      <c r="C1231" s="10" t="inlineStr">
        <is>
          <t>C1219</t>
        </is>
      </c>
      <c r="D1231" s="10" t="inlineStr">
        <is>
          <t>occasional</t>
        </is>
      </c>
      <c r="E1231" s="10" t="inlineStr">
        <is>
          <t>Shopee</t>
        </is>
      </c>
      <c r="F1231" s="10" t="inlineStr">
        <is>
          <t>Jawa Timur</t>
        </is>
      </c>
      <c r="G1231" s="10" t="inlineStr">
        <is>
          <t>Elektronik</t>
        </is>
      </c>
      <c r="H1231" s="10" t="inlineStr">
        <is>
          <t>Power Bank 20K</t>
        </is>
      </c>
      <c r="I1231" s="19" t="n">
        <v>2</v>
      </c>
      <c r="J1231" s="20" t="n">
        <v>185000</v>
      </c>
      <c r="K1231" s="20" t="n">
        <v>370000</v>
      </c>
      <c r="L1231" s="10">
        <f>IF($B1231="","",TEXT($B1231,"YYYY-MM"))</f>
        <v/>
      </c>
    </row>
    <row r="1232">
      <c r="A1232" s="10" t="inlineStr">
        <is>
          <t>INV-70209</t>
        </is>
      </c>
      <c r="B1232" s="18" t="n">
        <v>46095</v>
      </c>
      <c r="C1232" s="10" t="inlineStr">
        <is>
          <t>C1059</t>
        </is>
      </c>
      <c r="D1232" s="10" t="inlineStr">
        <is>
          <t>regular</t>
        </is>
      </c>
      <c r="E1232" s="10" t="inlineStr">
        <is>
          <t>Shopee</t>
        </is>
      </c>
      <c r="F1232" s="10" t="inlineStr">
        <is>
          <t>Jabodetabek</t>
        </is>
      </c>
      <c r="G1232" s="10" t="inlineStr">
        <is>
          <t>Elektronik</t>
        </is>
      </c>
      <c r="H1232" s="10" t="inlineStr">
        <is>
          <t>Webcam HD</t>
        </is>
      </c>
      <c r="I1232" s="19" t="n">
        <v>1</v>
      </c>
      <c r="J1232" s="20" t="n">
        <v>210000</v>
      </c>
      <c r="K1232" s="20" t="n">
        <v>210000</v>
      </c>
      <c r="L1232" s="10">
        <f>IF($B1232="","",TEXT($B1232,"YYYY-MM"))</f>
        <v/>
      </c>
    </row>
    <row r="1233">
      <c r="A1233" s="10" t="inlineStr">
        <is>
          <t>INV-70427</t>
        </is>
      </c>
      <c r="B1233" s="18" t="n">
        <v>46095</v>
      </c>
      <c r="C1233" s="10" t="inlineStr">
        <is>
          <t>C1121</t>
        </is>
      </c>
      <c r="D1233" s="10" t="inlineStr">
        <is>
          <t>onetime</t>
        </is>
      </c>
      <c r="E1233" s="10" t="inlineStr">
        <is>
          <t>TikTok Shop</t>
        </is>
      </c>
      <c r="F1233" s="10" t="inlineStr">
        <is>
          <t>Jawa Barat</t>
        </is>
      </c>
      <c r="G1233" s="10" t="inlineStr">
        <is>
          <t>Rumah Tangga</t>
        </is>
      </c>
      <c r="H1233" s="10" t="inlineStr">
        <is>
          <t>Set Wadah Kedap</t>
        </is>
      </c>
      <c r="I1233" s="19" t="n">
        <v>2</v>
      </c>
      <c r="J1233" s="20" t="n">
        <v>135000</v>
      </c>
      <c r="K1233" s="20" t="n">
        <v>270000</v>
      </c>
      <c r="L1233" s="10">
        <f>IF($B1233="","",TEXT($B1233,"YYYY-MM"))</f>
        <v/>
      </c>
    </row>
    <row r="1234">
      <c r="A1234" s="10" t="inlineStr">
        <is>
          <t>INV-70906</t>
        </is>
      </c>
      <c r="B1234" s="18" t="n">
        <v>46095</v>
      </c>
      <c r="C1234" s="10" t="inlineStr">
        <is>
          <t>C1256</t>
        </is>
      </c>
      <c r="D1234" s="10" t="inlineStr">
        <is>
          <t>loyal</t>
        </is>
      </c>
      <c r="E1234" s="10" t="inlineStr">
        <is>
          <t>TikTok Shop</t>
        </is>
      </c>
      <c r="F1234" s="10" t="inlineStr">
        <is>
          <t>Jawa Barat</t>
        </is>
      </c>
      <c r="G1234" s="10" t="inlineStr">
        <is>
          <t>Elektronik</t>
        </is>
      </c>
      <c r="H1234" s="10" t="inlineStr">
        <is>
          <t>Smartwatch</t>
        </is>
      </c>
      <c r="I1234" s="19" t="n">
        <v>2</v>
      </c>
      <c r="J1234" s="20" t="n">
        <v>450000</v>
      </c>
      <c r="K1234" s="20" t="n">
        <v>900000</v>
      </c>
      <c r="L1234" s="10">
        <f>IF($B1234="","",TEXT($B1234,"YYYY-MM"))</f>
        <v/>
      </c>
    </row>
    <row r="1235">
      <c r="A1235" s="10" t="inlineStr">
        <is>
          <t>INV-71042</t>
        </is>
      </c>
      <c r="B1235" s="18" t="n">
        <v>46095</v>
      </c>
      <c r="C1235" s="10" t="inlineStr">
        <is>
          <t>C1295</t>
        </is>
      </c>
      <c r="D1235" s="10" t="inlineStr">
        <is>
          <t>regular</t>
        </is>
      </c>
      <c r="E1235" s="10" t="inlineStr">
        <is>
          <t>Tokopedia</t>
        </is>
      </c>
      <c r="F1235" s="10" t="inlineStr">
        <is>
          <t>Jawa Barat</t>
        </is>
      </c>
      <c r="G1235" s="10" t="inlineStr">
        <is>
          <t>Elektronik</t>
        </is>
      </c>
      <c r="H1235" s="10" t="inlineStr">
        <is>
          <t>Power Bank 20K</t>
        </is>
      </c>
      <c r="I1235" s="19" t="n">
        <v>3</v>
      </c>
      <c r="J1235" s="20" t="n">
        <v>185000</v>
      </c>
      <c r="K1235" s="20" t="n">
        <v>555000</v>
      </c>
      <c r="L1235" s="10">
        <f>IF($B1235="","",TEXT($B1235,"YYYY-MM"))</f>
        <v/>
      </c>
    </row>
    <row r="1236">
      <c r="A1236" s="10" t="inlineStr">
        <is>
          <t>INV-70945</t>
        </is>
      </c>
      <c r="B1236" s="18" t="n">
        <v>46096</v>
      </c>
      <c r="C1236" s="10" t="inlineStr">
        <is>
          <t>C1268</t>
        </is>
      </c>
      <c r="D1236" s="10" t="inlineStr">
        <is>
          <t>regular</t>
        </is>
      </c>
      <c r="E1236" s="10" t="inlineStr">
        <is>
          <t>Tokopedia</t>
        </is>
      </c>
      <c r="F1236" s="10" t="inlineStr">
        <is>
          <t>Jabodetabek</t>
        </is>
      </c>
      <c r="G1236" s="10" t="inlineStr">
        <is>
          <t>Fashion</t>
        </is>
      </c>
      <c r="H1236" s="10" t="inlineStr">
        <is>
          <t>Dress Casual</t>
        </is>
      </c>
      <c r="I1236" s="19" t="n">
        <v>2</v>
      </c>
      <c r="J1236" s="20" t="n">
        <v>225000</v>
      </c>
      <c r="K1236" s="20" t="n">
        <v>450000</v>
      </c>
      <c r="L1236" s="10">
        <f>IF($B1236="","",TEXT($B1236,"YYYY-MM"))</f>
        <v/>
      </c>
    </row>
    <row r="1237">
      <c r="A1237" s="10" t="inlineStr">
        <is>
          <t>INV-70199</t>
        </is>
      </c>
      <c r="B1237" s="18" t="n">
        <v>46096</v>
      </c>
      <c r="C1237" s="10" t="inlineStr">
        <is>
          <t>C1057</t>
        </is>
      </c>
      <c r="D1237" s="10" t="inlineStr">
        <is>
          <t>regular</t>
        </is>
      </c>
      <c r="E1237" s="10" t="inlineStr">
        <is>
          <t>Shopee</t>
        </is>
      </c>
      <c r="F1237" s="10" t="inlineStr">
        <is>
          <t>Jabodetabek</t>
        </is>
      </c>
      <c r="G1237" s="10" t="inlineStr">
        <is>
          <t>Fashion</t>
        </is>
      </c>
      <c r="H1237" s="10" t="inlineStr">
        <is>
          <t>Dress Casual</t>
        </is>
      </c>
      <c r="I1237" s="19" t="n">
        <v>2</v>
      </c>
      <c r="J1237" s="20" t="n">
        <v>225000</v>
      </c>
      <c r="K1237" s="20" t="n">
        <v>450000</v>
      </c>
      <c r="L1237" s="10">
        <f>IF($B1237="","",TEXT($B1237,"YYYY-MM"))</f>
        <v/>
      </c>
    </row>
    <row r="1238">
      <c r="A1238" s="10" t="inlineStr">
        <is>
          <t>INV-71494</t>
        </is>
      </c>
      <c r="B1238" s="18" t="n">
        <v>46096</v>
      </c>
      <c r="C1238" s="10" t="inlineStr">
        <is>
          <t>C1412</t>
        </is>
      </c>
      <c r="D1238" s="10" t="inlineStr">
        <is>
          <t>champion</t>
        </is>
      </c>
      <c r="E1238" s="10" t="inlineStr">
        <is>
          <t>Offline Store</t>
        </is>
      </c>
      <c r="F1238" s="10" t="inlineStr">
        <is>
          <t>Jawa Barat</t>
        </is>
      </c>
      <c r="G1238" s="10" t="inlineStr">
        <is>
          <t>Rumah Tangga</t>
        </is>
      </c>
      <c r="H1238" s="10" t="inlineStr">
        <is>
          <t>Set Wadah Kedap</t>
        </is>
      </c>
      <c r="I1238" s="19" t="n">
        <v>2</v>
      </c>
      <c r="J1238" s="20" t="n">
        <v>135000</v>
      </c>
      <c r="K1238" s="20" t="n">
        <v>270000</v>
      </c>
      <c r="L1238" s="10">
        <f>IF($B1238="","",TEXT($B1238,"YYYY-MM"))</f>
        <v/>
      </c>
    </row>
    <row r="1239">
      <c r="A1239" s="10" t="inlineStr">
        <is>
          <t>INV-70272</t>
        </is>
      </c>
      <c r="B1239" s="18" t="n">
        <v>46097</v>
      </c>
      <c r="C1239" s="10" t="inlineStr">
        <is>
          <t>C1077</t>
        </is>
      </c>
      <c r="D1239" s="10" t="inlineStr">
        <is>
          <t>regular</t>
        </is>
      </c>
      <c r="E1239" s="10" t="inlineStr">
        <is>
          <t>Shopee</t>
        </is>
      </c>
      <c r="F1239" s="10" t="inlineStr">
        <is>
          <t>Sumatera</t>
        </is>
      </c>
      <c r="G1239" s="10" t="inlineStr">
        <is>
          <t>Rumah Tangga</t>
        </is>
      </c>
      <c r="H1239" s="10" t="inlineStr">
        <is>
          <t>Set Wadah Kedap</t>
        </is>
      </c>
      <c r="I1239" s="19" t="n">
        <v>2</v>
      </c>
      <c r="J1239" s="20" t="n">
        <v>135000</v>
      </c>
      <c r="K1239" s="20" t="n">
        <v>270000</v>
      </c>
      <c r="L1239" s="10">
        <f>IF($B1239="","",TEXT($B1239,"YYYY-MM"))</f>
        <v/>
      </c>
    </row>
    <row r="1240">
      <c r="A1240" s="10" t="inlineStr">
        <is>
          <t>INV-70936</t>
        </is>
      </c>
      <c r="B1240" s="18" t="n">
        <v>46097</v>
      </c>
      <c r="C1240" s="10" t="inlineStr">
        <is>
          <t>C1262</t>
        </is>
      </c>
      <c r="D1240" s="10" t="inlineStr">
        <is>
          <t>regular</t>
        </is>
      </c>
      <c r="E1240" s="10" t="inlineStr">
        <is>
          <t>Offline Store</t>
        </is>
      </c>
      <c r="F1240" s="10" t="inlineStr">
        <is>
          <t>Jabodetabek</t>
        </is>
      </c>
      <c r="G1240" s="10" t="inlineStr">
        <is>
          <t>Elektronik</t>
        </is>
      </c>
      <c r="H1240" s="10" t="inlineStr">
        <is>
          <t>Webcam HD</t>
        </is>
      </c>
      <c r="I1240" s="19" t="n">
        <v>1</v>
      </c>
      <c r="J1240" s="20" t="n">
        <v>210000</v>
      </c>
      <c r="K1240" s="20" t="n">
        <v>210000</v>
      </c>
      <c r="L1240" s="10">
        <f>IF($B1240="","",TEXT($B1240,"YYYY-MM"))</f>
        <v/>
      </c>
    </row>
    <row r="1241">
      <c r="A1241" s="10" t="inlineStr">
        <is>
          <t>INV-71508</t>
        </is>
      </c>
      <c r="B1241" s="18" t="n">
        <v>46097</v>
      </c>
      <c r="C1241" s="10" t="inlineStr">
        <is>
          <t>C1413</t>
        </is>
      </c>
      <c r="D1241" s="10" t="inlineStr">
        <is>
          <t>occasional</t>
        </is>
      </c>
      <c r="E1241" s="10" t="inlineStr">
        <is>
          <t>Offline Store</t>
        </is>
      </c>
      <c r="F1241" s="10" t="inlineStr">
        <is>
          <t>Jawa Barat</t>
        </is>
      </c>
      <c r="G1241" s="10" t="inlineStr">
        <is>
          <t>Rumah Tangga</t>
        </is>
      </c>
      <c r="H1241" s="10" t="inlineStr">
        <is>
          <t>Set Wadah Kedap</t>
        </is>
      </c>
      <c r="I1241" s="19" t="n">
        <v>1</v>
      </c>
      <c r="J1241" s="20" t="n">
        <v>135000</v>
      </c>
      <c r="K1241" s="20" t="n">
        <v>135000</v>
      </c>
      <c r="L1241" s="10">
        <f>IF($B1241="","",TEXT($B1241,"YYYY-MM"))</f>
        <v/>
      </c>
    </row>
    <row r="1242">
      <c r="A1242" s="10" t="inlineStr">
        <is>
          <t>INV-70751</t>
        </is>
      </c>
      <c r="B1242" s="18" t="n">
        <v>46097</v>
      </c>
      <c r="C1242" s="10" t="inlineStr">
        <is>
          <t>C1210</t>
        </is>
      </c>
      <c r="D1242" s="10" t="inlineStr">
        <is>
          <t>loyal</t>
        </is>
      </c>
      <c r="E1242" s="10" t="inlineStr">
        <is>
          <t>Tokopedia</t>
        </is>
      </c>
      <c r="F1242" s="10" t="inlineStr">
        <is>
          <t>Jabodetabek</t>
        </is>
      </c>
      <c r="G1242" s="10" t="inlineStr">
        <is>
          <t>Rumah Tangga</t>
        </is>
      </c>
      <c r="H1242" s="10" t="inlineStr">
        <is>
          <t>Set Wadah Kedap</t>
        </is>
      </c>
      <c r="I1242" s="19" t="n">
        <v>1</v>
      </c>
      <c r="J1242" s="20" t="n">
        <v>135000</v>
      </c>
      <c r="K1242" s="20" t="n">
        <v>135000</v>
      </c>
      <c r="L1242" s="10">
        <f>IF($B1242="","",TEXT($B1242,"YYYY-MM"))</f>
        <v/>
      </c>
    </row>
    <row r="1243">
      <c r="A1243" s="10" t="inlineStr">
        <is>
          <t>INV-70944</t>
        </is>
      </c>
      <c r="B1243" s="18" t="n">
        <v>46097</v>
      </c>
      <c r="C1243" s="10" t="inlineStr">
        <is>
          <t>C1267</t>
        </is>
      </c>
      <c r="D1243" s="10" t="inlineStr">
        <is>
          <t>occasional</t>
        </is>
      </c>
      <c r="E1243" s="10" t="inlineStr">
        <is>
          <t>Shopee</t>
        </is>
      </c>
      <c r="F1243" s="10" t="inlineStr">
        <is>
          <t>Jabodetabek</t>
        </is>
      </c>
      <c r="G1243" s="10" t="inlineStr">
        <is>
          <t>Rumah Tangga</t>
        </is>
      </c>
      <c r="H1243" s="10" t="inlineStr">
        <is>
          <t>Organizer Laci</t>
        </is>
      </c>
      <c r="I1243" s="19" t="n">
        <v>4</v>
      </c>
      <c r="J1243" s="20" t="n">
        <v>78000</v>
      </c>
      <c r="K1243" s="20" t="n">
        <v>312000</v>
      </c>
      <c r="L1243" s="10">
        <f>IF($B1243="","",TEXT($B1243,"YYYY-MM"))</f>
        <v/>
      </c>
    </row>
    <row r="1244">
      <c r="A1244" s="10" t="inlineStr">
        <is>
          <t>INV-71030</t>
        </is>
      </c>
      <c r="B1244" s="18" t="n">
        <v>46097</v>
      </c>
      <c r="C1244" s="10" t="inlineStr">
        <is>
          <t>C1292</t>
        </is>
      </c>
      <c r="D1244" s="10" t="inlineStr">
        <is>
          <t>regular</t>
        </is>
      </c>
      <c r="E1244" s="10" t="inlineStr">
        <is>
          <t>Shopee</t>
        </is>
      </c>
      <c r="F1244" s="10" t="inlineStr">
        <is>
          <t>Sumatera</t>
        </is>
      </c>
      <c r="G1244" s="10" t="inlineStr">
        <is>
          <t>Elektronik</t>
        </is>
      </c>
      <c r="H1244" s="10" t="inlineStr">
        <is>
          <t>Smartwatch</t>
        </is>
      </c>
      <c r="I1244" s="19" t="n">
        <v>3</v>
      </c>
      <c r="J1244" s="20" t="n">
        <v>450000</v>
      </c>
      <c r="K1244" s="20" t="n">
        <v>1350000</v>
      </c>
      <c r="L1244" s="10">
        <f>IF($B1244="","",TEXT($B1244,"YYYY-MM"))</f>
        <v/>
      </c>
    </row>
    <row r="1245">
      <c r="A1245" s="10" t="inlineStr">
        <is>
          <t>INV-70174</t>
        </is>
      </c>
      <c r="B1245" s="18" t="n">
        <v>46097</v>
      </c>
      <c r="C1245" s="10" t="inlineStr">
        <is>
          <t>C1049</t>
        </is>
      </c>
      <c r="D1245" s="10" t="inlineStr">
        <is>
          <t>champion</t>
        </is>
      </c>
      <c r="E1245" s="10" t="inlineStr">
        <is>
          <t>Shopee</t>
        </is>
      </c>
      <c r="F1245" s="10" t="inlineStr">
        <is>
          <t>Jawa Barat</t>
        </is>
      </c>
      <c r="G1245" s="10" t="inlineStr">
        <is>
          <t>Makanan</t>
        </is>
      </c>
      <c r="H1245" s="10" t="inlineStr">
        <is>
          <t>Granola 500g</t>
        </is>
      </c>
      <c r="I1245" s="19" t="n">
        <v>1</v>
      </c>
      <c r="J1245" s="20" t="n">
        <v>92000</v>
      </c>
      <c r="K1245" s="20" t="n">
        <v>92000</v>
      </c>
      <c r="L1245" s="10">
        <f>IF($B1245="","",TEXT($B1245,"YYYY-MM"))</f>
        <v/>
      </c>
    </row>
    <row r="1246">
      <c r="A1246" s="10" t="inlineStr">
        <is>
          <t>INV-70373</t>
        </is>
      </c>
      <c r="B1246" s="18" t="n">
        <v>46097</v>
      </c>
      <c r="C1246" s="10" t="inlineStr">
        <is>
          <t>C1107</t>
        </is>
      </c>
      <c r="D1246" s="10" t="inlineStr">
        <is>
          <t>occasional</t>
        </is>
      </c>
      <c r="E1246" s="10" t="inlineStr">
        <is>
          <t>Offline Store</t>
        </is>
      </c>
      <c r="F1246" s="10" t="inlineStr">
        <is>
          <t>Jawa Tengah</t>
        </is>
      </c>
      <c r="G1246" s="10" t="inlineStr">
        <is>
          <t>Rumah Tangga</t>
        </is>
      </c>
      <c r="H1246" s="10" t="inlineStr">
        <is>
          <t>Set Wadah Kedap</t>
        </is>
      </c>
      <c r="I1246" s="19" t="n">
        <v>2</v>
      </c>
      <c r="J1246" s="20" t="n">
        <v>135000</v>
      </c>
      <c r="K1246" s="20" t="n">
        <v>270000</v>
      </c>
      <c r="L1246" s="10">
        <f>IF($B1246="","",TEXT($B1246,"YYYY-MM"))</f>
        <v/>
      </c>
    </row>
    <row r="1247">
      <c r="A1247" s="10" t="inlineStr">
        <is>
          <t>INV-70212</t>
        </is>
      </c>
      <c r="B1247" s="18" t="n">
        <v>46097</v>
      </c>
      <c r="C1247" s="10" t="inlineStr">
        <is>
          <t>C1060</t>
        </is>
      </c>
      <c r="D1247" s="10" t="inlineStr">
        <is>
          <t>loyal</t>
        </is>
      </c>
      <c r="E1247" s="10" t="inlineStr">
        <is>
          <t>Shopee</t>
        </is>
      </c>
      <c r="F1247" s="10" t="inlineStr">
        <is>
          <t>Jawa Timur</t>
        </is>
      </c>
      <c r="G1247" s="10" t="inlineStr">
        <is>
          <t>Rumah Tangga</t>
        </is>
      </c>
      <c r="H1247" s="10" t="inlineStr">
        <is>
          <t>Set Wadah Kedap</t>
        </is>
      </c>
      <c r="I1247" s="19" t="n">
        <v>1</v>
      </c>
      <c r="J1247" s="20" t="n">
        <v>135000</v>
      </c>
      <c r="K1247" s="20" t="n">
        <v>135000</v>
      </c>
      <c r="L1247" s="10">
        <f>IF($B1247="","",TEXT($B1247,"YYYY-MM"))</f>
        <v/>
      </c>
    </row>
    <row r="1248">
      <c r="A1248" s="10" t="inlineStr">
        <is>
          <t>INV-70752</t>
        </is>
      </c>
      <c r="B1248" s="18" t="n">
        <v>46098</v>
      </c>
      <c r="C1248" s="10" t="inlineStr">
        <is>
          <t>C1210</t>
        </is>
      </c>
      <c r="D1248" s="10" t="inlineStr">
        <is>
          <t>loyal</t>
        </is>
      </c>
      <c r="E1248" s="10" t="inlineStr">
        <is>
          <t>TikTok Shop</t>
        </is>
      </c>
      <c r="F1248" s="10" t="inlineStr">
        <is>
          <t>Jawa Tengah</t>
        </is>
      </c>
      <c r="G1248" s="10" t="inlineStr">
        <is>
          <t>Kecantikan</t>
        </is>
      </c>
      <c r="H1248" s="10" t="inlineStr">
        <is>
          <t>Masker Wajah (5s)</t>
        </is>
      </c>
      <c r="I1248" s="19" t="n">
        <v>2</v>
      </c>
      <c r="J1248" s="20" t="n">
        <v>55000</v>
      </c>
      <c r="K1248" s="20" t="n">
        <v>110000</v>
      </c>
      <c r="L1248" s="10">
        <f>IF($B1248="","",TEXT($B1248,"YYYY-MM"))</f>
        <v/>
      </c>
    </row>
    <row r="1249">
      <c r="A1249" s="10" t="inlineStr">
        <is>
          <t>INV-71490</t>
        </is>
      </c>
      <c r="B1249" s="18" t="n">
        <v>46098</v>
      </c>
      <c r="C1249" s="10" t="inlineStr">
        <is>
          <t>C1410</t>
        </is>
      </c>
      <c r="D1249" s="10" t="inlineStr">
        <is>
          <t>onetime</t>
        </is>
      </c>
      <c r="E1249" s="10" t="inlineStr">
        <is>
          <t>Shopee</t>
        </is>
      </c>
      <c r="F1249" s="10" t="inlineStr">
        <is>
          <t>Jabodetabek</t>
        </is>
      </c>
      <c r="G1249" s="10" t="inlineStr">
        <is>
          <t>Rumah Tangga</t>
        </is>
      </c>
      <c r="H1249" s="10" t="inlineStr">
        <is>
          <t>Diffuser Aroma</t>
        </is>
      </c>
      <c r="I1249" s="19" t="n">
        <v>2</v>
      </c>
      <c r="J1249" s="20" t="n">
        <v>195000</v>
      </c>
      <c r="K1249" s="20" t="n">
        <v>390000</v>
      </c>
      <c r="L1249" s="10">
        <f>IF($B1249="","",TEXT($B1249,"YYYY-MM"))</f>
        <v/>
      </c>
    </row>
    <row r="1250">
      <c r="A1250" s="10" t="inlineStr">
        <is>
          <t>INV-71296</t>
        </is>
      </c>
      <c r="B1250" s="18" t="n">
        <v>46098</v>
      </c>
      <c r="C1250" s="10" t="inlineStr">
        <is>
          <t>C1359</t>
        </is>
      </c>
      <c r="D1250" s="10" t="inlineStr">
        <is>
          <t>champion</t>
        </is>
      </c>
      <c r="E1250" s="10" t="inlineStr">
        <is>
          <t>Shopee</t>
        </is>
      </c>
      <c r="F1250" s="10" t="inlineStr">
        <is>
          <t>Jawa Barat</t>
        </is>
      </c>
      <c r="G1250" s="10" t="inlineStr">
        <is>
          <t>Rumah Tangga</t>
        </is>
      </c>
      <c r="H1250" s="10" t="inlineStr">
        <is>
          <t>Set Wadah Kedap</t>
        </is>
      </c>
      <c r="I1250" s="19" t="n">
        <v>2</v>
      </c>
      <c r="J1250" s="20" t="n">
        <v>135000</v>
      </c>
      <c r="K1250" s="20" t="n">
        <v>270000</v>
      </c>
      <c r="L1250" s="10">
        <f>IF($B1250="","",TEXT($B1250,"YYYY-MM"))</f>
        <v/>
      </c>
    </row>
    <row r="1251">
      <c r="A1251" s="10" t="inlineStr">
        <is>
          <t>INV-70190</t>
        </is>
      </c>
      <c r="B1251" s="18" t="n">
        <v>46098</v>
      </c>
      <c r="C1251" s="10" t="inlineStr">
        <is>
          <t>C1053</t>
        </is>
      </c>
      <c r="D1251" s="10" t="inlineStr">
        <is>
          <t>regular</t>
        </is>
      </c>
      <c r="E1251" s="10" t="inlineStr">
        <is>
          <t>Shopee</t>
        </is>
      </c>
      <c r="F1251" s="10" t="inlineStr">
        <is>
          <t>Jabodetabek</t>
        </is>
      </c>
      <c r="G1251" s="10" t="inlineStr">
        <is>
          <t>Rumah Tangga</t>
        </is>
      </c>
      <c r="H1251" s="10" t="inlineStr">
        <is>
          <t>Set Wadah Kedap</t>
        </is>
      </c>
      <c r="I1251" s="19" t="n">
        <v>3</v>
      </c>
      <c r="J1251" s="20" t="n">
        <v>135000</v>
      </c>
      <c r="K1251" s="20" t="n">
        <v>405000</v>
      </c>
      <c r="L1251" s="10">
        <f>IF($B1251="","",TEXT($B1251,"YYYY-MM"))</f>
        <v/>
      </c>
    </row>
    <row r="1252">
      <c r="A1252" s="10" t="inlineStr">
        <is>
          <t>INV-71225</t>
        </is>
      </c>
      <c r="B1252" s="18" t="n">
        <v>46098</v>
      </c>
      <c r="C1252" s="10" t="inlineStr">
        <is>
          <t>C1348</t>
        </is>
      </c>
      <c r="D1252" s="10" t="inlineStr">
        <is>
          <t>loyal</t>
        </is>
      </c>
      <c r="E1252" s="10" t="inlineStr">
        <is>
          <t>Shopee</t>
        </is>
      </c>
      <c r="F1252" s="10" t="inlineStr">
        <is>
          <t>Jawa Timur</t>
        </is>
      </c>
      <c r="G1252" s="10" t="inlineStr">
        <is>
          <t>Kecantikan</t>
        </is>
      </c>
      <c r="H1252" s="10" t="inlineStr">
        <is>
          <t>Masker Wajah (5s)</t>
        </is>
      </c>
      <c r="I1252" s="19" t="n">
        <v>4</v>
      </c>
      <c r="J1252" s="20" t="n">
        <v>55000</v>
      </c>
      <c r="K1252" s="20" t="n">
        <v>220000</v>
      </c>
      <c r="L1252" s="10">
        <f>IF($B1252="","",TEXT($B1252,"YYYY-MM"))</f>
        <v/>
      </c>
    </row>
    <row r="1253">
      <c r="A1253" s="10" t="inlineStr">
        <is>
          <t>INV-70987</t>
        </is>
      </c>
      <c r="B1253" s="18" t="n">
        <v>46098</v>
      </c>
      <c r="C1253" s="10" t="inlineStr">
        <is>
          <t>C1283</t>
        </is>
      </c>
      <c r="D1253" s="10" t="inlineStr">
        <is>
          <t>loyal</t>
        </is>
      </c>
      <c r="E1253" s="10" t="inlineStr">
        <is>
          <t>TikTok Shop</t>
        </is>
      </c>
      <c r="F1253" s="10" t="inlineStr">
        <is>
          <t>Jabodetabek</t>
        </is>
      </c>
      <c r="G1253" s="10" t="inlineStr">
        <is>
          <t>Rumah Tangga</t>
        </is>
      </c>
      <c r="H1253" s="10" t="inlineStr">
        <is>
          <t>Set Wadah Kedap</t>
        </is>
      </c>
      <c r="I1253" s="19" t="n">
        <v>2</v>
      </c>
      <c r="J1253" s="20" t="n">
        <v>135000</v>
      </c>
      <c r="K1253" s="20" t="n">
        <v>270000</v>
      </c>
      <c r="L1253" s="10">
        <f>IF($B1253="","",TEXT($B1253,"YYYY-MM"))</f>
        <v/>
      </c>
    </row>
    <row r="1254">
      <c r="A1254" s="10" t="inlineStr">
        <is>
          <t>INV-70378</t>
        </is>
      </c>
      <c r="B1254" s="18" t="n">
        <v>46099</v>
      </c>
      <c r="C1254" s="10" t="inlineStr">
        <is>
          <t>C1110</t>
        </is>
      </c>
      <c r="D1254" s="10" t="inlineStr">
        <is>
          <t>loyal</t>
        </is>
      </c>
      <c r="E1254" s="10" t="inlineStr">
        <is>
          <t>Offline Store</t>
        </is>
      </c>
      <c r="F1254" s="10" t="inlineStr">
        <is>
          <t>Jabodetabek</t>
        </is>
      </c>
      <c r="G1254" s="10" t="inlineStr">
        <is>
          <t>Kecantikan</t>
        </is>
      </c>
      <c r="H1254" s="10" t="inlineStr">
        <is>
          <t>Masker Wajah (5s)</t>
        </is>
      </c>
      <c r="I1254" s="19" t="n">
        <v>1</v>
      </c>
      <c r="J1254" s="20" t="n">
        <v>55000</v>
      </c>
      <c r="K1254" s="20" t="n">
        <v>55000</v>
      </c>
      <c r="L1254" s="10">
        <f>IF($B1254="","",TEXT($B1254,"YYYY-MM"))</f>
        <v/>
      </c>
    </row>
    <row r="1255">
      <c r="A1255" s="10" t="inlineStr">
        <is>
          <t>INV-71327</t>
        </is>
      </c>
      <c r="B1255" s="18" t="n">
        <v>46099</v>
      </c>
      <c r="C1255" s="10" t="inlineStr">
        <is>
          <t>C1365</t>
        </is>
      </c>
      <c r="D1255" s="10" t="inlineStr">
        <is>
          <t>regular</t>
        </is>
      </c>
      <c r="E1255" s="10" t="inlineStr">
        <is>
          <t>TikTok Shop</t>
        </is>
      </c>
      <c r="F1255" s="10" t="inlineStr">
        <is>
          <t>Sumatera</t>
        </is>
      </c>
      <c r="G1255" s="10" t="inlineStr">
        <is>
          <t>Fashion</t>
        </is>
      </c>
      <c r="H1255" s="10" t="inlineStr">
        <is>
          <t>Celana Chino</t>
        </is>
      </c>
      <c r="I1255" s="19" t="n">
        <v>3</v>
      </c>
      <c r="J1255" s="20" t="n">
        <v>195000</v>
      </c>
      <c r="K1255" s="20" t="n">
        <v>585000</v>
      </c>
      <c r="L1255" s="10">
        <f>IF($B1255="","",TEXT($B1255,"YYYY-MM"))</f>
        <v/>
      </c>
    </row>
    <row r="1256">
      <c r="A1256" s="10" t="inlineStr">
        <is>
          <t>INV-70547</t>
        </is>
      </c>
      <c r="B1256" s="18" t="n">
        <v>46100</v>
      </c>
      <c r="C1256" s="10" t="inlineStr">
        <is>
          <t>C1150</t>
        </is>
      </c>
      <c r="D1256" s="10" t="inlineStr">
        <is>
          <t>champion</t>
        </is>
      </c>
      <c r="E1256" s="10" t="inlineStr">
        <is>
          <t>TikTok Shop</t>
        </is>
      </c>
      <c r="F1256" s="10" t="inlineStr">
        <is>
          <t>Jawa Barat</t>
        </is>
      </c>
      <c r="G1256" s="10" t="inlineStr">
        <is>
          <t>Rumah Tangga</t>
        </is>
      </c>
      <c r="H1256" s="10" t="inlineStr">
        <is>
          <t>Set Wadah Kedap</t>
        </is>
      </c>
      <c r="I1256" s="19" t="n">
        <v>1</v>
      </c>
      <c r="J1256" s="20" t="n">
        <v>135000</v>
      </c>
      <c r="K1256" s="20" t="n">
        <v>135000</v>
      </c>
      <c r="L1256" s="10">
        <f>IF($B1256="","",TEXT($B1256,"YYYY-MM"))</f>
        <v/>
      </c>
    </row>
    <row r="1257">
      <c r="A1257" s="10" t="inlineStr">
        <is>
          <t>INV-71196</t>
        </is>
      </c>
      <c r="B1257" s="18" t="n">
        <v>46100</v>
      </c>
      <c r="C1257" s="10" t="inlineStr">
        <is>
          <t>C1336</t>
        </is>
      </c>
      <c r="D1257" s="10" t="inlineStr">
        <is>
          <t>regular</t>
        </is>
      </c>
      <c r="E1257" s="10" t="inlineStr">
        <is>
          <t>Shopee</t>
        </is>
      </c>
      <c r="F1257" s="10" t="inlineStr">
        <is>
          <t>Sumatera</t>
        </is>
      </c>
      <c r="G1257" s="10" t="inlineStr">
        <is>
          <t>Elektronik</t>
        </is>
      </c>
      <c r="H1257" s="10" t="inlineStr">
        <is>
          <t>Webcam HD</t>
        </is>
      </c>
      <c r="I1257" s="19" t="n">
        <v>1</v>
      </c>
      <c r="J1257" s="20" t="n">
        <v>210000</v>
      </c>
      <c r="K1257" s="20" t="n">
        <v>210000</v>
      </c>
      <c r="L1257" s="10">
        <f>IF($B1257="","",TEXT($B1257,"YYYY-MM"))</f>
        <v/>
      </c>
    </row>
    <row r="1258">
      <c r="A1258" s="10" t="inlineStr">
        <is>
          <t>INV-71276</t>
        </is>
      </c>
      <c r="B1258" s="18" t="n">
        <v>46100</v>
      </c>
      <c r="C1258" s="10" t="inlineStr">
        <is>
          <t>C1358</t>
        </is>
      </c>
      <c r="D1258" s="10" t="inlineStr">
        <is>
          <t>champion</t>
        </is>
      </c>
      <c r="E1258" s="10" t="inlineStr">
        <is>
          <t>Offline Store</t>
        </is>
      </c>
      <c r="F1258" s="10" t="inlineStr">
        <is>
          <t>Jabodetabek</t>
        </is>
      </c>
      <c r="G1258" s="10" t="inlineStr">
        <is>
          <t>Fashion</t>
        </is>
      </c>
      <c r="H1258" s="10" t="inlineStr">
        <is>
          <t>Celana Chino</t>
        </is>
      </c>
      <c r="I1258" s="19" t="n">
        <v>2</v>
      </c>
      <c r="J1258" s="20" t="n">
        <v>195000</v>
      </c>
      <c r="K1258" s="20" t="n">
        <v>390000</v>
      </c>
      <c r="L1258" s="10">
        <f>IF($B1258="","",TEXT($B1258,"YYYY-MM"))</f>
        <v/>
      </c>
    </row>
    <row r="1259">
      <c r="A1259" s="10" t="inlineStr">
        <is>
          <t>INV-71203</t>
        </is>
      </c>
      <c r="B1259" s="18" t="n">
        <v>46101</v>
      </c>
      <c r="C1259" s="10" t="inlineStr">
        <is>
          <t>C1340</t>
        </is>
      </c>
      <c r="D1259" s="10" t="inlineStr">
        <is>
          <t>loyal</t>
        </is>
      </c>
      <c r="E1259" s="10" t="inlineStr">
        <is>
          <t>TikTok Shop</t>
        </is>
      </c>
      <c r="F1259" s="10" t="inlineStr">
        <is>
          <t>Jawa Barat</t>
        </is>
      </c>
      <c r="G1259" s="10" t="inlineStr">
        <is>
          <t>Rumah Tangga</t>
        </is>
      </c>
      <c r="H1259" s="10" t="inlineStr">
        <is>
          <t>Karpet Bulu</t>
        </is>
      </c>
      <c r="I1259" s="19" t="n">
        <v>1</v>
      </c>
      <c r="J1259" s="20" t="n">
        <v>240000</v>
      </c>
      <c r="K1259" s="20" t="n">
        <v>240000</v>
      </c>
      <c r="L1259" s="10">
        <f>IF($B1259="","",TEXT($B1259,"YYYY-MM"))</f>
        <v/>
      </c>
    </row>
    <row r="1260">
      <c r="A1260" s="10" t="inlineStr">
        <is>
          <t>INV-70481</t>
        </is>
      </c>
      <c r="B1260" s="18" t="n">
        <v>46101</v>
      </c>
      <c r="C1260" s="10" t="inlineStr">
        <is>
          <t>C1138</t>
        </is>
      </c>
      <c r="D1260" s="10" t="inlineStr">
        <is>
          <t>regular</t>
        </is>
      </c>
      <c r="E1260" s="10" t="inlineStr">
        <is>
          <t>Tokopedia</t>
        </is>
      </c>
      <c r="F1260" s="10" t="inlineStr">
        <is>
          <t>Jabodetabek</t>
        </is>
      </c>
      <c r="G1260" s="10" t="inlineStr">
        <is>
          <t>Elektronik</t>
        </is>
      </c>
      <c r="H1260" s="10" t="inlineStr">
        <is>
          <t>Smartwatch</t>
        </is>
      </c>
      <c r="I1260" s="19" t="n">
        <v>1</v>
      </c>
      <c r="J1260" s="20" t="n">
        <v>450000</v>
      </c>
      <c r="K1260" s="20" t="n">
        <v>450000</v>
      </c>
      <c r="L1260" s="10">
        <f>IF($B1260="","",TEXT($B1260,"YYYY-MM"))</f>
        <v/>
      </c>
    </row>
    <row r="1261">
      <c r="A1261" s="10" t="inlineStr">
        <is>
          <t>INV-71519</t>
        </is>
      </c>
      <c r="B1261" s="18" t="n">
        <v>46101</v>
      </c>
      <c r="C1261" s="10" t="inlineStr">
        <is>
          <t>C1417</t>
        </is>
      </c>
      <c r="D1261" s="10" t="inlineStr">
        <is>
          <t>occasional</t>
        </is>
      </c>
      <c r="E1261" s="10" t="inlineStr">
        <is>
          <t>Tokopedia</t>
        </is>
      </c>
      <c r="F1261" s="10" t="inlineStr">
        <is>
          <t>Jabodetabek</t>
        </is>
      </c>
      <c r="G1261" s="10" t="inlineStr">
        <is>
          <t>Rumah Tangga</t>
        </is>
      </c>
      <c r="H1261" s="10" t="inlineStr">
        <is>
          <t>Set Wadah Kedap</t>
        </is>
      </c>
      <c r="I1261" s="19" t="n">
        <v>1</v>
      </c>
      <c r="J1261" s="20" t="n">
        <v>135000</v>
      </c>
      <c r="K1261" s="20" t="n">
        <v>135000</v>
      </c>
      <c r="L1261" s="10">
        <f>IF($B1261="","",TEXT($B1261,"YYYY-MM"))</f>
        <v/>
      </c>
    </row>
    <row r="1262">
      <c r="A1262" s="10" t="inlineStr">
        <is>
          <t>INV-70981</t>
        </is>
      </c>
      <c r="B1262" s="18" t="n">
        <v>46102</v>
      </c>
      <c r="C1262" s="10" t="inlineStr">
        <is>
          <t>C1281</t>
        </is>
      </c>
      <c r="D1262" s="10" t="inlineStr">
        <is>
          <t>regular</t>
        </is>
      </c>
      <c r="E1262" s="10" t="inlineStr">
        <is>
          <t>TikTok Shop</t>
        </is>
      </c>
      <c r="F1262" s="10" t="inlineStr">
        <is>
          <t>Jawa Timur</t>
        </is>
      </c>
      <c r="G1262" s="10" t="inlineStr">
        <is>
          <t>Rumah Tangga</t>
        </is>
      </c>
      <c r="H1262" s="10" t="inlineStr">
        <is>
          <t>Organizer Laci</t>
        </is>
      </c>
      <c r="I1262" s="19" t="n">
        <v>2</v>
      </c>
      <c r="J1262" s="20" t="n">
        <v>78000</v>
      </c>
      <c r="K1262" s="20" t="n">
        <v>156000</v>
      </c>
      <c r="L1262" s="10">
        <f>IF($B1262="","",TEXT($B1262,"YYYY-MM"))</f>
        <v/>
      </c>
    </row>
    <row r="1263">
      <c r="A1263" s="10" t="inlineStr">
        <is>
          <t>INV-71154</t>
        </is>
      </c>
      <c r="B1263" s="18" t="n">
        <v>46102</v>
      </c>
      <c r="C1263" s="10" t="inlineStr">
        <is>
          <t>C1326</t>
        </is>
      </c>
      <c r="D1263" s="10" t="inlineStr">
        <is>
          <t>loyal</t>
        </is>
      </c>
      <c r="E1263" s="10" t="inlineStr">
        <is>
          <t>TikTok Shop</t>
        </is>
      </c>
      <c r="F1263" s="10" t="inlineStr">
        <is>
          <t>Sumatera</t>
        </is>
      </c>
      <c r="G1263" s="10" t="inlineStr">
        <is>
          <t>Elektronik</t>
        </is>
      </c>
      <c r="H1263" s="10" t="inlineStr">
        <is>
          <t>Power Bank 20K</t>
        </is>
      </c>
      <c r="I1263" s="19" t="n">
        <v>3</v>
      </c>
      <c r="J1263" s="20" t="n">
        <v>185000</v>
      </c>
      <c r="K1263" s="20" t="n">
        <v>555000</v>
      </c>
      <c r="L1263" s="10">
        <f>IF($B1263="","",TEXT($B1263,"YYYY-MM"))</f>
        <v/>
      </c>
    </row>
    <row r="1264">
      <c r="A1264" s="10" t="inlineStr">
        <is>
          <t>INV-70479</t>
        </is>
      </c>
      <c r="B1264" s="18" t="n">
        <v>46102</v>
      </c>
      <c r="C1264" s="10" t="inlineStr">
        <is>
          <t>C1137</t>
        </is>
      </c>
      <c r="D1264" s="10" t="inlineStr">
        <is>
          <t>loyal</t>
        </is>
      </c>
      <c r="E1264" s="10" t="inlineStr">
        <is>
          <t>Shopee</t>
        </is>
      </c>
      <c r="F1264" s="10" t="inlineStr">
        <is>
          <t>Jawa Tengah</t>
        </is>
      </c>
      <c r="G1264" s="10" t="inlineStr">
        <is>
          <t>Elektronik</t>
        </is>
      </c>
      <c r="H1264" s="10" t="inlineStr">
        <is>
          <t>Webcam HD</t>
        </is>
      </c>
      <c r="I1264" s="19" t="n">
        <v>1</v>
      </c>
      <c r="J1264" s="20" t="n">
        <v>210000</v>
      </c>
      <c r="K1264" s="20" t="n">
        <v>210000</v>
      </c>
      <c r="L1264" s="10">
        <f>IF($B1264="","",TEXT($B1264,"YYYY-MM"))</f>
        <v/>
      </c>
    </row>
    <row r="1265">
      <c r="A1265" s="10" t="inlineStr">
        <is>
          <t>INV-71345</t>
        </is>
      </c>
      <c r="B1265" s="18" t="n">
        <v>46102</v>
      </c>
      <c r="C1265" s="10" t="inlineStr">
        <is>
          <t>C1370</t>
        </is>
      </c>
      <c r="D1265" s="10" t="inlineStr">
        <is>
          <t>onetime</t>
        </is>
      </c>
      <c r="E1265" s="10" t="inlineStr">
        <is>
          <t>Tokopedia</t>
        </is>
      </c>
      <c r="F1265" s="10" t="inlineStr">
        <is>
          <t>Jawa Tengah</t>
        </is>
      </c>
      <c r="G1265" s="10" t="inlineStr">
        <is>
          <t>Rumah Tangga</t>
        </is>
      </c>
      <c r="H1265" s="10" t="inlineStr">
        <is>
          <t>Organizer Laci</t>
        </is>
      </c>
      <c r="I1265" s="19" t="n">
        <v>3</v>
      </c>
      <c r="J1265" s="20" t="n">
        <v>78000</v>
      </c>
      <c r="K1265" s="20" t="n">
        <v>234000</v>
      </c>
      <c r="L1265" s="10">
        <f>IF($B1265="","",TEXT($B1265,"YYYY-MM"))</f>
        <v/>
      </c>
    </row>
    <row r="1266">
      <c r="A1266" s="10" t="inlineStr">
        <is>
          <t>INV-70575</t>
        </is>
      </c>
      <c r="B1266" s="18" t="n">
        <v>46103</v>
      </c>
      <c r="C1266" s="10" t="inlineStr">
        <is>
          <t>C1157</t>
        </is>
      </c>
      <c r="D1266" s="10" t="inlineStr">
        <is>
          <t>loyal</t>
        </is>
      </c>
      <c r="E1266" s="10" t="inlineStr">
        <is>
          <t>TikTok Shop</t>
        </is>
      </c>
      <c r="F1266" s="10" t="inlineStr">
        <is>
          <t>Jawa Timur</t>
        </is>
      </c>
      <c r="G1266" s="10" t="inlineStr">
        <is>
          <t>Fashion</t>
        </is>
      </c>
      <c r="H1266" s="10" t="inlineStr">
        <is>
          <t>Dress Casual</t>
        </is>
      </c>
      <c r="I1266" s="19" t="n">
        <v>3</v>
      </c>
      <c r="J1266" s="20" t="n">
        <v>225000</v>
      </c>
      <c r="K1266" s="20" t="n">
        <v>675000</v>
      </c>
      <c r="L1266" s="10">
        <f>IF($B1266="","",TEXT($B1266,"YYYY-MM"))</f>
        <v/>
      </c>
    </row>
    <row r="1267">
      <c r="A1267" s="10" t="inlineStr">
        <is>
          <t>INV-70500</t>
        </is>
      </c>
      <c r="B1267" s="18" t="n">
        <v>46103</v>
      </c>
      <c r="C1267" s="10" t="inlineStr">
        <is>
          <t>C1141</t>
        </is>
      </c>
      <c r="D1267" s="10" t="inlineStr">
        <is>
          <t>loyal</t>
        </is>
      </c>
      <c r="E1267" s="10" t="inlineStr">
        <is>
          <t>Shopee</t>
        </is>
      </c>
      <c r="F1267" s="10" t="inlineStr">
        <is>
          <t>Lainnya</t>
        </is>
      </c>
      <c r="G1267" s="10" t="inlineStr">
        <is>
          <t>Rumah Tangga</t>
        </is>
      </c>
      <c r="H1267" s="10" t="inlineStr">
        <is>
          <t>Set Wadah Kedap</t>
        </is>
      </c>
      <c r="I1267" s="19" t="n">
        <v>4</v>
      </c>
      <c r="J1267" s="20" t="n">
        <v>135000</v>
      </c>
      <c r="K1267" s="20" t="n">
        <v>540000</v>
      </c>
      <c r="L1267" s="10">
        <f>IF($B1267="","",TEXT($B1267,"YYYY-MM"))</f>
        <v/>
      </c>
    </row>
    <row r="1268">
      <c r="A1268" s="10" t="inlineStr">
        <is>
          <t>INV-71224</t>
        </is>
      </c>
      <c r="B1268" s="18" t="n">
        <v>46103</v>
      </c>
      <c r="C1268" s="10" t="inlineStr">
        <is>
          <t>C1348</t>
        </is>
      </c>
      <c r="D1268" s="10" t="inlineStr">
        <is>
          <t>loyal</t>
        </is>
      </c>
      <c r="E1268" s="10" t="inlineStr">
        <is>
          <t>Tokopedia</t>
        </is>
      </c>
      <c r="F1268" s="10" t="inlineStr">
        <is>
          <t>Jawa Barat</t>
        </is>
      </c>
      <c r="G1268" s="10" t="inlineStr">
        <is>
          <t>Fashion</t>
        </is>
      </c>
      <c r="H1268" s="10" t="inlineStr">
        <is>
          <t>Celana Chino</t>
        </is>
      </c>
      <c r="I1268" s="19" t="n">
        <v>2</v>
      </c>
      <c r="J1268" s="20" t="n">
        <v>195000</v>
      </c>
      <c r="K1268" s="20" t="n">
        <v>390000</v>
      </c>
      <c r="L1268" s="10">
        <f>IF($B1268="","",TEXT($B1268,"YYYY-MM"))</f>
        <v/>
      </c>
    </row>
    <row r="1269">
      <c r="A1269" s="10" t="inlineStr">
        <is>
          <t>INV-71408</t>
        </is>
      </c>
      <c r="B1269" s="18" t="n">
        <v>46104</v>
      </c>
      <c r="C1269" s="10" t="inlineStr">
        <is>
          <t>C1389</t>
        </is>
      </c>
      <c r="D1269" s="10" t="inlineStr">
        <is>
          <t>regular</t>
        </is>
      </c>
      <c r="E1269" s="10" t="inlineStr">
        <is>
          <t>Tokopedia</t>
        </is>
      </c>
      <c r="F1269" s="10" t="inlineStr">
        <is>
          <t>Jabodetabek</t>
        </is>
      </c>
      <c r="G1269" s="10" t="inlineStr">
        <is>
          <t>Rumah Tangga</t>
        </is>
      </c>
      <c r="H1269" s="10" t="inlineStr">
        <is>
          <t>Set Wadah Kedap</t>
        </is>
      </c>
      <c r="I1269" s="19" t="n">
        <v>2</v>
      </c>
      <c r="J1269" s="20" t="n">
        <v>135000</v>
      </c>
      <c r="K1269" s="20" t="n">
        <v>270000</v>
      </c>
      <c r="L1269" s="10">
        <f>IF($B1269="","",TEXT($B1269,"YYYY-MM"))</f>
        <v/>
      </c>
    </row>
    <row r="1270">
      <c r="A1270" s="10" t="inlineStr">
        <is>
          <t>INV-70667</t>
        </is>
      </c>
      <c r="B1270" s="18" t="n">
        <v>46104</v>
      </c>
      <c r="C1270" s="10" t="inlineStr">
        <is>
          <t>C1183</t>
        </is>
      </c>
      <c r="D1270" s="10" t="inlineStr">
        <is>
          <t>regular</t>
        </is>
      </c>
      <c r="E1270" s="10" t="inlineStr">
        <is>
          <t>Shopee</t>
        </is>
      </c>
      <c r="F1270" s="10" t="inlineStr">
        <is>
          <t>Jabodetabek</t>
        </is>
      </c>
      <c r="G1270" s="10" t="inlineStr">
        <is>
          <t>Rumah Tangga</t>
        </is>
      </c>
      <c r="H1270" s="10" t="inlineStr">
        <is>
          <t>Set Wadah Kedap</t>
        </is>
      </c>
      <c r="I1270" s="19" t="n">
        <v>2</v>
      </c>
      <c r="J1270" s="20" t="n">
        <v>135000</v>
      </c>
      <c r="K1270" s="20" t="n">
        <v>270000</v>
      </c>
      <c r="L1270" s="10">
        <f>IF($B1270="","",TEXT($B1270,"YYYY-MM"))</f>
        <v/>
      </c>
    </row>
    <row r="1271">
      <c r="A1271" s="10" t="inlineStr">
        <is>
          <t>INV-71149</t>
        </is>
      </c>
      <c r="B1271" s="18" t="n">
        <v>46104</v>
      </c>
      <c r="C1271" s="10" t="inlineStr">
        <is>
          <t>C1326</t>
        </is>
      </c>
      <c r="D1271" s="10" t="inlineStr">
        <is>
          <t>loyal</t>
        </is>
      </c>
      <c r="E1271" s="10" t="inlineStr">
        <is>
          <t>Shopee</t>
        </is>
      </c>
      <c r="F1271" s="10" t="inlineStr">
        <is>
          <t>Jabodetabek</t>
        </is>
      </c>
      <c r="G1271" s="10" t="inlineStr">
        <is>
          <t>Rumah Tangga</t>
        </is>
      </c>
      <c r="H1271" s="10" t="inlineStr">
        <is>
          <t>Set Wadah Kedap</t>
        </is>
      </c>
      <c r="I1271" s="19" t="n">
        <v>4</v>
      </c>
      <c r="J1271" s="20" t="n">
        <v>135000</v>
      </c>
      <c r="K1271" s="20" t="n">
        <v>540000</v>
      </c>
      <c r="L1271" s="10">
        <f>IF($B1271="","",TEXT($B1271,"YYYY-MM"))</f>
        <v/>
      </c>
    </row>
    <row r="1272">
      <c r="A1272" s="10" t="inlineStr">
        <is>
          <t>INV-71278</t>
        </is>
      </c>
      <c r="B1272" s="18" t="n">
        <v>46104</v>
      </c>
      <c r="C1272" s="10" t="inlineStr">
        <is>
          <t>C1358</t>
        </is>
      </c>
      <c r="D1272" s="10" t="inlineStr">
        <is>
          <t>champion</t>
        </is>
      </c>
      <c r="E1272" s="10" t="inlineStr">
        <is>
          <t>Offline Store</t>
        </is>
      </c>
      <c r="F1272" s="10" t="inlineStr">
        <is>
          <t>Jawa Barat</t>
        </is>
      </c>
      <c r="G1272" s="10" t="inlineStr">
        <is>
          <t>Rumah Tangga</t>
        </is>
      </c>
      <c r="H1272" s="10" t="inlineStr">
        <is>
          <t>Organizer Laci</t>
        </is>
      </c>
      <c r="I1272" s="19" t="n">
        <v>2</v>
      </c>
      <c r="J1272" s="20" t="n">
        <v>78000</v>
      </c>
      <c r="K1272" s="20" t="n">
        <v>156000</v>
      </c>
      <c r="L1272" s="10">
        <f>IF($B1272="","",TEXT($B1272,"YYYY-MM"))</f>
        <v/>
      </c>
    </row>
    <row r="1273">
      <c r="A1273" s="10" t="inlineStr">
        <is>
          <t>INV-70676</t>
        </is>
      </c>
      <c r="B1273" s="18" t="n">
        <v>46104</v>
      </c>
      <c r="C1273" s="10" t="inlineStr">
        <is>
          <t>C1185</t>
        </is>
      </c>
      <c r="D1273" s="10" t="inlineStr">
        <is>
          <t>occasional</t>
        </is>
      </c>
      <c r="E1273" s="10" t="inlineStr">
        <is>
          <t>TikTok Shop</t>
        </is>
      </c>
      <c r="F1273" s="10" t="inlineStr">
        <is>
          <t>Jabodetabek</t>
        </is>
      </c>
      <c r="G1273" s="10" t="inlineStr">
        <is>
          <t>Rumah Tangga</t>
        </is>
      </c>
      <c r="H1273" s="10" t="inlineStr">
        <is>
          <t>Organizer Laci</t>
        </is>
      </c>
      <c r="I1273" s="19" t="n">
        <v>2</v>
      </c>
      <c r="J1273" s="20" t="n">
        <v>78000</v>
      </c>
      <c r="K1273" s="20" t="n">
        <v>156000</v>
      </c>
      <c r="L1273" s="10">
        <f>IF($B1273="","",TEXT($B1273,"YYYY-MM"))</f>
        <v/>
      </c>
    </row>
    <row r="1274">
      <c r="A1274" s="10" t="inlineStr">
        <is>
          <t>INV-70846</t>
        </is>
      </c>
      <c r="B1274" s="18" t="n">
        <v>46105</v>
      </c>
      <c r="C1274" s="10" t="inlineStr">
        <is>
          <t>C1237</t>
        </is>
      </c>
      <c r="D1274" s="10" t="inlineStr">
        <is>
          <t>champion</t>
        </is>
      </c>
      <c r="E1274" s="10" t="inlineStr">
        <is>
          <t>TikTok Shop</t>
        </is>
      </c>
      <c r="F1274" s="10" t="inlineStr">
        <is>
          <t>Jabodetabek</t>
        </is>
      </c>
      <c r="G1274" s="10" t="inlineStr">
        <is>
          <t>Elektronik</t>
        </is>
      </c>
      <c r="H1274" s="10" t="inlineStr">
        <is>
          <t>Power Bank 20K</t>
        </is>
      </c>
      <c r="I1274" s="19" t="n">
        <v>2</v>
      </c>
      <c r="J1274" s="20" t="n">
        <v>185000</v>
      </c>
      <c r="K1274" s="20" t="n">
        <v>370000</v>
      </c>
      <c r="L1274" s="10">
        <f>IF($B1274="","",TEXT($B1274,"YYYY-MM"))</f>
        <v/>
      </c>
    </row>
    <row r="1275">
      <c r="A1275" s="10" t="inlineStr">
        <is>
          <t>INV-70632</t>
        </is>
      </c>
      <c r="B1275" s="18" t="n">
        <v>46105</v>
      </c>
      <c r="C1275" s="10" t="inlineStr">
        <is>
          <t>C1173</t>
        </is>
      </c>
      <c r="D1275" s="10" t="inlineStr">
        <is>
          <t>loyal</t>
        </is>
      </c>
      <c r="E1275" s="10" t="inlineStr">
        <is>
          <t>Shopee</t>
        </is>
      </c>
      <c r="F1275" s="10" t="inlineStr">
        <is>
          <t>Jawa Barat</t>
        </is>
      </c>
      <c r="G1275" s="10" t="inlineStr">
        <is>
          <t>Elektronik</t>
        </is>
      </c>
      <c r="H1275" s="10" t="inlineStr">
        <is>
          <t>Power Bank 20K</t>
        </is>
      </c>
      <c r="I1275" s="19" t="n">
        <v>1</v>
      </c>
      <c r="J1275" s="20" t="n">
        <v>185000</v>
      </c>
      <c r="K1275" s="20" t="n">
        <v>185000</v>
      </c>
      <c r="L1275" s="10">
        <f>IF($B1275="","",TEXT($B1275,"YYYY-MM"))</f>
        <v/>
      </c>
    </row>
    <row r="1276">
      <c r="A1276" s="10" t="inlineStr">
        <is>
          <t>INV-70459</t>
        </is>
      </c>
      <c r="B1276" s="18" t="n">
        <v>46106</v>
      </c>
      <c r="C1276" s="10" t="inlineStr">
        <is>
          <t>C1131</t>
        </is>
      </c>
      <c r="D1276" s="10" t="inlineStr">
        <is>
          <t>occasional</t>
        </is>
      </c>
      <c r="E1276" s="10" t="inlineStr">
        <is>
          <t>Tokopedia</t>
        </is>
      </c>
      <c r="F1276" s="10" t="inlineStr">
        <is>
          <t>Jawa Timur</t>
        </is>
      </c>
      <c r="G1276" s="10" t="inlineStr">
        <is>
          <t>Rumah Tangga</t>
        </is>
      </c>
      <c r="H1276" s="10" t="inlineStr">
        <is>
          <t>Set Wadah Kedap</t>
        </is>
      </c>
      <c r="I1276" s="19" t="n">
        <v>1</v>
      </c>
      <c r="J1276" s="20" t="n">
        <v>135000</v>
      </c>
      <c r="K1276" s="20" t="n">
        <v>135000</v>
      </c>
      <c r="L1276" s="10">
        <f>IF($B1276="","",TEXT($B1276,"YYYY-MM"))</f>
        <v/>
      </c>
    </row>
    <row r="1277">
      <c r="A1277" s="10" t="inlineStr">
        <is>
          <t>INV-71362</t>
        </is>
      </c>
      <c r="B1277" s="18" t="n">
        <v>46106</v>
      </c>
      <c r="C1277" s="10" t="inlineStr">
        <is>
          <t>C1377</t>
        </is>
      </c>
      <c r="D1277" s="10" t="inlineStr">
        <is>
          <t>champion</t>
        </is>
      </c>
      <c r="E1277" s="10" t="inlineStr">
        <is>
          <t>Tokopedia</t>
        </is>
      </c>
      <c r="F1277" s="10" t="inlineStr">
        <is>
          <t>Jabodetabek</t>
        </is>
      </c>
      <c r="G1277" s="10" t="inlineStr">
        <is>
          <t>Elektronik</t>
        </is>
      </c>
      <c r="H1277" s="10" t="inlineStr">
        <is>
          <t>Keyboard Mekanik</t>
        </is>
      </c>
      <c r="I1277" s="19" t="n">
        <v>2</v>
      </c>
      <c r="J1277" s="20" t="n">
        <v>380000</v>
      </c>
      <c r="K1277" s="20" t="n">
        <v>760000</v>
      </c>
      <c r="L1277" s="10">
        <f>IF($B1277="","",TEXT($B1277,"YYYY-MM"))</f>
        <v/>
      </c>
    </row>
    <row r="1278">
      <c r="A1278" s="10" t="inlineStr">
        <is>
          <t>INV-70639</t>
        </is>
      </c>
      <c r="B1278" s="18" t="n">
        <v>46106</v>
      </c>
      <c r="C1278" s="10" t="inlineStr">
        <is>
          <t>C1174</t>
        </is>
      </c>
      <c r="D1278" s="10" t="inlineStr">
        <is>
          <t>loyal</t>
        </is>
      </c>
      <c r="E1278" s="10" t="inlineStr">
        <is>
          <t>TikTok Shop</t>
        </is>
      </c>
      <c r="F1278" s="10" t="inlineStr">
        <is>
          <t>Jabodetabek</t>
        </is>
      </c>
      <c r="G1278" s="10" t="inlineStr">
        <is>
          <t>Rumah Tangga</t>
        </is>
      </c>
      <c r="H1278" s="10" t="inlineStr">
        <is>
          <t>Organizer Laci</t>
        </is>
      </c>
      <c r="I1278" s="19" t="n">
        <v>1</v>
      </c>
      <c r="J1278" s="20" t="n">
        <v>78000</v>
      </c>
      <c r="K1278" s="20" t="n">
        <v>78000</v>
      </c>
      <c r="L1278" s="10">
        <f>IF($B1278="","",TEXT($B1278,"YYYY-MM"))</f>
        <v/>
      </c>
    </row>
    <row r="1279">
      <c r="A1279" s="10" t="inlineStr">
        <is>
          <t>INV-70023</t>
        </is>
      </c>
      <c r="B1279" s="18" t="n">
        <v>46106</v>
      </c>
      <c r="C1279" s="10" t="inlineStr">
        <is>
          <t>C1004</t>
        </is>
      </c>
      <c r="D1279" s="10" t="inlineStr">
        <is>
          <t>loyal</t>
        </is>
      </c>
      <c r="E1279" s="10" t="inlineStr">
        <is>
          <t>Shopee</t>
        </is>
      </c>
      <c r="F1279" s="10" t="inlineStr">
        <is>
          <t>Sumatera</t>
        </is>
      </c>
      <c r="G1279" s="10" t="inlineStr">
        <is>
          <t>Rumah Tangga</t>
        </is>
      </c>
      <c r="H1279" s="10" t="inlineStr">
        <is>
          <t>Set Wadah Kedap</t>
        </is>
      </c>
      <c r="I1279" s="19" t="n">
        <v>4</v>
      </c>
      <c r="J1279" s="20" t="n">
        <v>135000</v>
      </c>
      <c r="K1279" s="20" t="n">
        <v>540000</v>
      </c>
      <c r="L1279" s="10">
        <f>IF($B1279="","",TEXT($B1279,"YYYY-MM"))</f>
        <v/>
      </c>
    </row>
    <row r="1280">
      <c r="A1280" s="10" t="inlineStr">
        <is>
          <t>INV-70146</t>
        </is>
      </c>
      <c r="B1280" s="18" t="n">
        <v>46106</v>
      </c>
      <c r="C1280" s="10" t="inlineStr">
        <is>
          <t>C1042</t>
        </is>
      </c>
      <c r="D1280" s="10" t="inlineStr">
        <is>
          <t>loyal</t>
        </is>
      </c>
      <c r="E1280" s="10" t="inlineStr">
        <is>
          <t>Tokopedia</t>
        </is>
      </c>
      <c r="F1280" s="10" t="inlineStr">
        <is>
          <t>Jabodetabek</t>
        </is>
      </c>
      <c r="G1280" s="10" t="inlineStr">
        <is>
          <t>Kecantikan</t>
        </is>
      </c>
      <c r="H1280" s="10" t="inlineStr">
        <is>
          <t>Masker Wajah (5s)</t>
        </is>
      </c>
      <c r="I1280" s="19" t="n">
        <v>1</v>
      </c>
      <c r="J1280" s="20" t="n">
        <v>55000</v>
      </c>
      <c r="K1280" s="20" t="n">
        <v>55000</v>
      </c>
      <c r="L1280" s="10">
        <f>IF($B1280="","",TEXT($B1280,"YYYY-MM"))</f>
        <v/>
      </c>
    </row>
    <row r="1281">
      <c r="A1281" s="10" t="inlineStr">
        <is>
          <t>INV-70475</t>
        </is>
      </c>
      <c r="B1281" s="18" t="n">
        <v>46107</v>
      </c>
      <c r="C1281" s="10" t="inlineStr">
        <is>
          <t>C1136</t>
        </is>
      </c>
      <c r="D1281" s="10" t="inlineStr">
        <is>
          <t>occasional</t>
        </is>
      </c>
      <c r="E1281" s="10" t="inlineStr">
        <is>
          <t>Tokopedia</t>
        </is>
      </c>
      <c r="F1281" s="10" t="inlineStr">
        <is>
          <t>Jawa Barat</t>
        </is>
      </c>
      <c r="G1281" s="10" t="inlineStr">
        <is>
          <t>Kecantikan</t>
        </is>
      </c>
      <c r="H1281" s="10" t="inlineStr">
        <is>
          <t>Masker Wajah (5s)</t>
        </is>
      </c>
      <c r="I1281" s="19" t="n">
        <v>4</v>
      </c>
      <c r="J1281" s="20" t="n">
        <v>55000</v>
      </c>
      <c r="K1281" s="20" t="n">
        <v>220000</v>
      </c>
      <c r="L1281" s="10">
        <f>IF($B1281="","",TEXT($B1281,"YYYY-MM"))</f>
        <v/>
      </c>
    </row>
    <row r="1282">
      <c r="A1282" s="10" t="inlineStr">
        <is>
          <t>INV-71397</t>
        </is>
      </c>
      <c r="B1282" s="18" t="n">
        <v>46107</v>
      </c>
      <c r="C1282" s="10" t="inlineStr">
        <is>
          <t>C1386</t>
        </is>
      </c>
      <c r="D1282" s="10" t="inlineStr">
        <is>
          <t>loyal</t>
        </is>
      </c>
      <c r="E1282" s="10" t="inlineStr">
        <is>
          <t>Offline Store</t>
        </is>
      </c>
      <c r="F1282" s="10" t="inlineStr">
        <is>
          <t>Lainnya</t>
        </is>
      </c>
      <c r="G1282" s="10" t="inlineStr">
        <is>
          <t>Rumah Tangga</t>
        </is>
      </c>
      <c r="H1282" s="10" t="inlineStr">
        <is>
          <t>Diffuser Aroma</t>
        </is>
      </c>
      <c r="I1282" s="19" t="n">
        <v>4</v>
      </c>
      <c r="J1282" s="20" t="n">
        <v>195000</v>
      </c>
      <c r="K1282" s="20" t="n">
        <v>780000</v>
      </c>
      <c r="L1282" s="10">
        <f>IF($B1282="","",TEXT($B1282,"YYYY-MM"))</f>
        <v/>
      </c>
    </row>
    <row r="1283">
      <c r="A1283" s="10" t="inlineStr">
        <is>
          <t>INV-71256</t>
        </is>
      </c>
      <c r="B1283" s="18" t="n">
        <v>46107</v>
      </c>
      <c r="C1283" s="10" t="inlineStr">
        <is>
          <t>C1353</t>
        </is>
      </c>
      <c r="D1283" s="10" t="inlineStr">
        <is>
          <t>loyal</t>
        </is>
      </c>
      <c r="E1283" s="10" t="inlineStr">
        <is>
          <t>Shopee</t>
        </is>
      </c>
      <c r="F1283" s="10" t="inlineStr">
        <is>
          <t>Jabodetabek</t>
        </is>
      </c>
      <c r="G1283" s="10" t="inlineStr">
        <is>
          <t>Kecantikan</t>
        </is>
      </c>
      <c r="H1283" s="10" t="inlineStr">
        <is>
          <t>Masker Wajah (5s)</t>
        </is>
      </c>
      <c r="I1283" s="19" t="n">
        <v>1</v>
      </c>
      <c r="J1283" s="20" t="n">
        <v>55000</v>
      </c>
      <c r="K1283" s="20" t="n">
        <v>55000</v>
      </c>
      <c r="L1283" s="10">
        <f>IF($B1283="","",TEXT($B1283,"YYYY-MM"))</f>
        <v/>
      </c>
    </row>
    <row r="1284">
      <c r="A1284" s="10" t="inlineStr">
        <is>
          <t>INV-71523</t>
        </is>
      </c>
      <c r="B1284" s="18" t="n">
        <v>46108</v>
      </c>
      <c r="C1284" s="10" t="inlineStr">
        <is>
          <t>C1419</t>
        </is>
      </c>
      <c r="D1284" s="10" t="inlineStr">
        <is>
          <t>loyal</t>
        </is>
      </c>
      <c r="E1284" s="10" t="inlineStr">
        <is>
          <t>Shopee</t>
        </is>
      </c>
      <c r="F1284" s="10" t="inlineStr">
        <is>
          <t>Jawa Barat</t>
        </is>
      </c>
      <c r="G1284" s="10" t="inlineStr">
        <is>
          <t>Rumah Tangga</t>
        </is>
      </c>
      <c r="H1284" s="10" t="inlineStr">
        <is>
          <t>Set Wadah Kedap</t>
        </is>
      </c>
      <c r="I1284" s="19" t="n">
        <v>1</v>
      </c>
      <c r="J1284" s="20" t="n">
        <v>135000</v>
      </c>
      <c r="K1284" s="20" t="n">
        <v>135000</v>
      </c>
      <c r="L1284" s="10">
        <f>IF($B1284="","",TEXT($B1284,"YYYY-MM"))</f>
        <v/>
      </c>
    </row>
    <row r="1285">
      <c r="A1285" s="10" t="inlineStr">
        <is>
          <t>INV-70113</t>
        </is>
      </c>
      <c r="B1285" s="18" t="n">
        <v>46113</v>
      </c>
      <c r="C1285" s="10" t="inlineStr">
        <is>
          <t>C1033</t>
        </is>
      </c>
      <c r="D1285" s="10" t="inlineStr">
        <is>
          <t>regular</t>
        </is>
      </c>
      <c r="E1285" s="10" t="inlineStr">
        <is>
          <t>TikTok Shop</t>
        </is>
      </c>
      <c r="F1285" s="10" t="inlineStr">
        <is>
          <t>Jawa Tengah</t>
        </is>
      </c>
      <c r="G1285" s="10" t="inlineStr">
        <is>
          <t>Elektronik</t>
        </is>
      </c>
      <c r="H1285" s="10" t="inlineStr">
        <is>
          <t>Power Bank 20K</t>
        </is>
      </c>
      <c r="I1285" s="19" t="n">
        <v>4</v>
      </c>
      <c r="J1285" s="20" t="n">
        <v>185000</v>
      </c>
      <c r="K1285" s="20" t="n">
        <v>740000</v>
      </c>
      <c r="L1285" s="10">
        <f>IF($B1285="","",TEXT($B1285,"YYYY-MM"))</f>
        <v/>
      </c>
    </row>
    <row r="1286">
      <c r="A1286" s="10" t="inlineStr">
        <is>
          <t>INV-70815</t>
        </is>
      </c>
      <c r="B1286" s="18" t="n">
        <v>46113</v>
      </c>
      <c r="C1286" s="10" t="inlineStr">
        <is>
          <t>C1230</t>
        </is>
      </c>
      <c r="D1286" s="10" t="inlineStr">
        <is>
          <t>occasional</t>
        </is>
      </c>
      <c r="E1286" s="10" t="inlineStr">
        <is>
          <t>Tokopedia</t>
        </is>
      </c>
      <c r="F1286" s="10" t="inlineStr">
        <is>
          <t>Jabodetabek</t>
        </is>
      </c>
      <c r="G1286" s="10" t="inlineStr">
        <is>
          <t>Rumah Tangga</t>
        </is>
      </c>
      <c r="H1286" s="10" t="inlineStr">
        <is>
          <t>Set Wadah Kedap</t>
        </is>
      </c>
      <c r="I1286" s="19" t="n">
        <v>2</v>
      </c>
      <c r="J1286" s="20" t="n">
        <v>135000</v>
      </c>
      <c r="K1286" s="20" t="n">
        <v>270000</v>
      </c>
      <c r="L1286" s="10">
        <f>IF($B1286="","",TEXT($B1286,"YYYY-MM"))</f>
        <v/>
      </c>
    </row>
    <row r="1287">
      <c r="A1287" s="10" t="inlineStr">
        <is>
          <t>INV-70179</t>
        </is>
      </c>
      <c r="B1287" s="18" t="n">
        <v>46114</v>
      </c>
      <c r="C1287" s="10" t="inlineStr">
        <is>
          <t>C1050</t>
        </is>
      </c>
      <c r="D1287" s="10" t="inlineStr">
        <is>
          <t>regular</t>
        </is>
      </c>
      <c r="E1287" s="10" t="inlineStr">
        <is>
          <t>Offline Store</t>
        </is>
      </c>
      <c r="F1287" s="10" t="inlineStr">
        <is>
          <t>Sumatera</t>
        </is>
      </c>
      <c r="G1287" s="10" t="inlineStr">
        <is>
          <t>Elektronik</t>
        </is>
      </c>
      <c r="H1287" s="10" t="inlineStr">
        <is>
          <t>Webcam HD</t>
        </is>
      </c>
      <c r="I1287" s="19" t="n">
        <v>1</v>
      </c>
      <c r="J1287" s="20" t="n">
        <v>210000</v>
      </c>
      <c r="K1287" s="20" t="n">
        <v>210000</v>
      </c>
      <c r="L1287" s="10">
        <f>IF($B1287="","",TEXT($B1287,"YYYY-MM"))</f>
        <v/>
      </c>
    </row>
    <row r="1288">
      <c r="A1288" s="10" t="inlineStr">
        <is>
          <t>INV-70791</t>
        </is>
      </c>
      <c r="B1288" s="18" t="n">
        <v>46114</v>
      </c>
      <c r="C1288" s="10" t="inlineStr">
        <is>
          <t>C1222</t>
        </is>
      </c>
      <c r="D1288" s="10" t="inlineStr">
        <is>
          <t>loyal</t>
        </is>
      </c>
      <c r="E1288" s="10" t="inlineStr">
        <is>
          <t>TikTok Shop</t>
        </is>
      </c>
      <c r="F1288" s="10" t="inlineStr">
        <is>
          <t>Jabodetabek</t>
        </is>
      </c>
      <c r="G1288" s="10" t="inlineStr">
        <is>
          <t>Kecantikan</t>
        </is>
      </c>
      <c r="H1288" s="10" t="inlineStr">
        <is>
          <t>Masker Wajah (5s)</t>
        </is>
      </c>
      <c r="I1288" s="19" t="n">
        <v>1</v>
      </c>
      <c r="J1288" s="20" t="n">
        <v>55000</v>
      </c>
      <c r="K1288" s="20" t="n">
        <v>55000</v>
      </c>
      <c r="L1288" s="10">
        <f>IF($B1288="","",TEXT($B1288,"YYYY-MM"))</f>
        <v/>
      </c>
    </row>
    <row r="1289">
      <c r="A1289" s="10" t="inlineStr">
        <is>
          <t>INV-71197</t>
        </is>
      </c>
      <c r="B1289" s="18" t="n">
        <v>46114</v>
      </c>
      <c r="C1289" s="10" t="inlineStr">
        <is>
          <t>C1337</t>
        </is>
      </c>
      <c r="D1289" s="10" t="inlineStr">
        <is>
          <t>regular</t>
        </is>
      </c>
      <c r="E1289" s="10" t="inlineStr">
        <is>
          <t>Offline Store</t>
        </is>
      </c>
      <c r="F1289" s="10" t="inlineStr">
        <is>
          <t>Jawa Barat</t>
        </is>
      </c>
      <c r="G1289" s="10" t="inlineStr">
        <is>
          <t>Rumah Tangga</t>
        </is>
      </c>
      <c r="H1289" s="10" t="inlineStr">
        <is>
          <t>Set Wadah Kedap</t>
        </is>
      </c>
      <c r="I1289" s="19" t="n">
        <v>1</v>
      </c>
      <c r="J1289" s="20" t="n">
        <v>135000</v>
      </c>
      <c r="K1289" s="20" t="n">
        <v>135000</v>
      </c>
      <c r="L1289" s="10">
        <f>IF($B1289="","",TEXT($B1289,"YYYY-MM"))</f>
        <v/>
      </c>
    </row>
    <row r="1290">
      <c r="A1290" s="10" t="inlineStr">
        <is>
          <t>INV-71085</t>
        </is>
      </c>
      <c r="B1290" s="18" t="n">
        <v>46115</v>
      </c>
      <c r="C1290" s="10" t="inlineStr">
        <is>
          <t>C1305</t>
        </is>
      </c>
      <c r="D1290" s="10" t="inlineStr">
        <is>
          <t>champion</t>
        </is>
      </c>
      <c r="E1290" s="10" t="inlineStr">
        <is>
          <t>Shopee</t>
        </is>
      </c>
      <c r="F1290" s="10" t="inlineStr">
        <is>
          <t>Jawa Tengah</t>
        </is>
      </c>
      <c r="G1290" s="10" t="inlineStr">
        <is>
          <t>Rumah Tangga</t>
        </is>
      </c>
      <c r="H1290" s="10" t="inlineStr">
        <is>
          <t>Set Wadah Kedap</t>
        </is>
      </c>
      <c r="I1290" s="19" t="n">
        <v>2</v>
      </c>
      <c r="J1290" s="20" t="n">
        <v>135000</v>
      </c>
      <c r="K1290" s="20" t="n">
        <v>270000</v>
      </c>
      <c r="L1290" s="10">
        <f>IF($B1290="","",TEXT($B1290,"YYYY-MM"))</f>
        <v/>
      </c>
    </row>
    <row r="1291">
      <c r="A1291" s="10" t="inlineStr">
        <is>
          <t>INV-70033</t>
        </is>
      </c>
      <c r="B1291" s="18" t="n">
        <v>46115</v>
      </c>
      <c r="C1291" s="10" t="inlineStr">
        <is>
          <t>C1007</t>
        </is>
      </c>
      <c r="D1291" s="10" t="inlineStr">
        <is>
          <t>occasional</t>
        </is>
      </c>
      <c r="E1291" s="10" t="inlineStr">
        <is>
          <t>Tokopedia</t>
        </is>
      </c>
      <c r="F1291" s="10" t="inlineStr">
        <is>
          <t>Jawa Barat</t>
        </is>
      </c>
      <c r="G1291" s="10" t="inlineStr">
        <is>
          <t>Fashion</t>
        </is>
      </c>
      <c r="H1291" s="10" t="inlineStr">
        <is>
          <t>Celana Chino</t>
        </is>
      </c>
      <c r="I1291" s="19" t="n">
        <v>4</v>
      </c>
      <c r="J1291" s="20" t="n">
        <v>195000</v>
      </c>
      <c r="K1291" s="20" t="n">
        <v>780000</v>
      </c>
      <c r="L1291" s="10">
        <f>IF($B1291="","",TEXT($B1291,"YYYY-MM"))</f>
        <v/>
      </c>
    </row>
    <row r="1292">
      <c r="A1292" s="10" t="inlineStr">
        <is>
          <t>INV-70289</t>
        </is>
      </c>
      <c r="B1292" s="18" t="n">
        <v>46115</v>
      </c>
      <c r="C1292" s="10" t="inlineStr">
        <is>
          <t>C1083</t>
        </is>
      </c>
      <c r="D1292" s="10" t="inlineStr">
        <is>
          <t>loyal</t>
        </is>
      </c>
      <c r="E1292" s="10" t="inlineStr">
        <is>
          <t>Shopee</t>
        </is>
      </c>
      <c r="F1292" s="10" t="inlineStr">
        <is>
          <t>Jabodetabek</t>
        </is>
      </c>
      <c r="G1292" s="10" t="inlineStr">
        <is>
          <t>Rumah Tangga</t>
        </is>
      </c>
      <c r="H1292" s="10" t="inlineStr">
        <is>
          <t>Set Wadah Kedap</t>
        </is>
      </c>
      <c r="I1292" s="19" t="n">
        <v>4</v>
      </c>
      <c r="J1292" s="20" t="n">
        <v>135000</v>
      </c>
      <c r="K1292" s="20" t="n">
        <v>540000</v>
      </c>
      <c r="L1292" s="10">
        <f>IF($B1292="","",TEXT($B1292,"YYYY-MM"))</f>
        <v/>
      </c>
    </row>
    <row r="1293">
      <c r="A1293" s="10" t="inlineStr">
        <is>
          <t>INV-71051</t>
        </is>
      </c>
      <c r="B1293" s="18" t="n">
        <v>46115</v>
      </c>
      <c r="C1293" s="10" t="inlineStr">
        <is>
          <t>C1297</t>
        </is>
      </c>
      <c r="D1293" s="10" t="inlineStr">
        <is>
          <t>occasional</t>
        </is>
      </c>
      <c r="E1293" s="10" t="inlineStr">
        <is>
          <t>Tokopedia</t>
        </is>
      </c>
      <c r="F1293" s="10" t="inlineStr">
        <is>
          <t>Jabodetabek</t>
        </is>
      </c>
      <c r="G1293" s="10" t="inlineStr">
        <is>
          <t>Makanan</t>
        </is>
      </c>
      <c r="H1293" s="10" t="inlineStr">
        <is>
          <t>Granola 500g</t>
        </is>
      </c>
      <c r="I1293" s="19" t="n">
        <v>2</v>
      </c>
      <c r="J1293" s="20" t="n">
        <v>92000</v>
      </c>
      <c r="K1293" s="20" t="n">
        <v>184000</v>
      </c>
      <c r="L1293" s="10">
        <f>IF($B1293="","",TEXT($B1293,"YYYY-MM"))</f>
        <v/>
      </c>
    </row>
    <row r="1294">
      <c r="A1294" s="10" t="inlineStr">
        <is>
          <t>INV-70839</t>
        </is>
      </c>
      <c r="B1294" s="18" t="n">
        <v>46115</v>
      </c>
      <c r="C1294" s="10" t="inlineStr">
        <is>
          <t>C1237</t>
        </is>
      </c>
      <c r="D1294" s="10" t="inlineStr">
        <is>
          <t>champion</t>
        </is>
      </c>
      <c r="E1294" s="10" t="inlineStr">
        <is>
          <t>TikTok Shop</t>
        </is>
      </c>
      <c r="F1294" s="10" t="inlineStr">
        <is>
          <t>Jawa Barat</t>
        </is>
      </c>
      <c r="G1294" s="10" t="inlineStr">
        <is>
          <t>Rumah Tangga</t>
        </is>
      </c>
      <c r="H1294" s="10" t="inlineStr">
        <is>
          <t>Set Wadah Kedap</t>
        </is>
      </c>
      <c r="I1294" s="19" t="n">
        <v>4</v>
      </c>
      <c r="J1294" s="20" t="n">
        <v>135000</v>
      </c>
      <c r="K1294" s="20" t="n">
        <v>540000</v>
      </c>
      <c r="L1294" s="10">
        <f>IF($B1294="","",TEXT($B1294,"YYYY-MM"))</f>
        <v/>
      </c>
    </row>
    <row r="1295">
      <c r="A1295" s="10" t="inlineStr">
        <is>
          <t>INV-71463</t>
        </is>
      </c>
      <c r="B1295" s="18" t="n">
        <v>46115</v>
      </c>
      <c r="C1295" s="10" t="inlineStr">
        <is>
          <t>C1404</t>
        </is>
      </c>
      <c r="D1295" s="10" t="inlineStr">
        <is>
          <t>loyal</t>
        </is>
      </c>
      <c r="E1295" s="10" t="inlineStr">
        <is>
          <t>TikTok Shop</t>
        </is>
      </c>
      <c r="F1295" s="10" t="inlineStr">
        <is>
          <t>Sumatera</t>
        </is>
      </c>
      <c r="G1295" s="10" t="inlineStr">
        <is>
          <t>Rumah Tangga</t>
        </is>
      </c>
      <c r="H1295" s="10" t="inlineStr">
        <is>
          <t>Set Wadah Kedap</t>
        </is>
      </c>
      <c r="I1295" s="19" t="n">
        <v>4</v>
      </c>
      <c r="J1295" s="20" t="n">
        <v>135000</v>
      </c>
      <c r="K1295" s="20" t="n">
        <v>540000</v>
      </c>
      <c r="L1295" s="10">
        <f>IF($B1295="","",TEXT($B1295,"YYYY-MM"))</f>
        <v/>
      </c>
    </row>
    <row r="1296">
      <c r="A1296" s="10" t="inlineStr">
        <is>
          <t>INV-71050</t>
        </is>
      </c>
      <c r="B1296" s="18" t="n">
        <v>46116</v>
      </c>
      <c r="C1296" s="10" t="inlineStr">
        <is>
          <t>C1297</t>
        </is>
      </c>
      <c r="D1296" s="10" t="inlineStr">
        <is>
          <t>occasional</t>
        </is>
      </c>
      <c r="E1296" s="10" t="inlineStr">
        <is>
          <t>TikTok Shop</t>
        </is>
      </c>
      <c r="F1296" s="10" t="inlineStr">
        <is>
          <t>Lainnya</t>
        </is>
      </c>
      <c r="G1296" s="10" t="inlineStr">
        <is>
          <t>Elektronik</t>
        </is>
      </c>
      <c r="H1296" s="10" t="inlineStr">
        <is>
          <t>Power Bank 20K</t>
        </is>
      </c>
      <c r="I1296" s="19" t="n">
        <v>1</v>
      </c>
      <c r="J1296" s="20" t="n">
        <v>185000</v>
      </c>
      <c r="K1296" s="20" t="n">
        <v>185000</v>
      </c>
      <c r="L1296" s="10">
        <f>IF($B1296="","",TEXT($B1296,"YYYY-MM"))</f>
        <v/>
      </c>
    </row>
    <row r="1297">
      <c r="A1297" s="10" t="inlineStr">
        <is>
          <t>INV-70210</t>
        </is>
      </c>
      <c r="B1297" s="18" t="n">
        <v>46116</v>
      </c>
      <c r="C1297" s="10" t="inlineStr">
        <is>
          <t>C1059</t>
        </is>
      </c>
      <c r="D1297" s="10" t="inlineStr">
        <is>
          <t>regular</t>
        </is>
      </c>
      <c r="E1297" s="10" t="inlineStr">
        <is>
          <t>Tokopedia</t>
        </is>
      </c>
      <c r="F1297" s="10" t="inlineStr">
        <is>
          <t>Jawa Barat</t>
        </is>
      </c>
      <c r="G1297" s="10" t="inlineStr">
        <is>
          <t>Rumah Tangga</t>
        </is>
      </c>
      <c r="H1297" s="10" t="inlineStr">
        <is>
          <t>Organizer Laci</t>
        </is>
      </c>
      <c r="I1297" s="19" t="n">
        <v>4</v>
      </c>
      <c r="J1297" s="20" t="n">
        <v>78000</v>
      </c>
      <c r="K1297" s="20" t="n">
        <v>312000</v>
      </c>
      <c r="L1297" s="10">
        <f>IF($B1297="","",TEXT($B1297,"YYYY-MM"))</f>
        <v/>
      </c>
    </row>
    <row r="1298">
      <c r="A1298" s="10" t="inlineStr">
        <is>
          <t>INV-71309</t>
        </is>
      </c>
      <c r="B1298" s="18" t="n">
        <v>46116</v>
      </c>
      <c r="C1298" s="10" t="inlineStr">
        <is>
          <t>C1363</t>
        </is>
      </c>
      <c r="D1298" s="10" t="inlineStr">
        <is>
          <t>regular</t>
        </is>
      </c>
      <c r="E1298" s="10" t="inlineStr">
        <is>
          <t>Tokopedia</t>
        </is>
      </c>
      <c r="F1298" s="10" t="inlineStr">
        <is>
          <t>Jawa Tengah</t>
        </is>
      </c>
      <c r="G1298" s="10" t="inlineStr">
        <is>
          <t>Elektronik</t>
        </is>
      </c>
      <c r="H1298" s="10" t="inlineStr">
        <is>
          <t>Webcam HD</t>
        </is>
      </c>
      <c r="I1298" s="19" t="n">
        <v>2</v>
      </c>
      <c r="J1298" s="20" t="n">
        <v>210000</v>
      </c>
      <c r="K1298" s="20" t="n">
        <v>420000</v>
      </c>
      <c r="L1298" s="10">
        <f>IF($B1298="","",TEXT($B1298,"YYYY-MM"))</f>
        <v/>
      </c>
    </row>
    <row r="1299">
      <c r="A1299" s="10" t="inlineStr">
        <is>
          <t>INV-71562</t>
        </is>
      </c>
      <c r="B1299" s="18" t="n">
        <v>46116</v>
      </c>
      <c r="C1299" s="10" t="inlineStr">
        <is>
          <t>C1429</t>
        </is>
      </c>
      <c r="D1299" s="10" t="inlineStr">
        <is>
          <t>regular</t>
        </is>
      </c>
      <c r="E1299" s="10" t="inlineStr">
        <is>
          <t>Offline Store</t>
        </is>
      </c>
      <c r="F1299" s="10" t="inlineStr">
        <is>
          <t>Jawa Timur</t>
        </is>
      </c>
      <c r="G1299" s="10" t="inlineStr">
        <is>
          <t>Fashion</t>
        </is>
      </c>
      <c r="H1299" s="10" t="inlineStr">
        <is>
          <t>Celana Chino</t>
        </is>
      </c>
      <c r="I1299" s="19" t="n">
        <v>4</v>
      </c>
      <c r="J1299" s="20" t="n">
        <v>195000</v>
      </c>
      <c r="K1299" s="20" t="n">
        <v>780000</v>
      </c>
      <c r="L1299" s="10">
        <f>IF($B1299="","",TEXT($B1299,"YYYY-MM"))</f>
        <v/>
      </c>
    </row>
    <row r="1300">
      <c r="A1300" s="10" t="inlineStr">
        <is>
          <t>INV-70085</t>
        </is>
      </c>
      <c r="B1300" s="18" t="n">
        <v>46117</v>
      </c>
      <c r="C1300" s="10" t="inlineStr">
        <is>
          <t>C1025</t>
        </is>
      </c>
      <c r="D1300" s="10" t="inlineStr">
        <is>
          <t>loyal</t>
        </is>
      </c>
      <c r="E1300" s="10" t="inlineStr">
        <is>
          <t>Shopee</t>
        </is>
      </c>
      <c r="F1300" s="10" t="inlineStr">
        <is>
          <t>Jabodetabek</t>
        </is>
      </c>
      <c r="G1300" s="10" t="inlineStr">
        <is>
          <t>Rumah Tangga</t>
        </is>
      </c>
      <c r="H1300" s="10" t="inlineStr">
        <is>
          <t>Set Wadah Kedap</t>
        </is>
      </c>
      <c r="I1300" s="19" t="n">
        <v>1</v>
      </c>
      <c r="J1300" s="20" t="n">
        <v>135000</v>
      </c>
      <c r="K1300" s="20" t="n">
        <v>135000</v>
      </c>
      <c r="L1300" s="10">
        <f>IF($B1300="","",TEXT($B1300,"YYYY-MM"))</f>
        <v/>
      </c>
    </row>
    <row r="1301">
      <c r="A1301" s="10" t="inlineStr">
        <is>
          <t>INV-70004</t>
        </is>
      </c>
      <c r="B1301" s="18" t="n">
        <v>46117</v>
      </c>
      <c r="C1301" s="10" t="inlineStr">
        <is>
          <t>C1001</t>
        </is>
      </c>
      <c r="D1301" s="10" t="inlineStr">
        <is>
          <t>occasional</t>
        </is>
      </c>
      <c r="E1301" s="10" t="inlineStr">
        <is>
          <t>Tokopedia</t>
        </is>
      </c>
      <c r="F1301" s="10" t="inlineStr">
        <is>
          <t>Jawa Barat</t>
        </is>
      </c>
      <c r="G1301" s="10" t="inlineStr">
        <is>
          <t>Rumah Tangga</t>
        </is>
      </c>
      <c r="H1301" s="10" t="inlineStr">
        <is>
          <t>Set Wadah Kedap</t>
        </is>
      </c>
      <c r="I1301" s="19" t="n">
        <v>1</v>
      </c>
      <c r="J1301" s="20" t="n">
        <v>135000</v>
      </c>
      <c r="K1301" s="20" t="n">
        <v>135000</v>
      </c>
      <c r="L1301" s="10">
        <f>IF($B1301="","",TEXT($B1301,"YYYY-MM"))</f>
        <v/>
      </c>
    </row>
    <row r="1302">
      <c r="A1302" s="10" t="inlineStr">
        <is>
          <t>INV-70631</t>
        </is>
      </c>
      <c r="B1302" s="18" t="n">
        <v>46117</v>
      </c>
      <c r="C1302" s="10" t="inlineStr">
        <is>
          <t>C1173</t>
        </is>
      </c>
      <c r="D1302" s="10" t="inlineStr">
        <is>
          <t>loyal</t>
        </is>
      </c>
      <c r="E1302" s="10" t="inlineStr">
        <is>
          <t>Shopee</t>
        </is>
      </c>
      <c r="F1302" s="10" t="inlineStr">
        <is>
          <t>Jawa Tengah</t>
        </is>
      </c>
      <c r="G1302" s="10" t="inlineStr">
        <is>
          <t>Elektronik</t>
        </is>
      </c>
      <c r="H1302" s="10" t="inlineStr">
        <is>
          <t>Power Bank 20K</t>
        </is>
      </c>
      <c r="I1302" s="19" t="n">
        <v>1</v>
      </c>
      <c r="J1302" s="20" t="n">
        <v>185000</v>
      </c>
      <c r="K1302" s="20" t="n">
        <v>185000</v>
      </c>
      <c r="L1302" s="10">
        <f>IF($B1302="","",TEXT($B1302,"YYYY-MM"))</f>
        <v/>
      </c>
    </row>
    <row r="1303">
      <c r="A1303" s="10" t="inlineStr">
        <is>
          <t>INV-71548</t>
        </is>
      </c>
      <c r="B1303" s="18" t="n">
        <v>46117</v>
      </c>
      <c r="C1303" s="10" t="inlineStr">
        <is>
          <t>C1426</t>
        </is>
      </c>
      <c r="D1303" s="10" t="inlineStr">
        <is>
          <t>occasional</t>
        </is>
      </c>
      <c r="E1303" s="10" t="inlineStr">
        <is>
          <t>Tokopedia</t>
        </is>
      </c>
      <c r="F1303" s="10" t="inlineStr">
        <is>
          <t>Jabodetabek</t>
        </is>
      </c>
      <c r="G1303" s="10" t="inlineStr">
        <is>
          <t>Kecantikan</t>
        </is>
      </c>
      <c r="H1303" s="10" t="inlineStr">
        <is>
          <t>Masker Wajah (5s)</t>
        </is>
      </c>
      <c r="I1303" s="19" t="n">
        <v>2</v>
      </c>
      <c r="J1303" s="20" t="n">
        <v>55000</v>
      </c>
      <c r="K1303" s="20" t="n">
        <v>110000</v>
      </c>
      <c r="L1303" s="10">
        <f>IF($B1303="","",TEXT($B1303,"YYYY-MM"))</f>
        <v/>
      </c>
    </row>
    <row r="1304">
      <c r="A1304" s="10" t="inlineStr">
        <is>
          <t>INV-70423</t>
        </is>
      </c>
      <c r="B1304" s="18" t="n">
        <v>46118</v>
      </c>
      <c r="C1304" s="10" t="inlineStr">
        <is>
          <t>C1119</t>
        </is>
      </c>
      <c r="D1304" s="10" t="inlineStr">
        <is>
          <t>regular</t>
        </is>
      </c>
      <c r="E1304" s="10" t="inlineStr">
        <is>
          <t>TikTok Shop</t>
        </is>
      </c>
      <c r="F1304" s="10" t="inlineStr">
        <is>
          <t>Lainnya</t>
        </is>
      </c>
      <c r="G1304" s="10" t="inlineStr">
        <is>
          <t>Rumah Tangga</t>
        </is>
      </c>
      <c r="H1304" s="10" t="inlineStr">
        <is>
          <t>Set Wadah Kedap</t>
        </is>
      </c>
      <c r="I1304" s="19" t="n">
        <v>4</v>
      </c>
      <c r="J1304" s="20" t="n">
        <v>135000</v>
      </c>
      <c r="K1304" s="20" t="n">
        <v>540000</v>
      </c>
      <c r="L1304" s="10">
        <f>IF($B1304="","",TEXT($B1304,"YYYY-MM"))</f>
        <v/>
      </c>
    </row>
    <row r="1305">
      <c r="A1305" s="10" t="inlineStr">
        <is>
          <t>INV-71057</t>
        </is>
      </c>
      <c r="B1305" s="18" t="n">
        <v>46118</v>
      </c>
      <c r="C1305" s="10" t="inlineStr">
        <is>
          <t>C1300</t>
        </is>
      </c>
      <c r="D1305" s="10" t="inlineStr">
        <is>
          <t>regular</t>
        </is>
      </c>
      <c r="E1305" s="10" t="inlineStr">
        <is>
          <t>Shopee</t>
        </is>
      </c>
      <c r="F1305" s="10" t="inlineStr">
        <is>
          <t>Jabodetabek</t>
        </is>
      </c>
      <c r="G1305" s="10" t="inlineStr">
        <is>
          <t>Fashion</t>
        </is>
      </c>
      <c r="H1305" s="10" t="inlineStr">
        <is>
          <t>Dress Casual</t>
        </is>
      </c>
      <c r="I1305" s="19" t="n">
        <v>2</v>
      </c>
      <c r="J1305" s="20" t="n">
        <v>225000</v>
      </c>
      <c r="K1305" s="20" t="n">
        <v>450000</v>
      </c>
      <c r="L1305" s="10">
        <f>IF($B1305="","",TEXT($B1305,"YYYY-MM"))</f>
        <v/>
      </c>
    </row>
    <row r="1306">
      <c r="A1306" s="10" t="inlineStr">
        <is>
          <t>INV-70504</t>
        </is>
      </c>
      <c r="B1306" s="18" t="n">
        <v>46118</v>
      </c>
      <c r="C1306" s="10" t="inlineStr">
        <is>
          <t>C1141</t>
        </is>
      </c>
      <c r="D1306" s="10" t="inlineStr">
        <is>
          <t>loyal</t>
        </is>
      </c>
      <c r="E1306" s="10" t="inlineStr">
        <is>
          <t>Shopee</t>
        </is>
      </c>
      <c r="F1306" s="10" t="inlineStr">
        <is>
          <t>Jawa Timur</t>
        </is>
      </c>
      <c r="G1306" s="10" t="inlineStr">
        <is>
          <t>Elektronik</t>
        </is>
      </c>
      <c r="H1306" s="10" t="inlineStr">
        <is>
          <t>Power Bank 20K</t>
        </is>
      </c>
      <c r="I1306" s="19" t="n">
        <v>2</v>
      </c>
      <c r="J1306" s="20" t="n">
        <v>185000</v>
      </c>
      <c r="K1306" s="20" t="n">
        <v>370000</v>
      </c>
      <c r="L1306" s="10">
        <f>IF($B1306="","",TEXT($B1306,"YYYY-MM"))</f>
        <v/>
      </c>
    </row>
    <row r="1307">
      <c r="A1307" s="10" t="inlineStr">
        <is>
          <t>INV-71370</t>
        </is>
      </c>
      <c r="B1307" s="18" t="n">
        <v>46118</v>
      </c>
      <c r="C1307" s="10" t="inlineStr">
        <is>
          <t>C1378</t>
        </is>
      </c>
      <c r="D1307" s="10" t="inlineStr">
        <is>
          <t>regular</t>
        </is>
      </c>
      <c r="E1307" s="10" t="inlineStr">
        <is>
          <t>Shopee</t>
        </is>
      </c>
      <c r="F1307" s="10" t="inlineStr">
        <is>
          <t>Jabodetabek</t>
        </is>
      </c>
      <c r="G1307" s="10" t="inlineStr">
        <is>
          <t>Elektronik</t>
        </is>
      </c>
      <c r="H1307" s="10" t="inlineStr">
        <is>
          <t>Smartwatch</t>
        </is>
      </c>
      <c r="I1307" s="19" t="n">
        <v>1</v>
      </c>
      <c r="J1307" s="20" t="n">
        <v>450000</v>
      </c>
      <c r="K1307" s="20" t="n">
        <v>450000</v>
      </c>
      <c r="L1307" s="10">
        <f>IF($B1307="","",TEXT($B1307,"YYYY-MM"))</f>
        <v/>
      </c>
    </row>
    <row r="1308">
      <c r="A1308" s="10" t="inlineStr">
        <is>
          <t>INV-70874</t>
        </is>
      </c>
      <c r="B1308" s="18" t="n">
        <v>46119</v>
      </c>
      <c r="C1308" s="10" t="inlineStr">
        <is>
          <t>C1246</t>
        </is>
      </c>
      <c r="D1308" s="10" t="inlineStr">
        <is>
          <t>champion</t>
        </is>
      </c>
      <c r="E1308" s="10" t="inlineStr">
        <is>
          <t>Offline Store</t>
        </is>
      </c>
      <c r="F1308" s="10" t="inlineStr">
        <is>
          <t>Jawa Tengah</t>
        </is>
      </c>
      <c r="G1308" s="10" t="inlineStr">
        <is>
          <t>Elektronik</t>
        </is>
      </c>
      <c r="H1308" s="10" t="inlineStr">
        <is>
          <t>Power Bank 20K</t>
        </is>
      </c>
      <c r="I1308" s="19" t="n">
        <v>3</v>
      </c>
      <c r="J1308" s="20" t="n">
        <v>185000</v>
      </c>
      <c r="K1308" s="20" t="n">
        <v>555000</v>
      </c>
      <c r="L1308" s="10">
        <f>IF($B1308="","",TEXT($B1308,"YYYY-MM"))</f>
        <v/>
      </c>
    </row>
    <row r="1309">
      <c r="A1309" s="10" t="inlineStr">
        <is>
          <t>INV-71008</t>
        </is>
      </c>
      <c r="B1309" s="18" t="n">
        <v>46119</v>
      </c>
      <c r="C1309" s="10" t="inlineStr">
        <is>
          <t>C1287</t>
        </is>
      </c>
      <c r="D1309" s="10" t="inlineStr">
        <is>
          <t>champion</t>
        </is>
      </c>
      <c r="E1309" s="10" t="inlineStr">
        <is>
          <t>Tokopedia</t>
        </is>
      </c>
      <c r="F1309" s="10" t="inlineStr">
        <is>
          <t>Jawa Tengah</t>
        </is>
      </c>
      <c r="G1309" s="10" t="inlineStr">
        <is>
          <t>Rumah Tangga</t>
        </is>
      </c>
      <c r="H1309" s="10" t="inlineStr">
        <is>
          <t>Set Wadah Kedap</t>
        </is>
      </c>
      <c r="I1309" s="19" t="n">
        <v>1</v>
      </c>
      <c r="J1309" s="20" t="n">
        <v>135000</v>
      </c>
      <c r="K1309" s="20" t="n">
        <v>135000</v>
      </c>
      <c r="L1309" s="10">
        <f>IF($B1309="","",TEXT($B1309,"YYYY-MM"))</f>
        <v/>
      </c>
    </row>
    <row r="1310">
      <c r="A1310" s="10" t="inlineStr">
        <is>
          <t>INV-70819</t>
        </is>
      </c>
      <c r="B1310" s="18" t="n">
        <v>46119</v>
      </c>
      <c r="C1310" s="10" t="inlineStr">
        <is>
          <t>C1231</t>
        </is>
      </c>
      <c r="D1310" s="10" t="inlineStr">
        <is>
          <t>loyal</t>
        </is>
      </c>
      <c r="E1310" s="10" t="inlineStr">
        <is>
          <t>Tokopedia</t>
        </is>
      </c>
      <c r="F1310" s="10" t="inlineStr">
        <is>
          <t>Jabodetabek</t>
        </is>
      </c>
      <c r="G1310" s="10" t="inlineStr">
        <is>
          <t>Kecantikan</t>
        </is>
      </c>
      <c r="H1310" s="10" t="inlineStr">
        <is>
          <t>Masker Wajah (5s)</t>
        </is>
      </c>
      <c r="I1310" s="19" t="n">
        <v>1</v>
      </c>
      <c r="J1310" s="20" t="n">
        <v>55000</v>
      </c>
      <c r="K1310" s="20" t="n">
        <v>55000</v>
      </c>
      <c r="L1310" s="10">
        <f>IF($B1310="","",TEXT($B1310,"YYYY-MM"))</f>
        <v/>
      </c>
    </row>
    <row r="1311">
      <c r="A1311" s="10" t="inlineStr">
        <is>
          <t>INV-71524</t>
        </is>
      </c>
      <c r="B1311" s="18" t="n">
        <v>46119</v>
      </c>
      <c r="C1311" s="10" t="inlineStr">
        <is>
          <t>C1419</t>
        </is>
      </c>
      <c r="D1311" s="10" t="inlineStr">
        <is>
          <t>loyal</t>
        </is>
      </c>
      <c r="E1311" s="10" t="inlineStr">
        <is>
          <t>Offline Store</t>
        </is>
      </c>
      <c r="F1311" s="10" t="inlineStr">
        <is>
          <t>Jawa Barat</t>
        </is>
      </c>
      <c r="G1311" s="10" t="inlineStr">
        <is>
          <t>Rumah Tangga</t>
        </is>
      </c>
      <c r="H1311" s="10" t="inlineStr">
        <is>
          <t>Organizer Laci</t>
        </is>
      </c>
      <c r="I1311" s="19" t="n">
        <v>4</v>
      </c>
      <c r="J1311" s="20" t="n">
        <v>78000</v>
      </c>
      <c r="K1311" s="20" t="n">
        <v>312000</v>
      </c>
      <c r="L1311" s="10">
        <f>IF($B1311="","",TEXT($B1311,"YYYY-MM"))</f>
        <v/>
      </c>
    </row>
    <row r="1312">
      <c r="A1312" s="10" t="inlineStr">
        <is>
          <t>INV-71439</t>
        </is>
      </c>
      <c r="B1312" s="18" t="n">
        <v>46119</v>
      </c>
      <c r="C1312" s="10" t="inlineStr">
        <is>
          <t>C1396</t>
        </is>
      </c>
      <c r="D1312" s="10" t="inlineStr">
        <is>
          <t>loyal</t>
        </is>
      </c>
      <c r="E1312" s="10" t="inlineStr">
        <is>
          <t>Shopee</t>
        </is>
      </c>
      <c r="F1312" s="10" t="inlineStr">
        <is>
          <t>Jawa Timur</t>
        </is>
      </c>
      <c r="G1312" s="10" t="inlineStr">
        <is>
          <t>Makanan</t>
        </is>
      </c>
      <c r="H1312" s="10" t="inlineStr">
        <is>
          <t>Madu Hutan 250ml</t>
        </is>
      </c>
      <c r="I1312" s="19" t="n">
        <v>4</v>
      </c>
      <c r="J1312" s="20" t="n">
        <v>110000</v>
      </c>
      <c r="K1312" s="20" t="n">
        <v>440000</v>
      </c>
      <c r="L1312" s="10">
        <f>IF($B1312="","",TEXT($B1312,"YYYY-MM"))</f>
        <v/>
      </c>
    </row>
    <row r="1313">
      <c r="A1313" s="10" t="inlineStr">
        <is>
          <t>INV-71483</t>
        </is>
      </c>
      <c r="B1313" s="18" t="n">
        <v>46119</v>
      </c>
      <c r="C1313" s="10" t="inlineStr">
        <is>
          <t>C1409</t>
        </is>
      </c>
      <c r="D1313" s="10" t="inlineStr">
        <is>
          <t>loyal</t>
        </is>
      </c>
      <c r="E1313" s="10" t="inlineStr">
        <is>
          <t>TikTok Shop</t>
        </is>
      </c>
      <c r="F1313" s="10" t="inlineStr">
        <is>
          <t>Jabodetabek</t>
        </is>
      </c>
      <c r="G1313" s="10" t="inlineStr">
        <is>
          <t>Kecantikan</t>
        </is>
      </c>
      <c r="H1313" s="10" t="inlineStr">
        <is>
          <t>Masker Wajah (5s)</t>
        </is>
      </c>
      <c r="I1313" s="19" t="n">
        <v>2</v>
      </c>
      <c r="J1313" s="20" t="n">
        <v>55000</v>
      </c>
      <c r="K1313" s="20" t="n">
        <v>110000</v>
      </c>
      <c r="L1313" s="10">
        <f>IF($B1313="","",TEXT($B1313,"YYYY-MM"))</f>
        <v/>
      </c>
    </row>
    <row r="1314">
      <c r="A1314" s="10" t="inlineStr">
        <is>
          <t>INV-70787</t>
        </is>
      </c>
      <c r="B1314" s="18" t="n">
        <v>46119</v>
      </c>
      <c r="C1314" s="10" t="inlineStr">
        <is>
          <t>C1222</t>
        </is>
      </c>
      <c r="D1314" s="10" t="inlineStr">
        <is>
          <t>loyal</t>
        </is>
      </c>
      <c r="E1314" s="10" t="inlineStr">
        <is>
          <t>TikTok Shop</t>
        </is>
      </c>
      <c r="F1314" s="10" t="inlineStr">
        <is>
          <t>Lainnya</t>
        </is>
      </c>
      <c r="G1314" s="10" t="inlineStr">
        <is>
          <t>Makanan</t>
        </is>
      </c>
      <c r="H1314" s="10" t="inlineStr">
        <is>
          <t>Granola 500g</t>
        </is>
      </c>
      <c r="I1314" s="19" t="n">
        <v>2</v>
      </c>
      <c r="J1314" s="20" t="n">
        <v>92000</v>
      </c>
      <c r="K1314" s="20" t="n">
        <v>184000</v>
      </c>
      <c r="L1314" s="10">
        <f>IF($B1314="","",TEXT($B1314,"YYYY-MM"))</f>
        <v/>
      </c>
    </row>
    <row r="1315">
      <c r="A1315" s="10" t="inlineStr">
        <is>
          <t>INV-71514</t>
        </is>
      </c>
      <c r="B1315" s="18" t="n">
        <v>46119</v>
      </c>
      <c r="C1315" s="10" t="inlineStr">
        <is>
          <t>C1415</t>
        </is>
      </c>
      <c r="D1315" s="10" t="inlineStr">
        <is>
          <t>regular</t>
        </is>
      </c>
      <c r="E1315" s="10" t="inlineStr">
        <is>
          <t>TikTok Shop</t>
        </is>
      </c>
      <c r="F1315" s="10" t="inlineStr">
        <is>
          <t>Jabodetabek</t>
        </is>
      </c>
      <c r="G1315" s="10" t="inlineStr">
        <is>
          <t>Makanan</t>
        </is>
      </c>
      <c r="H1315" s="10" t="inlineStr">
        <is>
          <t>Granola 500g</t>
        </is>
      </c>
      <c r="I1315" s="19" t="n">
        <v>4</v>
      </c>
      <c r="J1315" s="20" t="n">
        <v>92000</v>
      </c>
      <c r="K1315" s="20" t="n">
        <v>368000</v>
      </c>
      <c r="L1315" s="10">
        <f>IF($B1315="","",TEXT($B1315,"YYYY-MM"))</f>
        <v/>
      </c>
    </row>
    <row r="1316">
      <c r="A1316" s="10" t="inlineStr">
        <is>
          <t>INV-70711</t>
        </is>
      </c>
      <c r="B1316" s="18" t="n">
        <v>46119</v>
      </c>
      <c r="C1316" s="10" t="inlineStr">
        <is>
          <t>C1196</t>
        </is>
      </c>
      <c r="D1316" s="10" t="inlineStr">
        <is>
          <t>occasional</t>
        </is>
      </c>
      <c r="E1316" s="10" t="inlineStr">
        <is>
          <t>Tokopedia</t>
        </is>
      </c>
      <c r="F1316" s="10" t="inlineStr">
        <is>
          <t>Sumatera</t>
        </is>
      </c>
      <c r="G1316" s="10" t="inlineStr">
        <is>
          <t>Rumah Tangga</t>
        </is>
      </c>
      <c r="H1316" s="10" t="inlineStr">
        <is>
          <t>Karpet Bulu</t>
        </is>
      </c>
      <c r="I1316" s="19" t="n">
        <v>1</v>
      </c>
      <c r="J1316" s="20" t="n">
        <v>240000</v>
      </c>
      <c r="K1316" s="20" t="n">
        <v>240000</v>
      </c>
      <c r="L1316" s="10">
        <f>IF($B1316="","",TEXT($B1316,"YYYY-MM"))</f>
        <v/>
      </c>
    </row>
    <row r="1317">
      <c r="A1317" s="10" t="inlineStr">
        <is>
          <t>INV-70419</t>
        </is>
      </c>
      <c r="B1317" s="18" t="n">
        <v>46119</v>
      </c>
      <c r="C1317" s="10" t="inlineStr">
        <is>
          <t>C1117</t>
        </is>
      </c>
      <c r="D1317" s="10" t="inlineStr">
        <is>
          <t>regular</t>
        </is>
      </c>
      <c r="E1317" s="10" t="inlineStr">
        <is>
          <t>Shopee</t>
        </is>
      </c>
      <c r="F1317" s="10" t="inlineStr">
        <is>
          <t>Lainnya</t>
        </is>
      </c>
      <c r="G1317" s="10" t="inlineStr">
        <is>
          <t>Fashion</t>
        </is>
      </c>
      <c r="H1317" s="10" t="inlineStr">
        <is>
          <t>Dress Casual</t>
        </is>
      </c>
      <c r="I1317" s="19" t="n">
        <v>2</v>
      </c>
      <c r="J1317" s="20" t="n">
        <v>225000</v>
      </c>
      <c r="K1317" s="20" t="n">
        <v>450000</v>
      </c>
      <c r="L1317" s="10">
        <f>IF($B1317="","",TEXT($B1317,"YYYY-MM"))</f>
        <v/>
      </c>
    </row>
    <row r="1318">
      <c r="A1318" s="10" t="inlineStr">
        <is>
          <t>INV-70972</t>
        </is>
      </c>
      <c r="B1318" s="18" t="n">
        <v>46119</v>
      </c>
      <c r="C1318" s="10" t="inlineStr">
        <is>
          <t>C1279</t>
        </is>
      </c>
      <c r="D1318" s="10" t="inlineStr">
        <is>
          <t>loyal</t>
        </is>
      </c>
      <c r="E1318" s="10" t="inlineStr">
        <is>
          <t>Shopee</t>
        </is>
      </c>
      <c r="F1318" s="10" t="inlineStr">
        <is>
          <t>Jabodetabek</t>
        </is>
      </c>
      <c r="G1318" s="10" t="inlineStr">
        <is>
          <t>Kecantikan</t>
        </is>
      </c>
      <c r="H1318" s="10" t="inlineStr">
        <is>
          <t>Masker Wajah (5s)</t>
        </is>
      </c>
      <c r="I1318" s="19" t="n">
        <v>2</v>
      </c>
      <c r="J1318" s="20" t="n">
        <v>55000</v>
      </c>
      <c r="K1318" s="20" t="n">
        <v>110000</v>
      </c>
      <c r="L1318" s="10">
        <f>IF($B1318="","",TEXT($B1318,"YYYY-MM"))</f>
        <v/>
      </c>
    </row>
    <row r="1319">
      <c r="A1319" s="10" t="inlineStr">
        <is>
          <t>INV-70622</t>
        </is>
      </c>
      <c r="B1319" s="18" t="n">
        <v>46120</v>
      </c>
      <c r="C1319" s="10" t="inlineStr">
        <is>
          <t>C1170</t>
        </is>
      </c>
      <c r="D1319" s="10" t="inlineStr">
        <is>
          <t>champion</t>
        </is>
      </c>
      <c r="E1319" s="10" t="inlineStr">
        <is>
          <t>TikTok Shop</t>
        </is>
      </c>
      <c r="F1319" s="10" t="inlineStr">
        <is>
          <t>Jawa Timur</t>
        </is>
      </c>
      <c r="G1319" s="10" t="inlineStr">
        <is>
          <t>Elektronik</t>
        </is>
      </c>
      <c r="H1319" s="10" t="inlineStr">
        <is>
          <t>Smartwatch</t>
        </is>
      </c>
      <c r="I1319" s="19" t="n">
        <v>1</v>
      </c>
      <c r="J1319" s="20" t="n">
        <v>450000</v>
      </c>
      <c r="K1319" s="20" t="n">
        <v>450000</v>
      </c>
      <c r="L1319" s="10">
        <f>IF($B1319="","",TEXT($B1319,"YYYY-MM"))</f>
        <v/>
      </c>
    </row>
    <row r="1320">
      <c r="A1320" s="10" t="inlineStr">
        <is>
          <t>INV-70903</t>
        </is>
      </c>
      <c r="B1320" s="18" t="n">
        <v>46120</v>
      </c>
      <c r="C1320" s="10" t="inlineStr">
        <is>
          <t>C1254</t>
        </is>
      </c>
      <c r="D1320" s="10" t="inlineStr">
        <is>
          <t>occasional</t>
        </is>
      </c>
      <c r="E1320" s="10" t="inlineStr">
        <is>
          <t>TikTok Shop</t>
        </is>
      </c>
      <c r="F1320" s="10" t="inlineStr">
        <is>
          <t>Jabodetabek</t>
        </is>
      </c>
      <c r="G1320" s="10" t="inlineStr">
        <is>
          <t>Elektronik</t>
        </is>
      </c>
      <c r="H1320" s="10" t="inlineStr">
        <is>
          <t>Earbuds TWS</t>
        </is>
      </c>
      <c r="I1320" s="19" t="n">
        <v>2</v>
      </c>
      <c r="J1320" s="20" t="n">
        <v>265000</v>
      </c>
      <c r="K1320" s="20" t="n">
        <v>530000</v>
      </c>
      <c r="L1320" s="10">
        <f>IF($B1320="","",TEXT($B1320,"YYYY-MM"))</f>
        <v/>
      </c>
    </row>
    <row r="1321">
      <c r="A1321" s="10" t="inlineStr">
        <is>
          <t>INV-70728</t>
        </is>
      </c>
      <c r="B1321" s="18" t="n">
        <v>46120</v>
      </c>
      <c r="C1321" s="10" t="inlineStr">
        <is>
          <t>C1205</t>
        </is>
      </c>
      <c r="D1321" s="10" t="inlineStr">
        <is>
          <t>occasional</t>
        </is>
      </c>
      <c r="E1321" s="10" t="inlineStr">
        <is>
          <t>Offline Store</t>
        </is>
      </c>
      <c r="F1321" s="10" t="inlineStr">
        <is>
          <t>Jawa Tengah</t>
        </is>
      </c>
      <c r="G1321" s="10" t="inlineStr">
        <is>
          <t>Fashion</t>
        </is>
      </c>
      <c r="H1321" s="10" t="inlineStr">
        <is>
          <t>Celana Chino</t>
        </is>
      </c>
      <c r="I1321" s="19" t="n">
        <v>4</v>
      </c>
      <c r="J1321" s="20" t="n">
        <v>195000</v>
      </c>
      <c r="K1321" s="20" t="n">
        <v>780000</v>
      </c>
      <c r="L1321" s="10">
        <f>IF($B1321="","",TEXT($B1321,"YYYY-MM"))</f>
        <v/>
      </c>
    </row>
    <row r="1322">
      <c r="A1322" s="10" t="inlineStr">
        <is>
          <t>INV-71114</t>
        </is>
      </c>
      <c r="B1322" s="18" t="n">
        <v>46120</v>
      </c>
      <c r="C1322" s="10" t="inlineStr">
        <is>
          <t>C1312</t>
        </is>
      </c>
      <c r="D1322" s="10" t="inlineStr">
        <is>
          <t>champion</t>
        </is>
      </c>
      <c r="E1322" s="10" t="inlineStr">
        <is>
          <t>Shopee</t>
        </is>
      </c>
      <c r="F1322" s="10" t="inlineStr">
        <is>
          <t>Jawa Barat</t>
        </is>
      </c>
      <c r="G1322" s="10" t="inlineStr">
        <is>
          <t>Kecantikan</t>
        </is>
      </c>
      <c r="H1322" s="10" t="inlineStr">
        <is>
          <t>Masker Wajah (5s)</t>
        </is>
      </c>
      <c r="I1322" s="19" t="n">
        <v>1</v>
      </c>
      <c r="J1322" s="20" t="n">
        <v>55000</v>
      </c>
      <c r="K1322" s="20" t="n">
        <v>55000</v>
      </c>
      <c r="L1322" s="10">
        <f>IF($B1322="","",TEXT($B1322,"YYYY-MM"))</f>
        <v/>
      </c>
    </row>
    <row r="1323">
      <c r="A1323" s="10" t="inlineStr">
        <is>
          <t>INV-70139</t>
        </is>
      </c>
      <c r="B1323" s="18" t="n">
        <v>46121</v>
      </c>
      <c r="C1323" s="10" t="inlineStr">
        <is>
          <t>C1039</t>
        </is>
      </c>
      <c r="D1323" s="10" t="inlineStr">
        <is>
          <t>loyal</t>
        </is>
      </c>
      <c r="E1323" s="10" t="inlineStr">
        <is>
          <t>TikTok Shop</t>
        </is>
      </c>
      <c r="F1323" s="10" t="inlineStr">
        <is>
          <t>Lainnya</t>
        </is>
      </c>
      <c r="G1323" s="10" t="inlineStr">
        <is>
          <t>Elektronik</t>
        </is>
      </c>
      <c r="H1323" s="10" t="inlineStr">
        <is>
          <t>Keyboard Mekanik</t>
        </is>
      </c>
      <c r="I1323" s="19" t="n">
        <v>1</v>
      </c>
      <c r="J1323" s="20" t="n">
        <v>380000</v>
      </c>
      <c r="K1323" s="20" t="n">
        <v>380000</v>
      </c>
      <c r="L1323" s="10">
        <f>IF($B1323="","",TEXT($B1323,"YYYY-MM"))</f>
        <v/>
      </c>
    </row>
    <row r="1324">
      <c r="A1324" s="10" t="inlineStr">
        <is>
          <t>INV-70582</t>
        </is>
      </c>
      <c r="B1324" s="18" t="n">
        <v>46121</v>
      </c>
      <c r="C1324" s="10" t="inlineStr">
        <is>
          <t>C1157</t>
        </is>
      </c>
      <c r="D1324" s="10" t="inlineStr">
        <is>
          <t>loyal</t>
        </is>
      </c>
      <c r="E1324" s="10" t="inlineStr">
        <is>
          <t>Shopee</t>
        </is>
      </c>
      <c r="F1324" s="10" t="inlineStr">
        <is>
          <t>Jabodetabek</t>
        </is>
      </c>
      <c r="G1324" s="10" t="inlineStr">
        <is>
          <t>Rumah Tangga</t>
        </is>
      </c>
      <c r="H1324" s="10" t="inlineStr">
        <is>
          <t>Set Wadah Kedap</t>
        </is>
      </c>
      <c r="I1324" s="19" t="n">
        <v>1</v>
      </c>
      <c r="J1324" s="20" t="n">
        <v>135000</v>
      </c>
      <c r="K1324" s="20" t="n">
        <v>135000</v>
      </c>
      <c r="L1324" s="10">
        <f>IF($B1324="","",TEXT($B1324,"YYYY-MM"))</f>
        <v/>
      </c>
    </row>
    <row r="1325">
      <c r="A1325" s="10" t="inlineStr">
        <is>
          <t>INV-70591</t>
        </is>
      </c>
      <c r="B1325" s="18" t="n">
        <v>46121</v>
      </c>
      <c r="C1325" s="10" t="inlineStr">
        <is>
          <t>C1160</t>
        </is>
      </c>
      <c r="D1325" s="10" t="inlineStr">
        <is>
          <t>occasional</t>
        </is>
      </c>
      <c r="E1325" s="10" t="inlineStr">
        <is>
          <t>Tokopedia</t>
        </is>
      </c>
      <c r="F1325" s="10" t="inlineStr">
        <is>
          <t>Jawa Timur</t>
        </is>
      </c>
      <c r="G1325" s="10" t="inlineStr">
        <is>
          <t>Rumah Tangga</t>
        </is>
      </c>
      <c r="H1325" s="10" t="inlineStr">
        <is>
          <t>Set Wadah Kedap</t>
        </is>
      </c>
      <c r="I1325" s="19" t="n">
        <v>1</v>
      </c>
      <c r="J1325" s="20" t="n">
        <v>135000</v>
      </c>
      <c r="K1325" s="20" t="n">
        <v>135000</v>
      </c>
      <c r="L1325" s="10">
        <f>IF($B1325="","",TEXT($B1325,"YYYY-MM"))</f>
        <v/>
      </c>
    </row>
    <row r="1326">
      <c r="A1326" s="10" t="inlineStr">
        <is>
          <t>INV-71350</t>
        </is>
      </c>
      <c r="B1326" s="18" t="n">
        <v>46122</v>
      </c>
      <c r="C1326" s="10" t="inlineStr">
        <is>
          <t>C1372</t>
        </is>
      </c>
      <c r="D1326" s="10" t="inlineStr">
        <is>
          <t>onetime</t>
        </is>
      </c>
      <c r="E1326" s="10" t="inlineStr">
        <is>
          <t>Shopee</t>
        </is>
      </c>
      <c r="F1326" s="10" t="inlineStr">
        <is>
          <t>Jawa Barat</t>
        </is>
      </c>
      <c r="G1326" s="10" t="inlineStr">
        <is>
          <t>Elektronik</t>
        </is>
      </c>
      <c r="H1326" s="10" t="inlineStr">
        <is>
          <t>Power Bank 20K</t>
        </is>
      </c>
      <c r="I1326" s="19" t="n">
        <v>1</v>
      </c>
      <c r="J1326" s="20" t="n">
        <v>185000</v>
      </c>
      <c r="K1326" s="20" t="n">
        <v>185000</v>
      </c>
      <c r="L1326" s="10">
        <f>IF($B1326="","",TEXT($B1326,"YYYY-MM"))</f>
        <v/>
      </c>
    </row>
    <row r="1327">
      <c r="A1327" s="10" t="inlineStr">
        <is>
          <t>INV-70580</t>
        </is>
      </c>
      <c r="B1327" s="18" t="n">
        <v>46122</v>
      </c>
      <c r="C1327" s="10" t="inlineStr">
        <is>
          <t>C1157</t>
        </is>
      </c>
      <c r="D1327" s="10" t="inlineStr">
        <is>
          <t>loyal</t>
        </is>
      </c>
      <c r="E1327" s="10" t="inlineStr">
        <is>
          <t>Shopee</t>
        </is>
      </c>
      <c r="F1327" s="10" t="inlineStr">
        <is>
          <t>Jawa Barat</t>
        </is>
      </c>
      <c r="G1327" s="10" t="inlineStr">
        <is>
          <t>Rumah Tangga</t>
        </is>
      </c>
      <c r="H1327" s="10" t="inlineStr">
        <is>
          <t>Set Wadah Kedap</t>
        </is>
      </c>
      <c r="I1327" s="19" t="n">
        <v>3</v>
      </c>
      <c r="J1327" s="20" t="n">
        <v>135000</v>
      </c>
      <c r="K1327" s="20" t="n">
        <v>405000</v>
      </c>
      <c r="L1327" s="10">
        <f>IF($B1327="","",TEXT($B1327,"YYYY-MM"))</f>
        <v/>
      </c>
    </row>
    <row r="1328">
      <c r="A1328" s="10" t="inlineStr">
        <is>
          <t>INV-71221</t>
        </is>
      </c>
      <c r="B1328" s="18" t="n">
        <v>46122</v>
      </c>
      <c r="C1328" s="10" t="inlineStr">
        <is>
          <t>C1348</t>
        </is>
      </c>
      <c r="D1328" s="10" t="inlineStr">
        <is>
          <t>loyal</t>
        </is>
      </c>
      <c r="E1328" s="10" t="inlineStr">
        <is>
          <t>Shopee</t>
        </is>
      </c>
      <c r="F1328" s="10" t="inlineStr">
        <is>
          <t>Lainnya</t>
        </is>
      </c>
      <c r="G1328" s="10" t="inlineStr">
        <is>
          <t>Kecantikan</t>
        </is>
      </c>
      <c r="H1328" s="10" t="inlineStr">
        <is>
          <t>Lip Tint</t>
        </is>
      </c>
      <c r="I1328" s="19" t="n">
        <v>3</v>
      </c>
      <c r="J1328" s="20" t="n">
        <v>65000</v>
      </c>
      <c r="K1328" s="20" t="n">
        <v>195000</v>
      </c>
      <c r="L1328" s="10">
        <f>IF($B1328="","",TEXT($B1328,"YYYY-MM"))</f>
        <v/>
      </c>
    </row>
    <row r="1329">
      <c r="A1329" s="10" t="inlineStr">
        <is>
          <t>INV-71089</t>
        </is>
      </c>
      <c r="B1329" s="18" t="n">
        <v>46123</v>
      </c>
      <c r="C1329" s="10" t="inlineStr">
        <is>
          <t>C1306</t>
        </is>
      </c>
      <c r="D1329" s="10" t="inlineStr">
        <is>
          <t>loyal</t>
        </is>
      </c>
      <c r="E1329" s="10" t="inlineStr">
        <is>
          <t>TikTok Shop</t>
        </is>
      </c>
      <c r="F1329" s="10" t="inlineStr">
        <is>
          <t>Sumatera</t>
        </is>
      </c>
      <c r="G1329" s="10" t="inlineStr">
        <is>
          <t>Elektronik</t>
        </is>
      </c>
      <c r="H1329" s="10" t="inlineStr">
        <is>
          <t>Webcam HD</t>
        </is>
      </c>
      <c r="I1329" s="19" t="n">
        <v>4</v>
      </c>
      <c r="J1329" s="20" t="n">
        <v>210000</v>
      </c>
      <c r="K1329" s="20" t="n">
        <v>840000</v>
      </c>
      <c r="L1329" s="10">
        <f>IF($B1329="","",TEXT($B1329,"YYYY-MM"))</f>
        <v/>
      </c>
    </row>
    <row r="1330">
      <c r="A1330" s="10" t="inlineStr">
        <is>
          <t>INV-71538</t>
        </is>
      </c>
      <c r="B1330" s="18" t="n">
        <v>46123</v>
      </c>
      <c r="C1330" s="10" t="inlineStr">
        <is>
          <t>C1424</t>
        </is>
      </c>
      <c r="D1330" s="10" t="inlineStr">
        <is>
          <t>loyal</t>
        </is>
      </c>
      <c r="E1330" s="10" t="inlineStr">
        <is>
          <t>Shopee</t>
        </is>
      </c>
      <c r="F1330" s="10" t="inlineStr">
        <is>
          <t>Jabodetabek</t>
        </is>
      </c>
      <c r="G1330" s="10" t="inlineStr">
        <is>
          <t>Fashion</t>
        </is>
      </c>
      <c r="H1330" s="10" t="inlineStr">
        <is>
          <t>Celana Chino</t>
        </is>
      </c>
      <c r="I1330" s="19" t="n">
        <v>1</v>
      </c>
      <c r="J1330" s="20" t="n">
        <v>195000</v>
      </c>
      <c r="K1330" s="20" t="n">
        <v>195000</v>
      </c>
      <c r="L1330" s="10">
        <f>IF($B1330="","",TEXT($B1330,"YYYY-MM"))</f>
        <v/>
      </c>
    </row>
    <row r="1331">
      <c r="A1331" s="10" t="inlineStr">
        <is>
          <t>INV-70761</t>
        </is>
      </c>
      <c r="B1331" s="18" t="n">
        <v>46123</v>
      </c>
      <c r="C1331" s="10" t="inlineStr">
        <is>
          <t>C1212</t>
        </is>
      </c>
      <c r="D1331" s="10" t="inlineStr">
        <is>
          <t>occasional</t>
        </is>
      </c>
      <c r="E1331" s="10" t="inlineStr">
        <is>
          <t>Shopee</t>
        </is>
      </c>
      <c r="F1331" s="10" t="inlineStr">
        <is>
          <t>Jabodetabek</t>
        </is>
      </c>
      <c r="G1331" s="10" t="inlineStr">
        <is>
          <t>Fashion</t>
        </is>
      </c>
      <c r="H1331" s="10" t="inlineStr">
        <is>
          <t>Celana Chino</t>
        </is>
      </c>
      <c r="I1331" s="19" t="n">
        <v>3</v>
      </c>
      <c r="J1331" s="20" t="n">
        <v>195000</v>
      </c>
      <c r="K1331" s="20" t="n">
        <v>585000</v>
      </c>
      <c r="L1331" s="10">
        <f>IF($B1331="","",TEXT($B1331,"YYYY-MM"))</f>
        <v/>
      </c>
    </row>
    <row r="1332">
      <c r="A1332" s="10" t="inlineStr">
        <is>
          <t>INV-70737</t>
        </is>
      </c>
      <c r="B1332" s="18" t="n">
        <v>46123</v>
      </c>
      <c r="C1332" s="10" t="inlineStr">
        <is>
          <t>C1207</t>
        </is>
      </c>
      <c r="D1332" s="10" t="inlineStr">
        <is>
          <t>loyal</t>
        </is>
      </c>
      <c r="E1332" s="10" t="inlineStr">
        <is>
          <t>Tokopedia</t>
        </is>
      </c>
      <c r="F1332" s="10" t="inlineStr">
        <is>
          <t>Jabodetabek</t>
        </is>
      </c>
      <c r="G1332" s="10" t="inlineStr">
        <is>
          <t>Rumah Tangga</t>
        </is>
      </c>
      <c r="H1332" s="10" t="inlineStr">
        <is>
          <t>Set Wadah Kedap</t>
        </is>
      </c>
      <c r="I1332" s="19" t="n">
        <v>4</v>
      </c>
      <c r="J1332" s="20" t="n">
        <v>135000</v>
      </c>
      <c r="K1332" s="20" t="n">
        <v>540000</v>
      </c>
      <c r="L1332" s="10">
        <f>IF($B1332="","",TEXT($B1332,"YYYY-MM"))</f>
        <v/>
      </c>
    </row>
    <row r="1333">
      <c r="A1333" s="10" t="inlineStr">
        <is>
          <t>INV-70313</t>
        </is>
      </c>
      <c r="B1333" s="18" t="n">
        <v>46123</v>
      </c>
      <c r="C1333" s="10" t="inlineStr">
        <is>
          <t>C1088</t>
        </is>
      </c>
      <c r="D1333" s="10" t="inlineStr">
        <is>
          <t>champion</t>
        </is>
      </c>
      <c r="E1333" s="10" t="inlineStr">
        <is>
          <t>Shopee</t>
        </is>
      </c>
      <c r="F1333" s="10" t="inlineStr">
        <is>
          <t>Sumatera</t>
        </is>
      </c>
      <c r="G1333" s="10" t="inlineStr">
        <is>
          <t>Fashion</t>
        </is>
      </c>
      <c r="H1333" s="10" t="inlineStr">
        <is>
          <t>Celana Chino</t>
        </is>
      </c>
      <c r="I1333" s="19" t="n">
        <v>2</v>
      </c>
      <c r="J1333" s="20" t="n">
        <v>195000</v>
      </c>
      <c r="K1333" s="20" t="n">
        <v>390000</v>
      </c>
      <c r="L1333" s="10">
        <f>IF($B1333="","",TEXT($B1333,"YYYY-MM"))</f>
        <v/>
      </c>
    </row>
    <row r="1334">
      <c r="A1334" s="10" t="inlineStr">
        <is>
          <t>INV-70577</t>
        </is>
      </c>
      <c r="B1334" s="18" t="n">
        <v>46124</v>
      </c>
      <c r="C1334" s="10" t="inlineStr">
        <is>
          <t>C1157</t>
        </is>
      </c>
      <c r="D1334" s="10" t="inlineStr">
        <is>
          <t>loyal</t>
        </is>
      </c>
      <c r="E1334" s="10" t="inlineStr">
        <is>
          <t>Shopee</t>
        </is>
      </c>
      <c r="F1334" s="10" t="inlineStr">
        <is>
          <t>Jabodetabek</t>
        </is>
      </c>
      <c r="G1334" s="10" t="inlineStr">
        <is>
          <t>Rumah Tangga</t>
        </is>
      </c>
      <c r="H1334" s="10" t="inlineStr">
        <is>
          <t>Set Wadah Kedap</t>
        </is>
      </c>
      <c r="I1334" s="19" t="n">
        <v>1</v>
      </c>
      <c r="J1334" s="20" t="n">
        <v>135000</v>
      </c>
      <c r="K1334" s="20" t="n">
        <v>135000</v>
      </c>
      <c r="L1334" s="10">
        <f>IF($B1334="","",TEXT($B1334,"YYYY-MM"))</f>
        <v/>
      </c>
    </row>
    <row r="1335">
      <c r="A1335" s="10" t="inlineStr">
        <is>
          <t>INV-71323</t>
        </is>
      </c>
      <c r="B1335" s="18" t="n">
        <v>46124</v>
      </c>
      <c r="C1335" s="10" t="inlineStr">
        <is>
          <t>C1365</t>
        </is>
      </c>
      <c r="D1335" s="10" t="inlineStr">
        <is>
          <t>regular</t>
        </is>
      </c>
      <c r="E1335" s="10" t="inlineStr">
        <is>
          <t>Shopee</t>
        </is>
      </c>
      <c r="F1335" s="10" t="inlineStr">
        <is>
          <t>Sumatera</t>
        </is>
      </c>
      <c r="G1335" s="10" t="inlineStr">
        <is>
          <t>Kecantikan</t>
        </is>
      </c>
      <c r="H1335" s="10" t="inlineStr">
        <is>
          <t>Masker Wajah (5s)</t>
        </is>
      </c>
      <c r="I1335" s="19" t="n">
        <v>1</v>
      </c>
      <c r="J1335" s="20" t="n">
        <v>55000</v>
      </c>
      <c r="K1335" s="20" t="n">
        <v>55000</v>
      </c>
      <c r="L1335" s="10">
        <f>IF($B1335="","",TEXT($B1335,"YYYY-MM"))</f>
        <v/>
      </c>
    </row>
    <row r="1336">
      <c r="A1336" s="10" t="inlineStr">
        <is>
          <t>INV-70355</t>
        </is>
      </c>
      <c r="B1336" s="18" t="n">
        <v>46124</v>
      </c>
      <c r="C1336" s="10" t="inlineStr">
        <is>
          <t>C1096</t>
        </is>
      </c>
      <c r="D1336" s="10" t="inlineStr">
        <is>
          <t>occasional</t>
        </is>
      </c>
      <c r="E1336" s="10" t="inlineStr">
        <is>
          <t>Offline Store</t>
        </is>
      </c>
      <c r="F1336" s="10" t="inlineStr">
        <is>
          <t>Sumatera</t>
        </is>
      </c>
      <c r="G1336" s="10" t="inlineStr">
        <is>
          <t>Fashion</t>
        </is>
      </c>
      <c r="H1336" s="10" t="inlineStr">
        <is>
          <t>Dress Casual</t>
        </is>
      </c>
      <c r="I1336" s="19" t="n">
        <v>4</v>
      </c>
      <c r="J1336" s="20" t="n">
        <v>225000</v>
      </c>
      <c r="K1336" s="20" t="n">
        <v>900000</v>
      </c>
      <c r="L1336" s="10">
        <f>IF($B1336="","",TEXT($B1336,"YYYY-MM"))</f>
        <v/>
      </c>
    </row>
    <row r="1337">
      <c r="A1337" s="10" t="inlineStr">
        <is>
          <t>INV-70044</t>
        </is>
      </c>
      <c r="B1337" s="18" t="n">
        <v>46125</v>
      </c>
      <c r="C1337" s="10" t="inlineStr">
        <is>
          <t>C1012</t>
        </is>
      </c>
      <c r="D1337" s="10" t="inlineStr">
        <is>
          <t>loyal</t>
        </is>
      </c>
      <c r="E1337" s="10" t="inlineStr">
        <is>
          <t>Offline Store</t>
        </is>
      </c>
      <c r="F1337" s="10" t="inlineStr">
        <is>
          <t>Jabodetabek</t>
        </is>
      </c>
      <c r="G1337" s="10" t="inlineStr">
        <is>
          <t>Rumah Tangga</t>
        </is>
      </c>
      <c r="H1337" s="10" t="inlineStr">
        <is>
          <t>Organizer Laci</t>
        </is>
      </c>
      <c r="I1337" s="19" t="n">
        <v>1</v>
      </c>
      <c r="J1337" s="20" t="n">
        <v>78000</v>
      </c>
      <c r="K1337" s="20" t="n">
        <v>78000</v>
      </c>
      <c r="L1337" s="10">
        <f>IF($B1337="","",TEXT($B1337,"YYYY-MM"))</f>
        <v/>
      </c>
    </row>
    <row r="1338">
      <c r="A1338" s="10" t="inlineStr">
        <is>
          <t>INV-70060</t>
        </is>
      </c>
      <c r="B1338" s="18" t="n">
        <v>46125</v>
      </c>
      <c r="C1338" s="10" t="inlineStr">
        <is>
          <t>C1017</t>
        </is>
      </c>
      <c r="D1338" s="10" t="inlineStr">
        <is>
          <t>loyal</t>
        </is>
      </c>
      <c r="E1338" s="10" t="inlineStr">
        <is>
          <t>Tokopedia</t>
        </is>
      </c>
      <c r="F1338" s="10" t="inlineStr">
        <is>
          <t>Jabodetabek</t>
        </is>
      </c>
      <c r="G1338" s="10" t="inlineStr">
        <is>
          <t>Fashion</t>
        </is>
      </c>
      <c r="H1338" s="10" t="inlineStr">
        <is>
          <t>Celana Chino</t>
        </is>
      </c>
      <c r="I1338" s="19" t="n">
        <v>4</v>
      </c>
      <c r="J1338" s="20" t="n">
        <v>195000</v>
      </c>
      <c r="K1338" s="20" t="n">
        <v>780000</v>
      </c>
      <c r="L1338" s="10">
        <f>IF($B1338="","",TEXT($B1338,"YYYY-MM"))</f>
        <v/>
      </c>
    </row>
    <row r="1339">
      <c r="A1339" s="10" t="inlineStr">
        <is>
          <t>INV-70000</t>
        </is>
      </c>
      <c r="B1339" s="18" t="n">
        <v>46125</v>
      </c>
      <c r="C1339" s="10" t="inlineStr">
        <is>
          <t>C1000</t>
        </is>
      </c>
      <c r="D1339" s="10" t="inlineStr">
        <is>
          <t>loyal</t>
        </is>
      </c>
      <c r="E1339" s="10" t="inlineStr">
        <is>
          <t>Offline Store</t>
        </is>
      </c>
      <c r="F1339" s="10" t="inlineStr">
        <is>
          <t>Jawa Barat</t>
        </is>
      </c>
      <c r="G1339" s="10" t="inlineStr">
        <is>
          <t>Rumah Tangga</t>
        </is>
      </c>
      <c r="H1339" s="10" t="inlineStr">
        <is>
          <t>Set Wadah Kedap</t>
        </is>
      </c>
      <c r="I1339" s="19" t="n">
        <v>2</v>
      </c>
      <c r="J1339" s="20" t="n">
        <v>135000</v>
      </c>
      <c r="K1339" s="20" t="n">
        <v>270000</v>
      </c>
      <c r="L1339" s="10">
        <f>IF($B1339="","",TEXT($B1339,"YYYY-MM"))</f>
        <v/>
      </c>
    </row>
    <row r="1340">
      <c r="A1340" s="10" t="inlineStr">
        <is>
          <t>INV-71279</t>
        </is>
      </c>
      <c r="B1340" s="18" t="n">
        <v>46125</v>
      </c>
      <c r="C1340" s="10" t="inlineStr">
        <is>
          <t>C1358</t>
        </is>
      </c>
      <c r="D1340" s="10" t="inlineStr">
        <is>
          <t>champion</t>
        </is>
      </c>
      <c r="E1340" s="10" t="inlineStr">
        <is>
          <t>Shopee</t>
        </is>
      </c>
      <c r="F1340" s="10" t="inlineStr">
        <is>
          <t>Jabodetabek</t>
        </is>
      </c>
      <c r="G1340" s="10" t="inlineStr">
        <is>
          <t>Rumah Tangga</t>
        </is>
      </c>
      <c r="H1340" s="10" t="inlineStr">
        <is>
          <t>Set Wadah Kedap</t>
        </is>
      </c>
      <c r="I1340" s="19" t="n">
        <v>2</v>
      </c>
      <c r="J1340" s="20" t="n">
        <v>135000</v>
      </c>
      <c r="K1340" s="20" t="n">
        <v>270000</v>
      </c>
      <c r="L1340" s="10">
        <f>IF($B1340="","",TEXT($B1340,"YYYY-MM"))</f>
        <v/>
      </c>
    </row>
    <row r="1341">
      <c r="A1341" s="10" t="inlineStr">
        <is>
          <t>INV-70054</t>
        </is>
      </c>
      <c r="B1341" s="18" t="n">
        <v>46126</v>
      </c>
      <c r="C1341" s="10" t="inlineStr">
        <is>
          <t>C1014</t>
        </is>
      </c>
      <c r="D1341" s="10" t="inlineStr">
        <is>
          <t>occasional</t>
        </is>
      </c>
      <c r="E1341" s="10" t="inlineStr">
        <is>
          <t>Shopee</t>
        </is>
      </c>
      <c r="F1341" s="10" t="inlineStr">
        <is>
          <t>Jawa Tengah</t>
        </is>
      </c>
      <c r="G1341" s="10" t="inlineStr">
        <is>
          <t>Elektronik</t>
        </is>
      </c>
      <c r="H1341" s="10" t="inlineStr">
        <is>
          <t>Power Bank 20K</t>
        </is>
      </c>
      <c r="I1341" s="19" t="n">
        <v>3</v>
      </c>
      <c r="J1341" s="20" t="n">
        <v>185000</v>
      </c>
      <c r="K1341" s="20" t="n">
        <v>555000</v>
      </c>
      <c r="L1341" s="10">
        <f>IF($B1341="","",TEXT($B1341,"YYYY-MM"))</f>
        <v/>
      </c>
    </row>
    <row r="1342">
      <c r="A1342" s="10" t="inlineStr">
        <is>
          <t>INV-70786</t>
        </is>
      </c>
      <c r="B1342" s="18" t="n">
        <v>46126</v>
      </c>
      <c r="C1342" s="10" t="inlineStr">
        <is>
          <t>C1221</t>
        </is>
      </c>
      <c r="D1342" s="10" t="inlineStr">
        <is>
          <t>regular</t>
        </is>
      </c>
      <c r="E1342" s="10" t="inlineStr">
        <is>
          <t>Shopee</t>
        </is>
      </c>
      <c r="F1342" s="10" t="inlineStr">
        <is>
          <t>Jawa Barat</t>
        </is>
      </c>
      <c r="G1342" s="10" t="inlineStr">
        <is>
          <t>Kecantikan</t>
        </is>
      </c>
      <c r="H1342" s="10" t="inlineStr">
        <is>
          <t>Masker Wajah (5s)</t>
        </is>
      </c>
      <c r="I1342" s="19" t="n">
        <v>1</v>
      </c>
      <c r="J1342" s="20" t="n">
        <v>55000</v>
      </c>
      <c r="K1342" s="20" t="n">
        <v>55000</v>
      </c>
      <c r="L1342" s="10">
        <f>IF($B1342="","",TEXT($B1342,"YYYY-MM"))</f>
        <v/>
      </c>
    </row>
    <row r="1343">
      <c r="A1343" s="10" t="inlineStr">
        <is>
          <t>INV-71037</t>
        </is>
      </c>
      <c r="B1343" s="18" t="n">
        <v>46126</v>
      </c>
      <c r="C1343" s="10" t="inlineStr">
        <is>
          <t>C1294</t>
        </is>
      </c>
      <c r="D1343" s="10" t="inlineStr">
        <is>
          <t>loyal</t>
        </is>
      </c>
      <c r="E1343" s="10" t="inlineStr">
        <is>
          <t>Tokopedia</t>
        </is>
      </c>
      <c r="F1343" s="10" t="inlineStr">
        <is>
          <t>Jabodetabek</t>
        </is>
      </c>
      <c r="G1343" s="10" t="inlineStr">
        <is>
          <t>Elektronik</t>
        </is>
      </c>
      <c r="H1343" s="10" t="inlineStr">
        <is>
          <t>Webcam HD</t>
        </is>
      </c>
      <c r="I1343" s="19" t="n">
        <v>2</v>
      </c>
      <c r="J1343" s="20" t="n">
        <v>210000</v>
      </c>
      <c r="K1343" s="20" t="n">
        <v>420000</v>
      </c>
      <c r="L1343" s="10">
        <f>IF($B1343="","",TEXT($B1343,"YYYY-MM"))</f>
        <v/>
      </c>
    </row>
    <row r="1344">
      <c r="A1344" s="10" t="inlineStr">
        <is>
          <t>INV-70232</t>
        </is>
      </c>
      <c r="B1344" s="18" t="n">
        <v>46127</v>
      </c>
      <c r="C1344" s="10" t="inlineStr">
        <is>
          <t>C1066</t>
        </is>
      </c>
      <c r="D1344" s="10" t="inlineStr">
        <is>
          <t>loyal</t>
        </is>
      </c>
      <c r="E1344" s="10" t="inlineStr">
        <is>
          <t>Shopee</t>
        </is>
      </c>
      <c r="F1344" s="10" t="inlineStr">
        <is>
          <t>Jabodetabek</t>
        </is>
      </c>
      <c r="G1344" s="10" t="inlineStr">
        <is>
          <t>Makanan</t>
        </is>
      </c>
      <c r="H1344" s="10" t="inlineStr">
        <is>
          <t>Madu Hutan 250ml</t>
        </is>
      </c>
      <c r="I1344" s="19" t="n">
        <v>4</v>
      </c>
      <c r="J1344" s="20" t="n">
        <v>110000</v>
      </c>
      <c r="K1344" s="20" t="n">
        <v>440000</v>
      </c>
      <c r="L1344" s="10">
        <f>IF($B1344="","",TEXT($B1344,"YYYY-MM"))</f>
        <v/>
      </c>
    </row>
    <row r="1345">
      <c r="A1345" s="10" t="inlineStr">
        <is>
          <t>INV-70142</t>
        </is>
      </c>
      <c r="B1345" s="18" t="n">
        <v>46127</v>
      </c>
      <c r="C1345" s="10" t="inlineStr">
        <is>
          <t>C1040</t>
        </is>
      </c>
      <c r="D1345" s="10" t="inlineStr">
        <is>
          <t>occasional</t>
        </is>
      </c>
      <c r="E1345" s="10" t="inlineStr">
        <is>
          <t>Shopee</t>
        </is>
      </c>
      <c r="F1345" s="10" t="inlineStr">
        <is>
          <t>Jabodetabek</t>
        </is>
      </c>
      <c r="G1345" s="10" t="inlineStr">
        <is>
          <t>Rumah Tangga</t>
        </is>
      </c>
      <c r="H1345" s="10" t="inlineStr">
        <is>
          <t>Set Wadah Kedap</t>
        </is>
      </c>
      <c r="I1345" s="19" t="n">
        <v>4</v>
      </c>
      <c r="J1345" s="20" t="n">
        <v>135000</v>
      </c>
      <c r="K1345" s="20" t="n">
        <v>540000</v>
      </c>
      <c r="L1345" s="10">
        <f>IF($B1345="","",TEXT($B1345,"YYYY-MM"))</f>
        <v/>
      </c>
    </row>
    <row r="1346">
      <c r="A1346" s="10" t="inlineStr">
        <is>
          <t>INV-70438</t>
        </is>
      </c>
      <c r="B1346" s="18" t="n">
        <v>46127</v>
      </c>
      <c r="C1346" s="10" t="inlineStr">
        <is>
          <t>C1123</t>
        </is>
      </c>
      <c r="D1346" s="10" t="inlineStr">
        <is>
          <t>regular</t>
        </is>
      </c>
      <c r="E1346" s="10" t="inlineStr">
        <is>
          <t>Tokopedia</t>
        </is>
      </c>
      <c r="F1346" s="10" t="inlineStr">
        <is>
          <t>Jabodetabek</t>
        </is>
      </c>
      <c r="G1346" s="10" t="inlineStr">
        <is>
          <t>Rumah Tangga</t>
        </is>
      </c>
      <c r="H1346" s="10" t="inlineStr">
        <is>
          <t>Set Wadah Kedap</t>
        </is>
      </c>
      <c r="I1346" s="19" t="n">
        <v>1</v>
      </c>
      <c r="J1346" s="20" t="n">
        <v>135000</v>
      </c>
      <c r="K1346" s="20" t="n">
        <v>135000</v>
      </c>
      <c r="L1346" s="10">
        <f>IF($B1346="","",TEXT($B1346,"YYYY-MM"))</f>
        <v/>
      </c>
    </row>
    <row r="1347">
      <c r="A1347" s="10" t="inlineStr">
        <is>
          <t>INV-70710</t>
        </is>
      </c>
      <c r="B1347" s="18" t="n">
        <v>46128</v>
      </c>
      <c r="C1347" s="10" t="inlineStr">
        <is>
          <t>C1196</t>
        </is>
      </c>
      <c r="D1347" s="10" t="inlineStr">
        <is>
          <t>occasional</t>
        </is>
      </c>
      <c r="E1347" s="10" t="inlineStr">
        <is>
          <t>TikTok Shop</t>
        </is>
      </c>
      <c r="F1347" s="10" t="inlineStr">
        <is>
          <t>Jawa Timur</t>
        </is>
      </c>
      <c r="G1347" s="10" t="inlineStr">
        <is>
          <t>Elektronik</t>
        </is>
      </c>
      <c r="H1347" s="10" t="inlineStr">
        <is>
          <t>Power Bank 20K</t>
        </is>
      </c>
      <c r="I1347" s="19" t="n">
        <v>4</v>
      </c>
      <c r="J1347" s="20" t="n">
        <v>185000</v>
      </c>
      <c r="K1347" s="20" t="n">
        <v>740000</v>
      </c>
      <c r="L1347" s="10">
        <f>IF($B1347="","",TEXT($B1347,"YYYY-MM"))</f>
        <v/>
      </c>
    </row>
    <row r="1348">
      <c r="A1348" s="10" t="inlineStr">
        <is>
          <t>INV-70466</t>
        </is>
      </c>
      <c r="B1348" s="18" t="n">
        <v>46128</v>
      </c>
      <c r="C1348" s="10" t="inlineStr">
        <is>
          <t>C1133</t>
        </is>
      </c>
      <c r="D1348" s="10" t="inlineStr">
        <is>
          <t>regular</t>
        </is>
      </c>
      <c r="E1348" s="10" t="inlineStr">
        <is>
          <t>TikTok Shop</t>
        </is>
      </c>
      <c r="F1348" s="10" t="inlineStr">
        <is>
          <t>Lainnya</t>
        </is>
      </c>
      <c r="G1348" s="10" t="inlineStr">
        <is>
          <t>Rumah Tangga</t>
        </is>
      </c>
      <c r="H1348" s="10" t="inlineStr">
        <is>
          <t>Set Wadah Kedap</t>
        </is>
      </c>
      <c r="I1348" s="19" t="n">
        <v>1</v>
      </c>
      <c r="J1348" s="20" t="n">
        <v>135000</v>
      </c>
      <c r="K1348" s="20" t="n">
        <v>135000</v>
      </c>
      <c r="L1348" s="10">
        <f>IF($B1348="","",TEXT($B1348,"YYYY-MM"))</f>
        <v/>
      </c>
    </row>
    <row r="1349">
      <c r="A1349" s="10" t="inlineStr">
        <is>
          <t>INV-71399</t>
        </is>
      </c>
      <c r="B1349" s="18" t="n">
        <v>46128</v>
      </c>
      <c r="C1349" s="10" t="inlineStr">
        <is>
          <t>C1386</t>
        </is>
      </c>
      <c r="D1349" s="10" t="inlineStr">
        <is>
          <t>loyal</t>
        </is>
      </c>
      <c r="E1349" s="10" t="inlineStr">
        <is>
          <t>TikTok Shop</t>
        </is>
      </c>
      <c r="F1349" s="10" t="inlineStr">
        <is>
          <t>Jawa Barat</t>
        </is>
      </c>
      <c r="G1349" s="10" t="inlineStr">
        <is>
          <t>Rumah Tangga</t>
        </is>
      </c>
      <c r="H1349" s="10" t="inlineStr">
        <is>
          <t>Organizer Laci</t>
        </is>
      </c>
      <c r="I1349" s="19" t="n">
        <v>2</v>
      </c>
      <c r="J1349" s="20" t="n">
        <v>78000</v>
      </c>
      <c r="K1349" s="20" t="n">
        <v>156000</v>
      </c>
      <c r="L1349" s="10">
        <f>IF($B1349="","",TEXT($B1349,"YYYY-MM"))</f>
        <v/>
      </c>
    </row>
    <row r="1350">
      <c r="A1350" s="10" t="inlineStr">
        <is>
          <t>INV-71238</t>
        </is>
      </c>
      <c r="B1350" s="18" t="n">
        <v>46128</v>
      </c>
      <c r="C1350" s="10" t="inlineStr">
        <is>
          <t>C1349</t>
        </is>
      </c>
      <c r="D1350" s="10" t="inlineStr">
        <is>
          <t>champion</t>
        </is>
      </c>
      <c r="E1350" s="10" t="inlineStr">
        <is>
          <t>Tokopedia</t>
        </is>
      </c>
      <c r="F1350" s="10" t="inlineStr">
        <is>
          <t>Jabodetabek</t>
        </is>
      </c>
      <c r="G1350" s="10" t="inlineStr">
        <is>
          <t>Kecantikan</t>
        </is>
      </c>
      <c r="H1350" s="10" t="inlineStr">
        <is>
          <t>Serum Vit C</t>
        </is>
      </c>
      <c r="I1350" s="19" t="n">
        <v>1</v>
      </c>
      <c r="J1350" s="20" t="n">
        <v>145000</v>
      </c>
      <c r="K1350" s="20" t="n">
        <v>145000</v>
      </c>
      <c r="L1350" s="10">
        <f>IF($B1350="","",TEXT($B1350,"YYYY-MM"))</f>
        <v/>
      </c>
    </row>
    <row r="1351">
      <c r="A1351" s="10" t="inlineStr">
        <is>
          <t>INV-70824</t>
        </is>
      </c>
      <c r="B1351" s="18" t="n">
        <v>46129</v>
      </c>
      <c r="C1351" s="10" t="inlineStr">
        <is>
          <t>C1233</t>
        </is>
      </c>
      <c r="D1351" s="10" t="inlineStr">
        <is>
          <t>regular</t>
        </is>
      </c>
      <c r="E1351" s="10" t="inlineStr">
        <is>
          <t>Offline Store</t>
        </is>
      </c>
      <c r="F1351" s="10" t="inlineStr">
        <is>
          <t>Jawa Timur</t>
        </is>
      </c>
      <c r="G1351" s="10" t="inlineStr">
        <is>
          <t>Fashion</t>
        </is>
      </c>
      <c r="H1351" s="10" t="inlineStr">
        <is>
          <t>Celana Chino</t>
        </is>
      </c>
      <c r="I1351" s="19" t="n">
        <v>4</v>
      </c>
      <c r="J1351" s="20" t="n">
        <v>195000</v>
      </c>
      <c r="K1351" s="20" t="n">
        <v>780000</v>
      </c>
      <c r="L1351" s="10">
        <f>IF($B1351="","",TEXT($B1351,"YYYY-MM"))</f>
        <v/>
      </c>
    </row>
    <row r="1352">
      <c r="A1352" s="10" t="inlineStr">
        <is>
          <t>INV-70457</t>
        </is>
      </c>
      <c r="B1352" s="18" t="n">
        <v>46129</v>
      </c>
      <c r="C1352" s="10" t="inlineStr">
        <is>
          <t>C1130</t>
        </is>
      </c>
      <c r="D1352" s="10" t="inlineStr">
        <is>
          <t>loyal</t>
        </is>
      </c>
      <c r="E1352" s="10" t="inlineStr">
        <is>
          <t>Shopee</t>
        </is>
      </c>
      <c r="F1352" s="10" t="inlineStr">
        <is>
          <t>Jawa Timur</t>
        </is>
      </c>
      <c r="G1352" s="10" t="inlineStr">
        <is>
          <t>Fashion</t>
        </is>
      </c>
      <c r="H1352" s="10" t="inlineStr">
        <is>
          <t>Celana Chino</t>
        </is>
      </c>
      <c r="I1352" s="19" t="n">
        <v>2</v>
      </c>
      <c r="J1352" s="20" t="n">
        <v>195000</v>
      </c>
      <c r="K1352" s="20" t="n">
        <v>390000</v>
      </c>
      <c r="L1352" s="10">
        <f>IF($B1352="","",TEXT($B1352,"YYYY-MM"))</f>
        <v/>
      </c>
    </row>
    <row r="1353">
      <c r="A1353" s="10" t="inlineStr">
        <is>
          <t>INV-70923</t>
        </is>
      </c>
      <c r="B1353" s="18" t="n">
        <v>46129</v>
      </c>
      <c r="C1353" s="10" t="inlineStr">
        <is>
          <t>C1261</t>
        </is>
      </c>
      <c r="D1353" s="10" t="inlineStr">
        <is>
          <t>champion</t>
        </is>
      </c>
      <c r="E1353" s="10" t="inlineStr">
        <is>
          <t>Offline Store</t>
        </is>
      </c>
      <c r="F1353" s="10" t="inlineStr">
        <is>
          <t>Jawa Tengah</t>
        </is>
      </c>
      <c r="G1353" s="10" t="inlineStr">
        <is>
          <t>Fashion</t>
        </is>
      </c>
      <c r="H1353" s="10" t="inlineStr">
        <is>
          <t>Celana Chino</t>
        </is>
      </c>
      <c r="I1353" s="19" t="n">
        <v>1</v>
      </c>
      <c r="J1353" s="20" t="n">
        <v>195000</v>
      </c>
      <c r="K1353" s="20" t="n">
        <v>195000</v>
      </c>
      <c r="L1353" s="10">
        <f>IF($B1353="","",TEXT($B1353,"YYYY-MM"))</f>
        <v/>
      </c>
    </row>
    <row r="1354">
      <c r="A1354" s="10" t="inlineStr">
        <is>
          <t>INV-71525</t>
        </is>
      </c>
      <c r="B1354" s="18" t="n">
        <v>46129</v>
      </c>
      <c r="C1354" s="10" t="inlineStr">
        <is>
          <t>C1419</t>
        </is>
      </c>
      <c r="D1354" s="10" t="inlineStr">
        <is>
          <t>loyal</t>
        </is>
      </c>
      <c r="E1354" s="10" t="inlineStr">
        <is>
          <t>Tokopedia</t>
        </is>
      </c>
      <c r="F1354" s="10" t="inlineStr">
        <is>
          <t>Sumatera</t>
        </is>
      </c>
      <c r="G1354" s="10" t="inlineStr">
        <is>
          <t>Makanan</t>
        </is>
      </c>
      <c r="H1354" s="10" t="inlineStr">
        <is>
          <t>Granola 500g</t>
        </is>
      </c>
      <c r="I1354" s="19" t="n">
        <v>3</v>
      </c>
      <c r="J1354" s="20" t="n">
        <v>92000</v>
      </c>
      <c r="K1354" s="20" t="n">
        <v>276000</v>
      </c>
      <c r="L1354" s="10">
        <f>IF($B1354="","",TEXT($B1354,"YYYY-MM"))</f>
        <v/>
      </c>
    </row>
    <row r="1355">
      <c r="A1355" s="10" t="inlineStr">
        <is>
          <t>INV-70947</t>
        </is>
      </c>
      <c r="B1355" s="18" t="n">
        <v>46129</v>
      </c>
      <c r="C1355" s="10" t="inlineStr">
        <is>
          <t>C1268</t>
        </is>
      </c>
      <c r="D1355" s="10" t="inlineStr">
        <is>
          <t>regular</t>
        </is>
      </c>
      <c r="E1355" s="10" t="inlineStr">
        <is>
          <t>Tokopedia</t>
        </is>
      </c>
      <c r="F1355" s="10" t="inlineStr">
        <is>
          <t>Jabodetabek</t>
        </is>
      </c>
      <c r="G1355" s="10" t="inlineStr">
        <is>
          <t>Elektronik</t>
        </is>
      </c>
      <c r="H1355" s="10" t="inlineStr">
        <is>
          <t>Webcam HD</t>
        </is>
      </c>
      <c r="I1355" s="19" t="n">
        <v>1</v>
      </c>
      <c r="J1355" s="20" t="n">
        <v>210000</v>
      </c>
      <c r="K1355" s="20" t="n">
        <v>210000</v>
      </c>
      <c r="L1355" s="10">
        <f>IF($B1355="","",TEXT($B1355,"YYYY-MM"))</f>
        <v/>
      </c>
    </row>
    <row r="1356">
      <c r="A1356" s="10" t="inlineStr">
        <is>
          <t>INV-70465</t>
        </is>
      </c>
      <c r="B1356" s="18" t="n">
        <v>46130</v>
      </c>
      <c r="C1356" s="10" t="inlineStr">
        <is>
          <t>C1133</t>
        </is>
      </c>
      <c r="D1356" s="10" t="inlineStr">
        <is>
          <t>regular</t>
        </is>
      </c>
      <c r="E1356" s="10" t="inlineStr">
        <is>
          <t>Tokopedia</t>
        </is>
      </c>
      <c r="F1356" s="10" t="inlineStr">
        <is>
          <t>Jawa Timur</t>
        </is>
      </c>
      <c r="G1356" s="10" t="inlineStr">
        <is>
          <t>Rumah Tangga</t>
        </is>
      </c>
      <c r="H1356" s="10" t="inlineStr">
        <is>
          <t>Set Wadah Kedap</t>
        </is>
      </c>
      <c r="I1356" s="19" t="n">
        <v>1</v>
      </c>
      <c r="J1356" s="20" t="n">
        <v>135000</v>
      </c>
      <c r="K1356" s="20" t="n">
        <v>135000</v>
      </c>
      <c r="L1356" s="10">
        <f>IF($B1356="","",TEXT($B1356,"YYYY-MM"))</f>
        <v/>
      </c>
    </row>
    <row r="1357">
      <c r="A1357" s="10" t="inlineStr">
        <is>
          <t>INV-70051</t>
        </is>
      </c>
      <c r="B1357" s="18" t="n">
        <v>46131</v>
      </c>
      <c r="C1357" s="10" t="inlineStr">
        <is>
          <t>C1012</t>
        </is>
      </c>
      <c r="D1357" s="10" t="inlineStr">
        <is>
          <t>loyal</t>
        </is>
      </c>
      <c r="E1357" s="10" t="inlineStr">
        <is>
          <t>Tokopedia</t>
        </is>
      </c>
      <c r="F1357" s="10" t="inlineStr">
        <is>
          <t>Sumatera</t>
        </is>
      </c>
      <c r="G1357" s="10" t="inlineStr">
        <is>
          <t>Rumah Tangga</t>
        </is>
      </c>
      <c r="H1357" s="10" t="inlineStr">
        <is>
          <t>Set Wadah Kedap</t>
        </is>
      </c>
      <c r="I1357" s="19" t="n">
        <v>2</v>
      </c>
      <c r="J1357" s="20" t="n">
        <v>135000</v>
      </c>
      <c r="K1357" s="20" t="n">
        <v>270000</v>
      </c>
      <c r="L1357" s="10">
        <f>IF($B1357="","",TEXT($B1357,"YYYY-MM"))</f>
        <v/>
      </c>
    </row>
    <row r="1358">
      <c r="A1358" s="10" t="inlineStr">
        <is>
          <t>INV-70832</t>
        </is>
      </c>
      <c r="B1358" s="18" t="n">
        <v>46131</v>
      </c>
      <c r="C1358" s="10" t="inlineStr">
        <is>
          <t>C1234</t>
        </is>
      </c>
      <c r="D1358" s="10" t="inlineStr">
        <is>
          <t>loyal</t>
        </is>
      </c>
      <c r="E1358" s="10" t="inlineStr">
        <is>
          <t>Shopee</t>
        </is>
      </c>
      <c r="F1358" s="10" t="inlineStr">
        <is>
          <t>Jabodetabek</t>
        </is>
      </c>
      <c r="G1358" s="10" t="inlineStr">
        <is>
          <t>Kecantikan</t>
        </is>
      </c>
      <c r="H1358" s="10" t="inlineStr">
        <is>
          <t>Serum Vit C</t>
        </is>
      </c>
      <c r="I1358" s="19" t="n">
        <v>1</v>
      </c>
      <c r="J1358" s="20" t="n">
        <v>145000</v>
      </c>
      <c r="K1358" s="20" t="n">
        <v>145000</v>
      </c>
      <c r="L1358" s="10">
        <f>IF($B1358="","",TEXT($B1358,"YYYY-MM"))</f>
        <v/>
      </c>
    </row>
    <row r="1359">
      <c r="A1359" s="10" t="inlineStr">
        <is>
          <t>INV-70310</t>
        </is>
      </c>
      <c r="B1359" s="18" t="n">
        <v>46131</v>
      </c>
      <c r="C1359" s="10" t="inlineStr">
        <is>
          <t>C1087</t>
        </is>
      </c>
      <c r="D1359" s="10" t="inlineStr">
        <is>
          <t>loyal</t>
        </is>
      </c>
      <c r="E1359" s="10" t="inlineStr">
        <is>
          <t>Tokopedia</t>
        </is>
      </c>
      <c r="F1359" s="10" t="inlineStr">
        <is>
          <t>Lainnya</t>
        </is>
      </c>
      <c r="G1359" s="10" t="inlineStr">
        <is>
          <t>Kecantikan</t>
        </is>
      </c>
      <c r="H1359" s="10" t="inlineStr">
        <is>
          <t>Masker Wajah (5s)</t>
        </is>
      </c>
      <c r="I1359" s="19" t="n">
        <v>1</v>
      </c>
      <c r="J1359" s="20" t="n">
        <v>55000</v>
      </c>
      <c r="K1359" s="20" t="n">
        <v>55000</v>
      </c>
      <c r="L1359" s="10">
        <f>IF($B1359="","",TEXT($B1359,"YYYY-MM"))</f>
        <v/>
      </c>
    </row>
    <row r="1360">
      <c r="A1360" s="10" t="inlineStr">
        <is>
          <t>INV-71496</t>
        </is>
      </c>
      <c r="B1360" s="18" t="n">
        <v>46132</v>
      </c>
      <c r="C1360" s="10" t="inlineStr">
        <is>
          <t>C1412</t>
        </is>
      </c>
      <c r="D1360" s="10" t="inlineStr">
        <is>
          <t>champion</t>
        </is>
      </c>
      <c r="E1360" s="10" t="inlineStr">
        <is>
          <t>Tokopedia</t>
        </is>
      </c>
      <c r="F1360" s="10" t="inlineStr">
        <is>
          <t>Jawa Tengah</t>
        </is>
      </c>
      <c r="G1360" s="10" t="inlineStr">
        <is>
          <t>Rumah Tangga</t>
        </is>
      </c>
      <c r="H1360" s="10" t="inlineStr">
        <is>
          <t>Set Wadah Kedap</t>
        </is>
      </c>
      <c r="I1360" s="19" t="n">
        <v>3</v>
      </c>
      <c r="J1360" s="20" t="n">
        <v>135000</v>
      </c>
      <c r="K1360" s="20" t="n">
        <v>405000</v>
      </c>
      <c r="L1360" s="10">
        <f>IF($B1360="","",TEXT($B1360,"YYYY-MM"))</f>
        <v/>
      </c>
    </row>
    <row r="1361">
      <c r="A1361" s="10" t="inlineStr">
        <is>
          <t>INV-70012</t>
        </is>
      </c>
      <c r="B1361" s="18" t="n">
        <v>46132</v>
      </c>
      <c r="C1361" s="10" t="inlineStr">
        <is>
          <t>C1002</t>
        </is>
      </c>
      <c r="D1361" s="10" t="inlineStr">
        <is>
          <t>loyal</t>
        </is>
      </c>
      <c r="E1361" s="10" t="inlineStr">
        <is>
          <t>Tokopedia</t>
        </is>
      </c>
      <c r="F1361" s="10" t="inlineStr">
        <is>
          <t>Jabodetabek</t>
        </is>
      </c>
      <c r="G1361" s="10" t="inlineStr">
        <is>
          <t>Rumah Tangga</t>
        </is>
      </c>
      <c r="H1361" s="10" t="inlineStr">
        <is>
          <t>Set Wadah Kedap</t>
        </is>
      </c>
      <c r="I1361" s="19" t="n">
        <v>1</v>
      </c>
      <c r="J1361" s="20" t="n">
        <v>135000</v>
      </c>
      <c r="K1361" s="20" t="n">
        <v>135000</v>
      </c>
      <c r="L1361" s="10">
        <f>IF($B1361="","",TEXT($B1361,"YYYY-MM"))</f>
        <v/>
      </c>
    </row>
    <row r="1362">
      <c r="A1362" s="10" t="inlineStr">
        <is>
          <t>INV-70578</t>
        </is>
      </c>
      <c r="B1362" s="18" t="n">
        <v>46132</v>
      </c>
      <c r="C1362" s="10" t="inlineStr">
        <is>
          <t>C1157</t>
        </is>
      </c>
      <c r="D1362" s="10" t="inlineStr">
        <is>
          <t>loyal</t>
        </is>
      </c>
      <c r="E1362" s="10" t="inlineStr">
        <is>
          <t>Shopee</t>
        </is>
      </c>
      <c r="F1362" s="10" t="inlineStr">
        <is>
          <t>Jawa Barat</t>
        </is>
      </c>
      <c r="G1362" s="10" t="inlineStr">
        <is>
          <t>Elektronik</t>
        </is>
      </c>
      <c r="H1362" s="10" t="inlineStr">
        <is>
          <t>Earbuds TWS</t>
        </is>
      </c>
      <c r="I1362" s="19" t="n">
        <v>1</v>
      </c>
      <c r="J1362" s="20" t="n">
        <v>265000</v>
      </c>
      <c r="K1362" s="20" t="n">
        <v>265000</v>
      </c>
      <c r="L1362" s="10">
        <f>IF($B1362="","",TEXT($B1362,"YYYY-MM"))</f>
        <v/>
      </c>
    </row>
    <row r="1363">
      <c r="A1363" s="10" t="inlineStr">
        <is>
          <t>INV-70018</t>
        </is>
      </c>
      <c r="B1363" s="18" t="n">
        <v>46133</v>
      </c>
      <c r="C1363" s="10" t="inlineStr">
        <is>
          <t>C1003</t>
        </is>
      </c>
      <c r="D1363" s="10" t="inlineStr">
        <is>
          <t>regular</t>
        </is>
      </c>
      <c r="E1363" s="10" t="inlineStr">
        <is>
          <t>TikTok Shop</t>
        </is>
      </c>
      <c r="F1363" s="10" t="inlineStr">
        <is>
          <t>Jabodetabek</t>
        </is>
      </c>
      <c r="G1363" s="10" t="inlineStr">
        <is>
          <t>Fashion</t>
        </is>
      </c>
      <c r="H1363" s="10" t="inlineStr">
        <is>
          <t>Celana Chino</t>
        </is>
      </c>
      <c r="I1363" s="19" t="n">
        <v>1</v>
      </c>
      <c r="J1363" s="20" t="n">
        <v>195000</v>
      </c>
      <c r="K1363" s="20" t="n">
        <v>195000</v>
      </c>
      <c r="L1363" s="10">
        <f>IF($B1363="","",TEXT($B1363,"YYYY-MM"))</f>
        <v/>
      </c>
    </row>
    <row r="1364">
      <c r="A1364" s="10" t="inlineStr">
        <is>
          <t>INV-70206</t>
        </is>
      </c>
      <c r="B1364" s="18" t="n">
        <v>46133</v>
      </c>
      <c r="C1364" s="10" t="inlineStr">
        <is>
          <t>C1058</t>
        </is>
      </c>
      <c r="D1364" s="10" t="inlineStr">
        <is>
          <t>regular</t>
        </is>
      </c>
      <c r="E1364" s="10" t="inlineStr">
        <is>
          <t>Tokopedia</t>
        </is>
      </c>
      <c r="F1364" s="10" t="inlineStr">
        <is>
          <t>Jawa Barat</t>
        </is>
      </c>
      <c r="G1364" s="10" t="inlineStr">
        <is>
          <t>Rumah Tangga</t>
        </is>
      </c>
      <c r="H1364" s="10" t="inlineStr">
        <is>
          <t>Set Wadah Kedap</t>
        </is>
      </c>
      <c r="I1364" s="19" t="n">
        <v>4</v>
      </c>
      <c r="J1364" s="20" t="n">
        <v>135000</v>
      </c>
      <c r="K1364" s="20" t="n">
        <v>540000</v>
      </c>
      <c r="L1364" s="10">
        <f>IF($B1364="","",TEXT($B1364,"YYYY-MM"))</f>
        <v/>
      </c>
    </row>
    <row r="1365">
      <c r="A1365" s="10" t="inlineStr">
        <is>
          <t>INV-70061</t>
        </is>
      </c>
      <c r="B1365" s="18" t="n">
        <v>46133</v>
      </c>
      <c r="C1365" s="10" t="inlineStr">
        <is>
          <t>C1017</t>
        </is>
      </c>
      <c r="D1365" s="10" t="inlineStr">
        <is>
          <t>loyal</t>
        </is>
      </c>
      <c r="E1365" s="10" t="inlineStr">
        <is>
          <t>TikTok Shop</t>
        </is>
      </c>
      <c r="F1365" s="10" t="inlineStr">
        <is>
          <t>Lainnya</t>
        </is>
      </c>
      <c r="G1365" s="10" t="inlineStr">
        <is>
          <t>Rumah Tangga</t>
        </is>
      </c>
      <c r="H1365" s="10" t="inlineStr">
        <is>
          <t>Set Wadah Kedap</t>
        </is>
      </c>
      <c r="I1365" s="19" t="n">
        <v>3</v>
      </c>
      <c r="J1365" s="20" t="n">
        <v>135000</v>
      </c>
      <c r="K1365" s="20" t="n">
        <v>405000</v>
      </c>
      <c r="L1365" s="10">
        <f>IF($B1365="","",TEXT($B1365,"YYYY-MM"))</f>
        <v/>
      </c>
    </row>
    <row r="1366">
      <c r="A1366" s="10" t="inlineStr">
        <is>
          <t>INV-70538</t>
        </is>
      </c>
      <c r="B1366" s="18" t="n">
        <v>46133</v>
      </c>
      <c r="C1366" s="10" t="inlineStr">
        <is>
          <t>C1149</t>
        </is>
      </c>
      <c r="D1366" s="10" t="inlineStr">
        <is>
          <t>loyal</t>
        </is>
      </c>
      <c r="E1366" s="10" t="inlineStr">
        <is>
          <t>Offline Store</t>
        </is>
      </c>
      <c r="F1366" s="10" t="inlineStr">
        <is>
          <t>Lainnya</t>
        </is>
      </c>
      <c r="G1366" s="10" t="inlineStr">
        <is>
          <t>Rumah Tangga</t>
        </is>
      </c>
      <c r="H1366" s="10" t="inlineStr">
        <is>
          <t>Set Wadah Kedap</t>
        </is>
      </c>
      <c r="I1366" s="19" t="n">
        <v>4</v>
      </c>
      <c r="J1366" s="20" t="n">
        <v>135000</v>
      </c>
      <c r="K1366" s="20" t="n">
        <v>540000</v>
      </c>
      <c r="L1366" s="10">
        <f>IF($B1366="","",TEXT($B1366,"YYYY-MM"))</f>
        <v/>
      </c>
    </row>
    <row r="1367">
      <c r="A1367" s="10" t="inlineStr">
        <is>
          <t>INV-71418</t>
        </is>
      </c>
      <c r="B1367" s="18" t="n">
        <v>46133</v>
      </c>
      <c r="C1367" s="10" t="inlineStr">
        <is>
          <t>C1392</t>
        </is>
      </c>
      <c r="D1367" s="10" t="inlineStr">
        <is>
          <t>loyal</t>
        </is>
      </c>
      <c r="E1367" s="10" t="inlineStr">
        <is>
          <t>Tokopedia</t>
        </is>
      </c>
      <c r="F1367" s="10" t="inlineStr">
        <is>
          <t>Jabodetabek</t>
        </is>
      </c>
      <c r="G1367" s="10" t="inlineStr">
        <is>
          <t>Kecantikan</t>
        </is>
      </c>
      <c r="H1367" s="10" t="inlineStr">
        <is>
          <t>Masker Wajah (5s)</t>
        </is>
      </c>
      <c r="I1367" s="19" t="n">
        <v>1</v>
      </c>
      <c r="J1367" s="20" t="n">
        <v>55000</v>
      </c>
      <c r="K1367" s="20" t="n">
        <v>55000</v>
      </c>
      <c r="L1367" s="10">
        <f>IF($B1367="","",TEXT($B1367,"YYYY-MM"))</f>
        <v/>
      </c>
    </row>
    <row r="1368">
      <c r="A1368" s="10" t="inlineStr">
        <is>
          <t>INV-71240</t>
        </is>
      </c>
      <c r="B1368" s="18" t="n">
        <v>46133</v>
      </c>
      <c r="C1368" s="10" t="inlineStr">
        <is>
          <t>C1349</t>
        </is>
      </c>
      <c r="D1368" s="10" t="inlineStr">
        <is>
          <t>champion</t>
        </is>
      </c>
      <c r="E1368" s="10" t="inlineStr">
        <is>
          <t>Shopee</t>
        </is>
      </c>
      <c r="F1368" s="10" t="inlineStr">
        <is>
          <t>Sumatera</t>
        </is>
      </c>
      <c r="G1368" s="10" t="inlineStr">
        <is>
          <t>Elektronik</t>
        </is>
      </c>
      <c r="H1368" s="10" t="inlineStr">
        <is>
          <t>Webcam HD</t>
        </is>
      </c>
      <c r="I1368" s="19" t="n">
        <v>2</v>
      </c>
      <c r="J1368" s="20" t="n">
        <v>210000</v>
      </c>
      <c r="K1368" s="20" t="n">
        <v>420000</v>
      </c>
      <c r="L1368" s="10">
        <f>IF($B1368="","",TEXT($B1368,"YYYY-MM"))</f>
        <v/>
      </c>
    </row>
    <row r="1369">
      <c r="A1369" s="10" t="inlineStr">
        <is>
          <t>INV-71534</t>
        </is>
      </c>
      <c r="B1369" s="18" t="n">
        <v>46134</v>
      </c>
      <c r="C1369" s="10" t="inlineStr">
        <is>
          <t>C1422</t>
        </is>
      </c>
      <c r="D1369" s="10" t="inlineStr">
        <is>
          <t>regular</t>
        </is>
      </c>
      <c r="E1369" s="10" t="inlineStr">
        <is>
          <t>Tokopedia</t>
        </is>
      </c>
      <c r="F1369" s="10" t="inlineStr">
        <is>
          <t>Jabodetabek</t>
        </is>
      </c>
      <c r="G1369" s="10" t="inlineStr">
        <is>
          <t>Elektronik</t>
        </is>
      </c>
      <c r="H1369" s="10" t="inlineStr">
        <is>
          <t>Smartwatch</t>
        </is>
      </c>
      <c r="I1369" s="19" t="n">
        <v>2</v>
      </c>
      <c r="J1369" s="20" t="n">
        <v>450000</v>
      </c>
      <c r="K1369" s="20" t="n">
        <v>900000</v>
      </c>
      <c r="L1369" s="10">
        <f>IF($B1369="","",TEXT($B1369,"YYYY-MM"))</f>
        <v/>
      </c>
    </row>
    <row r="1370">
      <c r="A1370" s="10" t="inlineStr">
        <is>
          <t>INV-71447</t>
        </is>
      </c>
      <c r="B1370" s="18" t="n">
        <v>46134</v>
      </c>
      <c r="C1370" s="10" t="inlineStr">
        <is>
          <t>C1400</t>
        </is>
      </c>
      <c r="D1370" s="10" t="inlineStr">
        <is>
          <t>regular</t>
        </is>
      </c>
      <c r="E1370" s="10" t="inlineStr">
        <is>
          <t>Shopee</t>
        </is>
      </c>
      <c r="F1370" s="10" t="inlineStr">
        <is>
          <t>Jabodetabek</t>
        </is>
      </c>
      <c r="G1370" s="10" t="inlineStr">
        <is>
          <t>Makanan</t>
        </is>
      </c>
      <c r="H1370" s="10" t="inlineStr">
        <is>
          <t>Teh Herbal (15s)</t>
        </is>
      </c>
      <c r="I1370" s="19" t="n">
        <v>1</v>
      </c>
      <c r="J1370" s="20" t="n">
        <v>58000</v>
      </c>
      <c r="K1370" s="20" t="n">
        <v>58000</v>
      </c>
      <c r="L1370" s="10">
        <f>IF($B1370="","",TEXT($B1370,"YYYY-MM"))</f>
        <v/>
      </c>
    </row>
    <row r="1371">
      <c r="A1371" s="10" t="inlineStr">
        <is>
          <t>INV-70730</t>
        </is>
      </c>
      <c r="B1371" s="18" t="n">
        <v>46134</v>
      </c>
      <c r="C1371" s="10" t="inlineStr">
        <is>
          <t>C1206</t>
        </is>
      </c>
      <c r="D1371" s="10" t="inlineStr">
        <is>
          <t>regular</t>
        </is>
      </c>
      <c r="E1371" s="10" t="inlineStr">
        <is>
          <t>Offline Store</t>
        </is>
      </c>
      <c r="F1371" s="10" t="inlineStr">
        <is>
          <t>Jabodetabek</t>
        </is>
      </c>
      <c r="G1371" s="10" t="inlineStr">
        <is>
          <t>Rumah Tangga</t>
        </is>
      </c>
      <c r="H1371" s="10" t="inlineStr">
        <is>
          <t>Set Wadah Kedap</t>
        </is>
      </c>
      <c r="I1371" s="19" t="n">
        <v>3</v>
      </c>
      <c r="J1371" s="20" t="n">
        <v>135000</v>
      </c>
      <c r="K1371" s="20" t="n">
        <v>405000</v>
      </c>
      <c r="L1371" s="10">
        <f>IF($B1371="","",TEXT($B1371,"YYYY-MM"))</f>
        <v/>
      </c>
    </row>
    <row r="1372">
      <c r="A1372" s="10" t="inlineStr">
        <is>
          <t>INV-70807</t>
        </is>
      </c>
      <c r="B1372" s="18" t="n">
        <v>46135</v>
      </c>
      <c r="C1372" s="10" t="inlineStr">
        <is>
          <t>C1226</t>
        </is>
      </c>
      <c r="D1372" s="10" t="inlineStr">
        <is>
          <t>occasional</t>
        </is>
      </c>
      <c r="E1372" s="10" t="inlineStr">
        <is>
          <t>Shopee</t>
        </is>
      </c>
      <c r="F1372" s="10" t="inlineStr">
        <is>
          <t>Jabodetabek</t>
        </is>
      </c>
      <c r="G1372" s="10" t="inlineStr">
        <is>
          <t>Makanan</t>
        </is>
      </c>
      <c r="H1372" s="10" t="inlineStr">
        <is>
          <t>Keripik Sehat</t>
        </is>
      </c>
      <c r="I1372" s="19" t="n">
        <v>2</v>
      </c>
      <c r="J1372" s="20" t="n">
        <v>45000</v>
      </c>
      <c r="K1372" s="20" t="n">
        <v>90000</v>
      </c>
      <c r="L1372" s="10">
        <f>IF($B1372="","",TEXT($B1372,"YYYY-MM"))</f>
        <v/>
      </c>
    </row>
    <row r="1373">
      <c r="A1373" s="10" t="inlineStr">
        <is>
          <t>INV-70510</t>
        </is>
      </c>
      <c r="B1373" s="18" t="n">
        <v>46135</v>
      </c>
      <c r="C1373" s="10" t="inlineStr">
        <is>
          <t>C1142</t>
        </is>
      </c>
      <c r="D1373" s="10" t="inlineStr">
        <is>
          <t>champion</t>
        </is>
      </c>
      <c r="E1373" s="10" t="inlineStr">
        <is>
          <t>Shopee</t>
        </is>
      </c>
      <c r="F1373" s="10" t="inlineStr">
        <is>
          <t>Jabodetabek</t>
        </is>
      </c>
      <c r="G1373" s="10" t="inlineStr">
        <is>
          <t>Elektronik</t>
        </is>
      </c>
      <c r="H1373" s="10" t="inlineStr">
        <is>
          <t>Earbuds TWS</t>
        </is>
      </c>
      <c r="I1373" s="19" t="n">
        <v>2</v>
      </c>
      <c r="J1373" s="20" t="n">
        <v>265000</v>
      </c>
      <c r="K1373" s="20" t="n">
        <v>530000</v>
      </c>
      <c r="L1373" s="10">
        <f>IF($B1373="","",TEXT($B1373,"YYYY-MM"))</f>
        <v/>
      </c>
    </row>
    <row r="1374">
      <c r="A1374" s="10" t="inlineStr">
        <is>
          <t>INV-70346</t>
        </is>
      </c>
      <c r="B1374" s="18" t="n">
        <v>46136</v>
      </c>
      <c r="C1374" s="10" t="inlineStr">
        <is>
          <t>C1093</t>
        </is>
      </c>
      <c r="D1374" s="10" t="inlineStr">
        <is>
          <t>champion</t>
        </is>
      </c>
      <c r="E1374" s="10" t="inlineStr">
        <is>
          <t>Shopee</t>
        </is>
      </c>
      <c r="F1374" s="10" t="inlineStr">
        <is>
          <t>Jabodetabek</t>
        </is>
      </c>
      <c r="G1374" s="10" t="inlineStr">
        <is>
          <t>Kecantikan</t>
        </is>
      </c>
      <c r="H1374" s="10" t="inlineStr">
        <is>
          <t>Masker Wajah (5s)</t>
        </is>
      </c>
      <c r="I1374" s="19" t="n">
        <v>1</v>
      </c>
      <c r="J1374" s="20" t="n">
        <v>55000</v>
      </c>
      <c r="K1374" s="20" t="n">
        <v>55000</v>
      </c>
      <c r="L1374" s="10">
        <f>IF($B1374="","",TEXT($B1374,"YYYY-MM"))</f>
        <v/>
      </c>
    </row>
    <row r="1375">
      <c r="A1375" s="10" t="inlineStr">
        <is>
          <t>INV-70697</t>
        </is>
      </c>
      <c r="B1375" s="18" t="n">
        <v>46136</v>
      </c>
      <c r="C1375" s="10" t="inlineStr">
        <is>
          <t>C1193</t>
        </is>
      </c>
      <c r="D1375" s="10" t="inlineStr">
        <is>
          <t>loyal</t>
        </is>
      </c>
      <c r="E1375" s="10" t="inlineStr">
        <is>
          <t>Shopee</t>
        </is>
      </c>
      <c r="F1375" s="10" t="inlineStr">
        <is>
          <t>Jabodetabek</t>
        </is>
      </c>
      <c r="G1375" s="10" t="inlineStr">
        <is>
          <t>Rumah Tangga</t>
        </is>
      </c>
      <c r="H1375" s="10" t="inlineStr">
        <is>
          <t>Set Wadah Kedap</t>
        </is>
      </c>
      <c r="I1375" s="19" t="n">
        <v>1</v>
      </c>
      <c r="J1375" s="20" t="n">
        <v>135000</v>
      </c>
      <c r="K1375" s="20" t="n">
        <v>135000</v>
      </c>
      <c r="L1375" s="10">
        <f>IF($B1375="","",TEXT($B1375,"YYYY-MM"))</f>
        <v/>
      </c>
    </row>
    <row r="1376">
      <c r="A1376" s="10" t="inlineStr">
        <is>
          <t>INV-70966</t>
        </is>
      </c>
      <c r="B1376" s="18" t="n">
        <v>46137</v>
      </c>
      <c r="C1376" s="10" t="inlineStr">
        <is>
          <t>C1275</t>
        </is>
      </c>
      <c r="D1376" s="10" t="inlineStr">
        <is>
          <t>regular</t>
        </is>
      </c>
      <c r="E1376" s="10" t="inlineStr">
        <is>
          <t>Shopee</t>
        </is>
      </c>
      <c r="F1376" s="10" t="inlineStr">
        <is>
          <t>Jawa Timur</t>
        </is>
      </c>
      <c r="G1376" s="10" t="inlineStr">
        <is>
          <t>Kecantikan</t>
        </is>
      </c>
      <c r="H1376" s="10" t="inlineStr">
        <is>
          <t>Serum Vit C</t>
        </is>
      </c>
      <c r="I1376" s="19" t="n">
        <v>2</v>
      </c>
      <c r="J1376" s="20" t="n">
        <v>145000</v>
      </c>
      <c r="K1376" s="20" t="n">
        <v>290000</v>
      </c>
      <c r="L1376" s="10">
        <f>IF($B1376="","",TEXT($B1376,"YYYY-MM"))</f>
        <v/>
      </c>
    </row>
    <row r="1377">
      <c r="A1377" s="10" t="inlineStr">
        <is>
          <t>INV-70829</t>
        </is>
      </c>
      <c r="B1377" s="18" t="n">
        <v>46137</v>
      </c>
      <c r="C1377" s="10" t="inlineStr">
        <is>
          <t>C1234</t>
        </is>
      </c>
      <c r="D1377" s="10" t="inlineStr">
        <is>
          <t>loyal</t>
        </is>
      </c>
      <c r="E1377" s="10" t="inlineStr">
        <is>
          <t>TikTok Shop</t>
        </is>
      </c>
      <c r="F1377" s="10" t="inlineStr">
        <is>
          <t>Jawa Barat</t>
        </is>
      </c>
      <c r="G1377" s="10" t="inlineStr">
        <is>
          <t>Rumah Tangga</t>
        </is>
      </c>
      <c r="H1377" s="10" t="inlineStr">
        <is>
          <t>Set Wadah Kedap</t>
        </is>
      </c>
      <c r="I1377" s="19" t="n">
        <v>1</v>
      </c>
      <c r="J1377" s="20" t="n">
        <v>135000</v>
      </c>
      <c r="K1377" s="20" t="n">
        <v>135000</v>
      </c>
      <c r="L1377" s="10">
        <f>IF($B1377="","",TEXT($B1377,"YYYY-MM"))</f>
        <v/>
      </c>
    </row>
    <row r="1378">
      <c r="A1378" s="10" t="inlineStr">
        <is>
          <t>INV-71336</t>
        </is>
      </c>
      <c r="B1378" s="18" t="n">
        <v>46137</v>
      </c>
      <c r="C1378" s="10" t="inlineStr">
        <is>
          <t>C1369</t>
        </is>
      </c>
      <c r="D1378" s="10" t="inlineStr">
        <is>
          <t>loyal</t>
        </is>
      </c>
      <c r="E1378" s="10" t="inlineStr">
        <is>
          <t>TikTok Shop</t>
        </is>
      </c>
      <c r="F1378" s="10" t="inlineStr">
        <is>
          <t>Jabodetabek</t>
        </is>
      </c>
      <c r="G1378" s="10" t="inlineStr">
        <is>
          <t>Rumah Tangga</t>
        </is>
      </c>
      <c r="H1378" s="10" t="inlineStr">
        <is>
          <t>Organizer Laci</t>
        </is>
      </c>
      <c r="I1378" s="19" t="n">
        <v>1</v>
      </c>
      <c r="J1378" s="20" t="n">
        <v>78000</v>
      </c>
      <c r="K1378" s="20" t="n">
        <v>78000</v>
      </c>
      <c r="L1378" s="10">
        <f>IF($B1378="","",TEXT($B1378,"YYYY-MM"))</f>
        <v/>
      </c>
    </row>
    <row r="1379">
      <c r="A1379" s="10" t="inlineStr">
        <is>
          <t>INV-70885</t>
        </is>
      </c>
      <c r="B1379" s="18" t="n">
        <v>46137</v>
      </c>
      <c r="C1379" s="10" t="inlineStr">
        <is>
          <t>C1248</t>
        </is>
      </c>
      <c r="D1379" s="10" t="inlineStr">
        <is>
          <t>regular</t>
        </is>
      </c>
      <c r="E1379" s="10" t="inlineStr">
        <is>
          <t>TikTok Shop</t>
        </is>
      </c>
      <c r="F1379" s="10" t="inlineStr">
        <is>
          <t>Jawa Barat</t>
        </is>
      </c>
      <c r="G1379" s="10" t="inlineStr">
        <is>
          <t>Makanan</t>
        </is>
      </c>
      <c r="H1379" s="10" t="inlineStr">
        <is>
          <t>Madu Hutan 250ml</t>
        </is>
      </c>
      <c r="I1379" s="19" t="n">
        <v>4</v>
      </c>
      <c r="J1379" s="20" t="n">
        <v>110000</v>
      </c>
      <c r="K1379" s="20" t="n">
        <v>440000</v>
      </c>
      <c r="L1379" s="10">
        <f>IF($B1379="","",TEXT($B1379,"YYYY-MM"))</f>
        <v/>
      </c>
    </row>
    <row r="1380">
      <c r="A1380" s="10" t="inlineStr">
        <is>
          <t>INV-71183</t>
        </is>
      </c>
      <c r="B1380" s="18" t="n">
        <v>46137</v>
      </c>
      <c r="C1380" s="10" t="inlineStr">
        <is>
          <t>C1334</t>
        </is>
      </c>
      <c r="D1380" s="10" t="inlineStr">
        <is>
          <t>champion</t>
        </is>
      </c>
      <c r="E1380" s="10" t="inlineStr">
        <is>
          <t>Tokopedia</t>
        </is>
      </c>
      <c r="F1380" s="10" t="inlineStr">
        <is>
          <t>Jawa Barat</t>
        </is>
      </c>
      <c r="G1380" s="10" t="inlineStr">
        <is>
          <t>Fashion</t>
        </is>
      </c>
      <c r="H1380" s="10" t="inlineStr">
        <is>
          <t>Celana Chino</t>
        </is>
      </c>
      <c r="I1380" s="19" t="n">
        <v>1</v>
      </c>
      <c r="J1380" s="20" t="n">
        <v>195000</v>
      </c>
      <c r="K1380" s="20" t="n">
        <v>195000</v>
      </c>
      <c r="L1380" s="10">
        <f>IF($B1380="","",TEXT($B1380,"YYYY-MM"))</f>
        <v/>
      </c>
    </row>
    <row r="1381">
      <c r="A1381" s="10" t="inlineStr">
        <is>
          <t>INV-70769</t>
        </is>
      </c>
      <c r="B1381" s="18" t="n">
        <v>46137</v>
      </c>
      <c r="C1381" s="10" t="inlineStr">
        <is>
          <t>C1215</t>
        </is>
      </c>
      <c r="D1381" s="10" t="inlineStr">
        <is>
          <t>loyal</t>
        </is>
      </c>
      <c r="E1381" s="10" t="inlineStr">
        <is>
          <t>TikTok Shop</t>
        </is>
      </c>
      <c r="F1381" s="10" t="inlineStr">
        <is>
          <t>Jawa Tengah</t>
        </is>
      </c>
      <c r="G1381" s="10" t="inlineStr">
        <is>
          <t>Elektronik</t>
        </is>
      </c>
      <c r="H1381" s="10" t="inlineStr">
        <is>
          <t>Webcam HD</t>
        </is>
      </c>
      <c r="I1381" s="19" t="n">
        <v>1</v>
      </c>
      <c r="J1381" s="20" t="n">
        <v>210000</v>
      </c>
      <c r="K1381" s="20" t="n">
        <v>210000</v>
      </c>
      <c r="L1381" s="10">
        <f>IF($B1381="","",TEXT($B1381,"YYYY-MM"))</f>
        <v/>
      </c>
    </row>
    <row r="1382">
      <c r="A1382" s="10" t="inlineStr">
        <is>
          <t>INV-70167</t>
        </is>
      </c>
      <c r="B1382" s="18" t="n">
        <v>46138</v>
      </c>
      <c r="C1382" s="10" t="inlineStr">
        <is>
          <t>C1049</t>
        </is>
      </c>
      <c r="D1382" s="10" t="inlineStr">
        <is>
          <t>champion</t>
        </is>
      </c>
      <c r="E1382" s="10" t="inlineStr">
        <is>
          <t>Tokopedia</t>
        </is>
      </c>
      <c r="F1382" s="10" t="inlineStr">
        <is>
          <t>Jawa Timur</t>
        </is>
      </c>
      <c r="G1382" s="10" t="inlineStr">
        <is>
          <t>Fashion</t>
        </is>
      </c>
      <c r="H1382" s="10" t="inlineStr">
        <is>
          <t>Kaos Premium</t>
        </is>
      </c>
      <c r="I1382" s="19" t="n">
        <v>2</v>
      </c>
      <c r="J1382" s="20" t="n">
        <v>95000</v>
      </c>
      <c r="K1382" s="20" t="n">
        <v>190000</v>
      </c>
      <c r="L1382" s="10">
        <f>IF($B1382="","",TEXT($B1382,"YYYY-MM"))</f>
        <v/>
      </c>
    </row>
    <row r="1383">
      <c r="A1383" s="10" t="inlineStr">
        <is>
          <t>INV-71177</t>
        </is>
      </c>
      <c r="B1383" s="18" t="n">
        <v>46138</v>
      </c>
      <c r="C1383" s="10" t="inlineStr">
        <is>
          <t>C1334</t>
        </is>
      </c>
      <c r="D1383" s="10" t="inlineStr">
        <is>
          <t>champion</t>
        </is>
      </c>
      <c r="E1383" s="10" t="inlineStr">
        <is>
          <t>Tokopedia</t>
        </is>
      </c>
      <c r="F1383" s="10" t="inlineStr">
        <is>
          <t>Lainnya</t>
        </is>
      </c>
      <c r="G1383" s="10" t="inlineStr">
        <is>
          <t>Elektronik</t>
        </is>
      </c>
      <c r="H1383" s="10" t="inlineStr">
        <is>
          <t>Smartwatch</t>
        </is>
      </c>
      <c r="I1383" s="19" t="n">
        <v>3</v>
      </c>
      <c r="J1383" s="20" t="n">
        <v>450000</v>
      </c>
      <c r="K1383" s="20" t="n">
        <v>1350000</v>
      </c>
      <c r="L1383" s="10">
        <f>IF($B1383="","",TEXT($B1383,"YYYY-MM"))</f>
        <v/>
      </c>
    </row>
    <row r="1384">
      <c r="A1384" s="10" t="inlineStr">
        <is>
          <t>INV-70469</t>
        </is>
      </c>
      <c r="B1384" s="18" t="n">
        <v>46138</v>
      </c>
      <c r="C1384" s="10" t="inlineStr">
        <is>
          <t>C1134</t>
        </is>
      </c>
      <c r="D1384" s="10" t="inlineStr">
        <is>
          <t>occasional</t>
        </is>
      </c>
      <c r="E1384" s="10" t="inlineStr">
        <is>
          <t>Shopee</t>
        </is>
      </c>
      <c r="F1384" s="10" t="inlineStr">
        <is>
          <t>Lainnya</t>
        </is>
      </c>
      <c r="G1384" s="10" t="inlineStr">
        <is>
          <t>Kecantikan</t>
        </is>
      </c>
      <c r="H1384" s="10" t="inlineStr">
        <is>
          <t>Masker Wajah (5s)</t>
        </is>
      </c>
      <c r="I1384" s="19" t="n">
        <v>2</v>
      </c>
      <c r="J1384" s="20" t="n">
        <v>55000</v>
      </c>
      <c r="K1384" s="20" t="n">
        <v>110000</v>
      </c>
      <c r="L1384" s="10">
        <f>IF($B1384="","",TEXT($B1384,"YYYY-MM"))</f>
        <v/>
      </c>
    </row>
    <row r="1385">
      <c r="A1385" s="10" t="inlineStr">
        <is>
          <t>INV-71230</t>
        </is>
      </c>
      <c r="B1385" s="18" t="n">
        <v>46138</v>
      </c>
      <c r="C1385" s="10" t="inlineStr">
        <is>
          <t>C1349</t>
        </is>
      </c>
      <c r="D1385" s="10" t="inlineStr">
        <is>
          <t>champion</t>
        </is>
      </c>
      <c r="E1385" s="10" t="inlineStr">
        <is>
          <t>Offline Store</t>
        </is>
      </c>
      <c r="F1385" s="10" t="inlineStr">
        <is>
          <t>Jabodetabek</t>
        </is>
      </c>
      <c r="G1385" s="10" t="inlineStr">
        <is>
          <t>Rumah Tangga</t>
        </is>
      </c>
      <c r="H1385" s="10" t="inlineStr">
        <is>
          <t>Set Wadah Kedap</t>
        </is>
      </c>
      <c r="I1385" s="19" t="n">
        <v>1</v>
      </c>
      <c r="J1385" s="20" t="n">
        <v>135000</v>
      </c>
      <c r="K1385" s="20" t="n">
        <v>135000</v>
      </c>
      <c r="L1385" s="10">
        <f>IF($B1385="","",TEXT($B1385,"YYYY-MM"))</f>
        <v/>
      </c>
    </row>
    <row r="1386">
      <c r="A1386" s="10" t="inlineStr">
        <is>
          <t>INV-70208</t>
        </is>
      </c>
      <c r="B1386" s="18" t="n">
        <v>46139</v>
      </c>
      <c r="C1386" s="10" t="inlineStr">
        <is>
          <t>C1059</t>
        </is>
      </c>
      <c r="D1386" s="10" t="inlineStr">
        <is>
          <t>regular</t>
        </is>
      </c>
      <c r="E1386" s="10" t="inlineStr">
        <is>
          <t>Shopee</t>
        </is>
      </c>
      <c r="F1386" s="10" t="inlineStr">
        <is>
          <t>Jawa Timur</t>
        </is>
      </c>
      <c r="G1386" s="10" t="inlineStr">
        <is>
          <t>Makanan</t>
        </is>
      </c>
      <c r="H1386" s="10" t="inlineStr">
        <is>
          <t>Granola 500g</t>
        </is>
      </c>
      <c r="I1386" s="19" t="n">
        <v>3</v>
      </c>
      <c r="J1386" s="20" t="n">
        <v>92000</v>
      </c>
      <c r="K1386" s="20" t="n">
        <v>276000</v>
      </c>
      <c r="L1386" s="10">
        <f>IF($B1386="","",TEXT($B1386,"YYYY-MM"))</f>
        <v/>
      </c>
    </row>
    <row r="1387">
      <c r="A1387" s="10" t="inlineStr">
        <is>
          <t>INV-71281</t>
        </is>
      </c>
      <c r="B1387" s="18" t="n">
        <v>46139</v>
      </c>
      <c r="C1387" s="10" t="inlineStr">
        <is>
          <t>C1358</t>
        </is>
      </c>
      <c r="D1387" s="10" t="inlineStr">
        <is>
          <t>champion</t>
        </is>
      </c>
      <c r="E1387" s="10" t="inlineStr">
        <is>
          <t>Offline Store</t>
        </is>
      </c>
      <c r="F1387" s="10" t="inlineStr">
        <is>
          <t>Lainnya</t>
        </is>
      </c>
      <c r="G1387" s="10" t="inlineStr">
        <is>
          <t>Rumah Tangga</t>
        </is>
      </c>
      <c r="H1387" s="10" t="inlineStr">
        <is>
          <t>Set Wadah Kedap</t>
        </is>
      </c>
      <c r="I1387" s="19" t="n">
        <v>2</v>
      </c>
      <c r="J1387" s="20" t="n">
        <v>135000</v>
      </c>
      <c r="K1387" s="20" t="n">
        <v>270000</v>
      </c>
      <c r="L1387" s="10">
        <f>IF($B1387="","",TEXT($B1387,"YYYY-MM"))</f>
        <v/>
      </c>
    </row>
    <row r="1388">
      <c r="A1388" s="10" t="inlineStr">
        <is>
          <t>INV-71305</t>
        </is>
      </c>
      <c r="B1388" s="18" t="n">
        <v>46143</v>
      </c>
      <c r="C1388" s="10" t="inlineStr">
        <is>
          <t>C1361</t>
        </is>
      </c>
      <c r="D1388" s="10" t="inlineStr">
        <is>
          <t>champion</t>
        </is>
      </c>
      <c r="E1388" s="10" t="inlineStr">
        <is>
          <t>Shopee</t>
        </is>
      </c>
      <c r="F1388" s="10" t="inlineStr">
        <is>
          <t>Jawa Barat</t>
        </is>
      </c>
      <c r="G1388" s="10" t="inlineStr">
        <is>
          <t>Rumah Tangga</t>
        </is>
      </c>
      <c r="H1388" s="10" t="inlineStr">
        <is>
          <t>Set Wadah Kedap</t>
        </is>
      </c>
      <c r="I1388" s="19" t="n">
        <v>4</v>
      </c>
      <c r="J1388" s="20" t="n">
        <v>135000</v>
      </c>
      <c r="K1388" s="20" t="n">
        <v>540000</v>
      </c>
      <c r="L1388" s="10">
        <f>IF($B1388="","",TEXT($B1388,"YYYY-MM"))</f>
        <v/>
      </c>
    </row>
    <row r="1389">
      <c r="A1389" s="10" t="inlineStr">
        <is>
          <t>INV-70520</t>
        </is>
      </c>
      <c r="B1389" s="18" t="n">
        <v>46143</v>
      </c>
      <c r="C1389" s="10" t="inlineStr">
        <is>
          <t>C1142</t>
        </is>
      </c>
      <c r="D1389" s="10" t="inlineStr">
        <is>
          <t>champion</t>
        </is>
      </c>
      <c r="E1389" s="10" t="inlineStr">
        <is>
          <t>Shopee</t>
        </is>
      </c>
      <c r="F1389" s="10" t="inlineStr">
        <is>
          <t>Jabodetabek</t>
        </is>
      </c>
      <c r="G1389" s="10" t="inlineStr">
        <is>
          <t>Kecantikan</t>
        </is>
      </c>
      <c r="H1389" s="10" t="inlineStr">
        <is>
          <t>Masker Wajah (5s)</t>
        </is>
      </c>
      <c r="I1389" s="19" t="n">
        <v>4</v>
      </c>
      <c r="J1389" s="20" t="n">
        <v>55000</v>
      </c>
      <c r="K1389" s="20" t="n">
        <v>220000</v>
      </c>
      <c r="L1389" s="10">
        <f>IF($B1389="","",TEXT($B1389,"YYYY-MM"))</f>
        <v/>
      </c>
    </row>
    <row r="1390">
      <c r="A1390" s="10" t="inlineStr">
        <is>
          <t>INV-70166</t>
        </is>
      </c>
      <c r="B1390" s="18" t="n">
        <v>46143</v>
      </c>
      <c r="C1390" s="10" t="inlineStr">
        <is>
          <t>C1049</t>
        </is>
      </c>
      <c r="D1390" s="10" t="inlineStr">
        <is>
          <t>champion</t>
        </is>
      </c>
      <c r="E1390" s="10" t="inlineStr">
        <is>
          <t>Offline Store</t>
        </is>
      </c>
      <c r="F1390" s="10" t="inlineStr">
        <is>
          <t>Jabodetabek</t>
        </is>
      </c>
      <c r="G1390" s="10" t="inlineStr">
        <is>
          <t>Rumah Tangga</t>
        </is>
      </c>
      <c r="H1390" s="10" t="inlineStr">
        <is>
          <t>Set Wadah Kedap</t>
        </is>
      </c>
      <c r="I1390" s="19" t="n">
        <v>3</v>
      </c>
      <c r="J1390" s="20" t="n">
        <v>135000</v>
      </c>
      <c r="K1390" s="20" t="n">
        <v>405000</v>
      </c>
      <c r="L1390" s="10">
        <f>IF($B1390="","",TEXT($B1390,"YYYY-MM"))</f>
        <v/>
      </c>
    </row>
    <row r="1391">
      <c r="A1391" s="10" t="inlineStr">
        <is>
          <t>INV-71134</t>
        </is>
      </c>
      <c r="B1391" s="18" t="n">
        <v>46144</v>
      </c>
      <c r="C1391" s="10" t="inlineStr">
        <is>
          <t>C1322</t>
        </is>
      </c>
      <c r="D1391" s="10" t="inlineStr">
        <is>
          <t>loyal</t>
        </is>
      </c>
      <c r="E1391" s="10" t="inlineStr">
        <is>
          <t>Shopee</t>
        </is>
      </c>
      <c r="F1391" s="10" t="inlineStr">
        <is>
          <t>Jabodetabek</t>
        </is>
      </c>
      <c r="G1391" s="10" t="inlineStr">
        <is>
          <t>Makanan</t>
        </is>
      </c>
      <c r="H1391" s="10" t="inlineStr">
        <is>
          <t>Granola 500g</t>
        </is>
      </c>
      <c r="I1391" s="19" t="n">
        <v>1</v>
      </c>
      <c r="J1391" s="20" t="n">
        <v>92000</v>
      </c>
      <c r="K1391" s="20" t="n">
        <v>92000</v>
      </c>
      <c r="L1391" s="10">
        <f>IF($B1391="","",TEXT($B1391,"YYYY-MM"))</f>
        <v/>
      </c>
    </row>
    <row r="1392">
      <c r="A1392" s="10" t="inlineStr">
        <is>
          <t>INV-70048</t>
        </is>
      </c>
      <c r="B1392" s="18" t="n">
        <v>46145</v>
      </c>
      <c r="C1392" s="10" t="inlineStr">
        <is>
          <t>C1012</t>
        </is>
      </c>
      <c r="D1392" s="10" t="inlineStr">
        <is>
          <t>loyal</t>
        </is>
      </c>
      <c r="E1392" s="10" t="inlineStr">
        <is>
          <t>Tokopedia</t>
        </is>
      </c>
      <c r="F1392" s="10" t="inlineStr">
        <is>
          <t>Jabodetabek</t>
        </is>
      </c>
      <c r="G1392" s="10" t="inlineStr">
        <is>
          <t>Makanan</t>
        </is>
      </c>
      <c r="H1392" s="10" t="inlineStr">
        <is>
          <t>Granola 500g</t>
        </is>
      </c>
      <c r="I1392" s="19" t="n">
        <v>1</v>
      </c>
      <c r="J1392" s="20" t="n">
        <v>92000</v>
      </c>
      <c r="K1392" s="20" t="n">
        <v>92000</v>
      </c>
      <c r="L1392" s="10">
        <f>IF($B1392="","",TEXT($B1392,"YYYY-MM"))</f>
        <v/>
      </c>
    </row>
    <row r="1393">
      <c r="A1393" s="10" t="inlineStr">
        <is>
          <t>INV-70640</t>
        </is>
      </c>
      <c r="B1393" s="18" t="n">
        <v>46145</v>
      </c>
      <c r="C1393" s="10" t="inlineStr">
        <is>
          <t>C1174</t>
        </is>
      </c>
      <c r="D1393" s="10" t="inlineStr">
        <is>
          <t>loyal</t>
        </is>
      </c>
      <c r="E1393" s="10" t="inlineStr">
        <is>
          <t>Tokopedia</t>
        </is>
      </c>
      <c r="F1393" s="10" t="inlineStr">
        <is>
          <t>Jabodetabek</t>
        </is>
      </c>
      <c r="G1393" s="10" t="inlineStr">
        <is>
          <t>Fashion</t>
        </is>
      </c>
      <c r="H1393" s="10" t="inlineStr">
        <is>
          <t>Dress Casual</t>
        </is>
      </c>
      <c r="I1393" s="19" t="n">
        <v>1</v>
      </c>
      <c r="J1393" s="20" t="n">
        <v>225000</v>
      </c>
      <c r="K1393" s="20" t="n">
        <v>225000</v>
      </c>
      <c r="L1393" s="10">
        <f>IF($B1393="","",TEXT($B1393,"YYYY-MM"))</f>
        <v/>
      </c>
    </row>
    <row r="1394">
      <c r="A1394" s="10" t="inlineStr">
        <is>
          <t>INV-71500</t>
        </is>
      </c>
      <c r="B1394" s="18" t="n">
        <v>46145</v>
      </c>
      <c r="C1394" s="10" t="inlineStr">
        <is>
          <t>C1412</t>
        </is>
      </c>
      <c r="D1394" s="10" t="inlineStr">
        <is>
          <t>champion</t>
        </is>
      </c>
      <c r="E1394" s="10" t="inlineStr">
        <is>
          <t>Tokopedia</t>
        </is>
      </c>
      <c r="F1394" s="10" t="inlineStr">
        <is>
          <t>Jabodetabek</t>
        </is>
      </c>
      <c r="G1394" s="10" t="inlineStr">
        <is>
          <t>Elektronik</t>
        </is>
      </c>
      <c r="H1394" s="10" t="inlineStr">
        <is>
          <t>Earbuds TWS</t>
        </is>
      </c>
      <c r="I1394" s="19" t="n">
        <v>1</v>
      </c>
      <c r="J1394" s="20" t="n">
        <v>265000</v>
      </c>
      <c r="K1394" s="20" t="n">
        <v>265000</v>
      </c>
      <c r="L1394" s="10">
        <f>IF($B1394="","",TEXT($B1394,"YYYY-MM"))</f>
        <v/>
      </c>
    </row>
    <row r="1395">
      <c r="A1395" s="10" t="inlineStr">
        <is>
          <t>INV-70935</t>
        </is>
      </c>
      <c r="B1395" s="18" t="n">
        <v>46145</v>
      </c>
      <c r="C1395" s="10" t="inlineStr">
        <is>
          <t>C1262</t>
        </is>
      </c>
      <c r="D1395" s="10" t="inlineStr">
        <is>
          <t>regular</t>
        </is>
      </c>
      <c r="E1395" s="10" t="inlineStr">
        <is>
          <t>Tokopedia</t>
        </is>
      </c>
      <c r="F1395" s="10" t="inlineStr">
        <is>
          <t>Jabodetabek</t>
        </is>
      </c>
      <c r="G1395" s="10" t="inlineStr">
        <is>
          <t>Elektronik</t>
        </is>
      </c>
      <c r="H1395" s="10" t="inlineStr">
        <is>
          <t>Earbuds TWS</t>
        </is>
      </c>
      <c r="I1395" s="19" t="n">
        <v>2</v>
      </c>
      <c r="J1395" s="20" t="n">
        <v>265000</v>
      </c>
      <c r="K1395" s="20" t="n">
        <v>530000</v>
      </c>
      <c r="L1395" s="10">
        <f>IF($B1395="","",TEXT($B1395,"YYYY-MM"))</f>
        <v/>
      </c>
    </row>
    <row r="1396">
      <c r="A1396" s="10" t="inlineStr">
        <is>
          <t>INV-70203</t>
        </is>
      </c>
      <c r="B1396" s="18" t="n">
        <v>46145</v>
      </c>
      <c r="C1396" s="10" t="inlineStr">
        <is>
          <t>C1057</t>
        </is>
      </c>
      <c r="D1396" s="10" t="inlineStr">
        <is>
          <t>regular</t>
        </is>
      </c>
      <c r="E1396" s="10" t="inlineStr">
        <is>
          <t>TikTok Shop</t>
        </is>
      </c>
      <c r="F1396" s="10" t="inlineStr">
        <is>
          <t>Jabodetabek</t>
        </is>
      </c>
      <c r="G1396" s="10" t="inlineStr">
        <is>
          <t>Kecantikan</t>
        </is>
      </c>
      <c r="H1396" s="10" t="inlineStr">
        <is>
          <t>Lip Tint</t>
        </is>
      </c>
      <c r="I1396" s="19" t="n">
        <v>1</v>
      </c>
      <c r="J1396" s="20" t="n">
        <v>65000</v>
      </c>
      <c r="K1396" s="20" t="n">
        <v>65000</v>
      </c>
      <c r="L1396" s="10">
        <f>IF($B1396="","",TEXT($B1396,"YYYY-MM"))</f>
        <v/>
      </c>
    </row>
    <row r="1397">
      <c r="A1397" s="10" t="inlineStr">
        <is>
          <t>INV-70090</t>
        </is>
      </c>
      <c r="B1397" s="18" t="n">
        <v>46145</v>
      </c>
      <c r="C1397" s="10" t="inlineStr">
        <is>
          <t>C1027</t>
        </is>
      </c>
      <c r="D1397" s="10" t="inlineStr">
        <is>
          <t>occasional</t>
        </is>
      </c>
      <c r="E1397" s="10" t="inlineStr">
        <is>
          <t>Shopee</t>
        </is>
      </c>
      <c r="F1397" s="10" t="inlineStr">
        <is>
          <t>Jabodetabek</t>
        </is>
      </c>
      <c r="G1397" s="10" t="inlineStr">
        <is>
          <t>Rumah Tangga</t>
        </is>
      </c>
      <c r="H1397" s="10" t="inlineStr">
        <is>
          <t>Set Wadah Kedap</t>
        </is>
      </c>
      <c r="I1397" s="19" t="n">
        <v>1</v>
      </c>
      <c r="J1397" s="20" t="n">
        <v>135000</v>
      </c>
      <c r="K1397" s="20" t="n">
        <v>135000</v>
      </c>
      <c r="L1397" s="10">
        <f>IF($B1397="","",TEXT($B1397,"YYYY-MM"))</f>
        <v/>
      </c>
    </row>
    <row r="1398">
      <c r="A1398" s="10" t="inlineStr">
        <is>
          <t>INV-71295</t>
        </is>
      </c>
      <c r="B1398" s="18" t="n">
        <v>46145</v>
      </c>
      <c r="C1398" s="10" t="inlineStr">
        <is>
          <t>C1359</t>
        </is>
      </c>
      <c r="D1398" s="10" t="inlineStr">
        <is>
          <t>champion</t>
        </is>
      </c>
      <c r="E1398" s="10" t="inlineStr">
        <is>
          <t>Shopee</t>
        </is>
      </c>
      <c r="F1398" s="10" t="inlineStr">
        <is>
          <t>Jabodetabek</t>
        </is>
      </c>
      <c r="G1398" s="10" t="inlineStr">
        <is>
          <t>Fashion</t>
        </is>
      </c>
      <c r="H1398" s="10" t="inlineStr">
        <is>
          <t>Dress Casual</t>
        </is>
      </c>
      <c r="I1398" s="19" t="n">
        <v>4</v>
      </c>
      <c r="J1398" s="20" t="n">
        <v>225000</v>
      </c>
      <c r="K1398" s="20" t="n">
        <v>900000</v>
      </c>
      <c r="L1398" s="10">
        <f>IF($B1398="","",TEXT($B1398,"YYYY-MM"))</f>
        <v/>
      </c>
    </row>
    <row r="1399">
      <c r="A1399" s="10" t="inlineStr">
        <is>
          <t>INV-70888</t>
        </is>
      </c>
      <c r="B1399" s="18" t="n">
        <v>46146</v>
      </c>
      <c r="C1399" s="10" t="inlineStr">
        <is>
          <t>C1249</t>
        </is>
      </c>
      <c r="D1399" s="10" t="inlineStr">
        <is>
          <t>regular</t>
        </is>
      </c>
      <c r="E1399" s="10" t="inlineStr">
        <is>
          <t>Offline Store</t>
        </is>
      </c>
      <c r="F1399" s="10" t="inlineStr">
        <is>
          <t>Jabodetabek</t>
        </is>
      </c>
      <c r="G1399" s="10" t="inlineStr">
        <is>
          <t>Rumah Tangga</t>
        </is>
      </c>
      <c r="H1399" s="10" t="inlineStr">
        <is>
          <t>Set Wadah Kedap</t>
        </is>
      </c>
      <c r="I1399" s="19" t="n">
        <v>4</v>
      </c>
      <c r="J1399" s="20" t="n">
        <v>135000</v>
      </c>
      <c r="K1399" s="20" t="n">
        <v>540000</v>
      </c>
      <c r="L1399" s="10">
        <f>IF($B1399="","",TEXT($B1399,"YYYY-MM"))</f>
        <v/>
      </c>
    </row>
    <row r="1400">
      <c r="A1400" s="10" t="inlineStr">
        <is>
          <t>INV-70125</t>
        </is>
      </c>
      <c r="B1400" s="18" t="n">
        <v>46146</v>
      </c>
      <c r="C1400" s="10" t="inlineStr">
        <is>
          <t>C1038</t>
        </is>
      </c>
      <c r="D1400" s="10" t="inlineStr">
        <is>
          <t>champion</t>
        </is>
      </c>
      <c r="E1400" s="10" t="inlineStr">
        <is>
          <t>Shopee</t>
        </is>
      </c>
      <c r="F1400" s="10" t="inlineStr">
        <is>
          <t>Jabodetabek</t>
        </is>
      </c>
      <c r="G1400" s="10" t="inlineStr">
        <is>
          <t>Rumah Tangga</t>
        </is>
      </c>
      <c r="H1400" s="10" t="inlineStr">
        <is>
          <t>Set Wadah Kedap</t>
        </is>
      </c>
      <c r="I1400" s="19" t="n">
        <v>1</v>
      </c>
      <c r="J1400" s="20" t="n">
        <v>135000</v>
      </c>
      <c r="K1400" s="20" t="n">
        <v>135000</v>
      </c>
      <c r="L1400" s="10">
        <f>IF($B1400="","",TEXT($B1400,"YYYY-MM"))</f>
        <v/>
      </c>
    </row>
    <row r="1401">
      <c r="A1401" s="10" t="inlineStr">
        <is>
          <t>INV-70124</t>
        </is>
      </c>
      <c r="B1401" s="18" t="n">
        <v>46146</v>
      </c>
      <c r="C1401" s="10" t="inlineStr">
        <is>
          <t>C1038</t>
        </is>
      </c>
      <c r="D1401" s="10" t="inlineStr">
        <is>
          <t>champion</t>
        </is>
      </c>
      <c r="E1401" s="10" t="inlineStr">
        <is>
          <t>TikTok Shop</t>
        </is>
      </c>
      <c r="F1401" s="10" t="inlineStr">
        <is>
          <t>Jawa Tengah</t>
        </is>
      </c>
      <c r="G1401" s="10" t="inlineStr">
        <is>
          <t>Fashion</t>
        </is>
      </c>
      <c r="H1401" s="10" t="inlineStr">
        <is>
          <t>Celana Chino</t>
        </is>
      </c>
      <c r="I1401" s="19" t="n">
        <v>2</v>
      </c>
      <c r="J1401" s="20" t="n">
        <v>195000</v>
      </c>
      <c r="K1401" s="20" t="n">
        <v>390000</v>
      </c>
      <c r="L1401" s="10">
        <f>IF($B1401="","",TEXT($B1401,"YYYY-MM"))</f>
        <v/>
      </c>
    </row>
    <row r="1402">
      <c r="A1402" s="10" t="inlineStr">
        <is>
          <t>INV-71047</t>
        </is>
      </c>
      <c r="B1402" s="18" t="n">
        <v>46147</v>
      </c>
      <c r="C1402" s="10" t="inlineStr">
        <is>
          <t>C1296</t>
        </is>
      </c>
      <c r="D1402" s="10" t="inlineStr">
        <is>
          <t>loyal</t>
        </is>
      </c>
      <c r="E1402" s="10" t="inlineStr">
        <is>
          <t>TikTok Shop</t>
        </is>
      </c>
      <c r="F1402" s="10" t="inlineStr">
        <is>
          <t>Jawa Tengah</t>
        </is>
      </c>
      <c r="G1402" s="10" t="inlineStr">
        <is>
          <t>Elektronik</t>
        </is>
      </c>
      <c r="H1402" s="10" t="inlineStr">
        <is>
          <t>Smartwatch</t>
        </is>
      </c>
      <c r="I1402" s="19" t="n">
        <v>1</v>
      </c>
      <c r="J1402" s="20" t="n">
        <v>450000</v>
      </c>
      <c r="K1402" s="20" t="n">
        <v>450000</v>
      </c>
      <c r="L1402" s="10">
        <f>IF($B1402="","",TEXT($B1402,"YYYY-MM"))</f>
        <v/>
      </c>
    </row>
    <row r="1403">
      <c r="A1403" s="10" t="inlineStr">
        <is>
          <t>INV-70094</t>
        </is>
      </c>
      <c r="B1403" s="18" t="n">
        <v>46147</v>
      </c>
      <c r="C1403" s="10" t="inlineStr">
        <is>
          <t>C1028</t>
        </is>
      </c>
      <c r="D1403" s="10" t="inlineStr">
        <is>
          <t>occasional</t>
        </is>
      </c>
      <c r="E1403" s="10" t="inlineStr">
        <is>
          <t>Shopee</t>
        </is>
      </c>
      <c r="F1403" s="10" t="inlineStr">
        <is>
          <t>Jabodetabek</t>
        </is>
      </c>
      <c r="G1403" s="10" t="inlineStr">
        <is>
          <t>Rumah Tangga</t>
        </is>
      </c>
      <c r="H1403" s="10" t="inlineStr">
        <is>
          <t>Organizer Laci</t>
        </is>
      </c>
      <c r="I1403" s="19" t="n">
        <v>3</v>
      </c>
      <c r="J1403" s="20" t="n">
        <v>78000</v>
      </c>
      <c r="K1403" s="20" t="n">
        <v>234000</v>
      </c>
      <c r="L1403" s="10">
        <f>IF($B1403="","",TEXT($B1403,"YYYY-MM"))</f>
        <v/>
      </c>
    </row>
    <row r="1404">
      <c r="A1404" s="10" t="inlineStr">
        <is>
          <t>INV-70999</t>
        </is>
      </c>
      <c r="B1404" s="18" t="n">
        <v>46147</v>
      </c>
      <c r="C1404" s="10" t="inlineStr">
        <is>
          <t>C1287</t>
        </is>
      </c>
      <c r="D1404" s="10" t="inlineStr">
        <is>
          <t>champion</t>
        </is>
      </c>
      <c r="E1404" s="10" t="inlineStr">
        <is>
          <t>Shopee</t>
        </is>
      </c>
      <c r="F1404" s="10" t="inlineStr">
        <is>
          <t>Jawa Timur</t>
        </is>
      </c>
      <c r="G1404" s="10" t="inlineStr">
        <is>
          <t>Elektronik</t>
        </is>
      </c>
      <c r="H1404" s="10" t="inlineStr">
        <is>
          <t>Webcam HD</t>
        </is>
      </c>
      <c r="I1404" s="19" t="n">
        <v>4</v>
      </c>
      <c r="J1404" s="20" t="n">
        <v>210000</v>
      </c>
      <c r="K1404" s="20" t="n">
        <v>840000</v>
      </c>
      <c r="L1404" s="10">
        <f>IF($B1404="","",TEXT($B1404,"YYYY-MM"))</f>
        <v/>
      </c>
    </row>
    <row r="1405">
      <c r="A1405" s="10" t="inlineStr">
        <is>
          <t>INV-70766</t>
        </is>
      </c>
      <c r="B1405" s="18" t="n">
        <v>46147</v>
      </c>
      <c r="C1405" s="10" t="inlineStr">
        <is>
          <t>C1215</t>
        </is>
      </c>
      <c r="D1405" s="10" t="inlineStr">
        <is>
          <t>loyal</t>
        </is>
      </c>
      <c r="E1405" s="10" t="inlineStr">
        <is>
          <t>Shopee</t>
        </is>
      </c>
      <c r="F1405" s="10" t="inlineStr">
        <is>
          <t>Jabodetabek</t>
        </is>
      </c>
      <c r="G1405" s="10" t="inlineStr">
        <is>
          <t>Rumah Tangga</t>
        </is>
      </c>
      <c r="H1405" s="10" t="inlineStr">
        <is>
          <t>Set Wadah Kedap</t>
        </is>
      </c>
      <c r="I1405" s="19" t="n">
        <v>2</v>
      </c>
      <c r="J1405" s="20" t="n">
        <v>135000</v>
      </c>
      <c r="K1405" s="20" t="n">
        <v>270000</v>
      </c>
      <c r="L1405" s="10">
        <f>IF($B1405="","",TEXT($B1405,"YYYY-MM"))</f>
        <v/>
      </c>
    </row>
    <row r="1406">
      <c r="A1406" s="10" t="inlineStr">
        <is>
          <t>INV-70668</t>
        </is>
      </c>
      <c r="B1406" s="18" t="n">
        <v>46147</v>
      </c>
      <c r="C1406" s="10" t="inlineStr">
        <is>
          <t>C1184</t>
        </is>
      </c>
      <c r="D1406" s="10" t="inlineStr">
        <is>
          <t>loyal</t>
        </is>
      </c>
      <c r="E1406" s="10" t="inlineStr">
        <is>
          <t>Tokopedia</t>
        </is>
      </c>
      <c r="F1406" s="10" t="inlineStr">
        <is>
          <t>Jawa Barat</t>
        </is>
      </c>
      <c r="G1406" s="10" t="inlineStr">
        <is>
          <t>Elektronik</t>
        </is>
      </c>
      <c r="H1406" s="10" t="inlineStr">
        <is>
          <t>Smartwatch</t>
        </is>
      </c>
      <c r="I1406" s="19" t="n">
        <v>1</v>
      </c>
      <c r="J1406" s="20" t="n">
        <v>450000</v>
      </c>
      <c r="K1406" s="20" t="n">
        <v>450000</v>
      </c>
      <c r="L1406" s="10">
        <f>IF($B1406="","",TEXT($B1406,"YYYY-MM"))</f>
        <v/>
      </c>
    </row>
    <row r="1407">
      <c r="A1407" s="10" t="inlineStr">
        <is>
          <t>INV-71432</t>
        </is>
      </c>
      <c r="B1407" s="18" t="n">
        <v>46148</v>
      </c>
      <c r="C1407" s="10" t="inlineStr">
        <is>
          <t>C1394</t>
        </is>
      </c>
      <c r="D1407" s="10" t="inlineStr">
        <is>
          <t>loyal</t>
        </is>
      </c>
      <c r="E1407" s="10" t="inlineStr">
        <is>
          <t>Tokopedia</t>
        </is>
      </c>
      <c r="F1407" s="10" t="inlineStr">
        <is>
          <t>Jabodetabek</t>
        </is>
      </c>
      <c r="G1407" s="10" t="inlineStr">
        <is>
          <t>Kecantikan</t>
        </is>
      </c>
      <c r="H1407" s="10" t="inlineStr">
        <is>
          <t>Masker Wajah (5s)</t>
        </is>
      </c>
      <c r="I1407" s="19" t="n">
        <v>1</v>
      </c>
      <c r="J1407" s="20" t="n">
        <v>55000</v>
      </c>
      <c r="K1407" s="20" t="n">
        <v>55000</v>
      </c>
      <c r="L1407" s="10">
        <f>IF($B1407="","",TEXT($B1407,"YYYY-MM"))</f>
        <v/>
      </c>
    </row>
    <row r="1408">
      <c r="A1408" s="10" t="inlineStr">
        <is>
          <t>INV-70332</t>
        </is>
      </c>
      <c r="B1408" s="18" t="n">
        <v>46148</v>
      </c>
      <c r="C1408" s="10" t="inlineStr">
        <is>
          <t>C1090</t>
        </is>
      </c>
      <c r="D1408" s="10" t="inlineStr">
        <is>
          <t>champion</t>
        </is>
      </c>
      <c r="E1408" s="10" t="inlineStr">
        <is>
          <t>Shopee</t>
        </is>
      </c>
      <c r="F1408" s="10" t="inlineStr">
        <is>
          <t>Sumatera</t>
        </is>
      </c>
      <c r="G1408" s="10" t="inlineStr">
        <is>
          <t>Elektronik</t>
        </is>
      </c>
      <c r="H1408" s="10" t="inlineStr">
        <is>
          <t>Smartwatch</t>
        </is>
      </c>
      <c r="I1408" s="19" t="n">
        <v>1</v>
      </c>
      <c r="J1408" s="20" t="n">
        <v>450000</v>
      </c>
      <c r="K1408" s="20" t="n">
        <v>450000</v>
      </c>
      <c r="L1408" s="10">
        <f>IF($B1408="","",TEXT($B1408,"YYYY-MM"))</f>
        <v/>
      </c>
    </row>
    <row r="1409">
      <c r="A1409" s="10" t="inlineStr">
        <is>
          <t>INV-70175</t>
        </is>
      </c>
      <c r="B1409" s="18" t="n">
        <v>46148</v>
      </c>
      <c r="C1409" s="10" t="inlineStr">
        <is>
          <t>C1050</t>
        </is>
      </c>
      <c r="D1409" s="10" t="inlineStr">
        <is>
          <t>regular</t>
        </is>
      </c>
      <c r="E1409" s="10" t="inlineStr">
        <is>
          <t>Tokopedia</t>
        </is>
      </c>
      <c r="F1409" s="10" t="inlineStr">
        <is>
          <t>Sumatera</t>
        </is>
      </c>
      <c r="G1409" s="10" t="inlineStr">
        <is>
          <t>Elektronik</t>
        </is>
      </c>
      <c r="H1409" s="10" t="inlineStr">
        <is>
          <t>Smartwatch</t>
        </is>
      </c>
      <c r="I1409" s="19" t="n">
        <v>1</v>
      </c>
      <c r="J1409" s="20" t="n">
        <v>450000</v>
      </c>
      <c r="K1409" s="20" t="n">
        <v>450000</v>
      </c>
      <c r="L1409" s="10">
        <f>IF($B1409="","",TEXT($B1409,"YYYY-MM"))</f>
        <v/>
      </c>
    </row>
    <row r="1410">
      <c r="A1410" s="10" t="inlineStr">
        <is>
          <t>INV-70528</t>
        </is>
      </c>
      <c r="B1410" s="18" t="n">
        <v>46148</v>
      </c>
      <c r="C1410" s="10" t="inlineStr">
        <is>
          <t>C1146</t>
        </is>
      </c>
      <c r="D1410" s="10" t="inlineStr">
        <is>
          <t>occasional</t>
        </is>
      </c>
      <c r="E1410" s="10" t="inlineStr">
        <is>
          <t>Offline Store</t>
        </is>
      </c>
      <c r="F1410" s="10" t="inlineStr">
        <is>
          <t>Lainnya</t>
        </is>
      </c>
      <c r="G1410" s="10" t="inlineStr">
        <is>
          <t>Kecantikan</t>
        </is>
      </c>
      <c r="H1410" s="10" t="inlineStr">
        <is>
          <t>Masker Wajah (5s)</t>
        </is>
      </c>
      <c r="I1410" s="19" t="n">
        <v>2</v>
      </c>
      <c r="J1410" s="20" t="n">
        <v>55000</v>
      </c>
      <c r="K1410" s="20" t="n">
        <v>110000</v>
      </c>
      <c r="L1410" s="10">
        <f>IF($B1410="","",TEXT($B1410,"YYYY-MM"))</f>
        <v/>
      </c>
    </row>
    <row r="1411">
      <c r="A1411" s="10" t="inlineStr">
        <is>
          <t>INV-71349</t>
        </is>
      </c>
      <c r="B1411" s="18" t="n">
        <v>46148</v>
      </c>
      <c r="C1411" s="10" t="inlineStr">
        <is>
          <t>C1371</t>
        </is>
      </c>
      <c r="D1411" s="10" t="inlineStr">
        <is>
          <t>regular</t>
        </is>
      </c>
      <c r="E1411" s="10" t="inlineStr">
        <is>
          <t>Shopee</t>
        </is>
      </c>
      <c r="F1411" s="10" t="inlineStr">
        <is>
          <t>Jawa Barat</t>
        </is>
      </c>
      <c r="G1411" s="10" t="inlineStr">
        <is>
          <t>Rumah Tangga</t>
        </is>
      </c>
      <c r="H1411" s="10" t="inlineStr">
        <is>
          <t>Set Wadah Kedap</t>
        </is>
      </c>
      <c r="I1411" s="19" t="n">
        <v>2</v>
      </c>
      <c r="J1411" s="20" t="n">
        <v>135000</v>
      </c>
      <c r="K1411" s="20" t="n">
        <v>270000</v>
      </c>
      <c r="L1411" s="10">
        <f>IF($B1411="","",TEXT($B1411,"YYYY-MM"))</f>
        <v/>
      </c>
    </row>
    <row r="1412">
      <c r="A1412" s="10" t="inlineStr">
        <is>
          <t>INV-71488</t>
        </is>
      </c>
      <c r="B1412" s="18" t="n">
        <v>46149</v>
      </c>
      <c r="C1412" s="10" t="inlineStr">
        <is>
          <t>C1409</t>
        </is>
      </c>
      <c r="D1412" s="10" t="inlineStr">
        <is>
          <t>loyal</t>
        </is>
      </c>
      <c r="E1412" s="10" t="inlineStr">
        <is>
          <t>Shopee</t>
        </is>
      </c>
      <c r="F1412" s="10" t="inlineStr">
        <is>
          <t>Jabodetabek</t>
        </is>
      </c>
      <c r="G1412" s="10" t="inlineStr">
        <is>
          <t>Rumah Tangga</t>
        </is>
      </c>
      <c r="H1412" s="10" t="inlineStr">
        <is>
          <t>Set Wadah Kedap</t>
        </is>
      </c>
      <c r="I1412" s="19" t="n">
        <v>2</v>
      </c>
      <c r="J1412" s="20" t="n">
        <v>135000</v>
      </c>
      <c r="K1412" s="20" t="n">
        <v>270000</v>
      </c>
      <c r="L1412" s="10">
        <f>IF($B1412="","",TEXT($B1412,"YYYY-MM"))</f>
        <v/>
      </c>
    </row>
    <row r="1413">
      <c r="A1413" s="10" t="inlineStr">
        <is>
          <t>INV-70539</t>
        </is>
      </c>
      <c r="B1413" s="18" t="n">
        <v>46149</v>
      </c>
      <c r="C1413" s="10" t="inlineStr">
        <is>
          <t>C1149</t>
        </is>
      </c>
      <c r="D1413" s="10" t="inlineStr">
        <is>
          <t>loyal</t>
        </is>
      </c>
      <c r="E1413" s="10" t="inlineStr">
        <is>
          <t>TikTok Shop</t>
        </is>
      </c>
      <c r="F1413" s="10" t="inlineStr">
        <is>
          <t>Lainnya</t>
        </is>
      </c>
      <c r="G1413" s="10" t="inlineStr">
        <is>
          <t>Elektronik</t>
        </is>
      </c>
      <c r="H1413" s="10" t="inlineStr">
        <is>
          <t>Keyboard Mekanik</t>
        </is>
      </c>
      <c r="I1413" s="19" t="n">
        <v>1</v>
      </c>
      <c r="J1413" s="20" t="n">
        <v>380000</v>
      </c>
      <c r="K1413" s="20" t="n">
        <v>380000</v>
      </c>
      <c r="L1413" s="10">
        <f>IF($B1413="","",TEXT($B1413,"YYYY-MM"))</f>
        <v/>
      </c>
    </row>
    <row r="1414">
      <c r="A1414" s="10" t="inlineStr">
        <is>
          <t>INV-70414</t>
        </is>
      </c>
      <c r="B1414" s="18" t="n">
        <v>46149</v>
      </c>
      <c r="C1414" s="10" t="inlineStr">
        <is>
          <t>C1114</t>
        </is>
      </c>
      <c r="D1414" s="10" t="inlineStr">
        <is>
          <t>occasional</t>
        </is>
      </c>
      <c r="E1414" s="10" t="inlineStr">
        <is>
          <t>TikTok Shop</t>
        </is>
      </c>
      <c r="F1414" s="10" t="inlineStr">
        <is>
          <t>Jabodetabek</t>
        </is>
      </c>
      <c r="G1414" s="10" t="inlineStr">
        <is>
          <t>Elektronik</t>
        </is>
      </c>
      <c r="H1414" s="10" t="inlineStr">
        <is>
          <t>Webcam HD</t>
        </is>
      </c>
      <c r="I1414" s="19" t="n">
        <v>2</v>
      </c>
      <c r="J1414" s="20" t="n">
        <v>210000</v>
      </c>
      <c r="K1414" s="20" t="n">
        <v>420000</v>
      </c>
      <c r="L1414" s="10">
        <f>IF($B1414="","",TEXT($B1414,"YYYY-MM"))</f>
        <v/>
      </c>
    </row>
    <row r="1415">
      <c r="A1415" s="10" t="inlineStr">
        <is>
          <t>INV-70840</t>
        </is>
      </c>
      <c r="B1415" s="18" t="n">
        <v>46150</v>
      </c>
      <c r="C1415" s="10" t="inlineStr">
        <is>
          <t>C1237</t>
        </is>
      </c>
      <c r="D1415" s="10" t="inlineStr">
        <is>
          <t>champion</t>
        </is>
      </c>
      <c r="E1415" s="10" t="inlineStr">
        <is>
          <t>Shopee</t>
        </is>
      </c>
      <c r="F1415" s="10" t="inlineStr">
        <is>
          <t>Jabodetabek</t>
        </is>
      </c>
      <c r="G1415" s="10" t="inlineStr">
        <is>
          <t>Kecantikan</t>
        </is>
      </c>
      <c r="H1415" s="10" t="inlineStr">
        <is>
          <t>Masker Wajah (5s)</t>
        </is>
      </c>
      <c r="I1415" s="19" t="n">
        <v>1</v>
      </c>
      <c r="J1415" s="20" t="n">
        <v>55000</v>
      </c>
      <c r="K1415" s="20" t="n">
        <v>55000</v>
      </c>
      <c r="L1415" s="10">
        <f>IF($B1415="","",TEXT($B1415,"YYYY-MM"))</f>
        <v/>
      </c>
    </row>
    <row r="1416">
      <c r="A1416" s="10" t="inlineStr">
        <is>
          <t>INV-70983</t>
        </is>
      </c>
      <c r="B1416" s="18" t="n">
        <v>46150</v>
      </c>
      <c r="C1416" s="10" t="inlineStr">
        <is>
          <t>C1283</t>
        </is>
      </c>
      <c r="D1416" s="10" t="inlineStr">
        <is>
          <t>loyal</t>
        </is>
      </c>
      <c r="E1416" s="10" t="inlineStr">
        <is>
          <t>Tokopedia</t>
        </is>
      </c>
      <c r="F1416" s="10" t="inlineStr">
        <is>
          <t>Jabodetabek</t>
        </is>
      </c>
      <c r="G1416" s="10" t="inlineStr">
        <is>
          <t>Elektronik</t>
        </is>
      </c>
      <c r="H1416" s="10" t="inlineStr">
        <is>
          <t>Power Bank 20K</t>
        </is>
      </c>
      <c r="I1416" s="19" t="n">
        <v>1</v>
      </c>
      <c r="J1416" s="20" t="n">
        <v>185000</v>
      </c>
      <c r="K1416" s="20" t="n">
        <v>185000</v>
      </c>
      <c r="L1416" s="10">
        <f>IF($B1416="","",TEXT($B1416,"YYYY-MM"))</f>
        <v/>
      </c>
    </row>
    <row r="1417">
      <c r="A1417" s="10" t="inlineStr">
        <is>
          <t>INV-70732</t>
        </is>
      </c>
      <c r="B1417" s="18" t="n">
        <v>46150</v>
      </c>
      <c r="C1417" s="10" t="inlineStr">
        <is>
          <t>C1206</t>
        </is>
      </c>
      <c r="D1417" s="10" t="inlineStr">
        <is>
          <t>regular</t>
        </is>
      </c>
      <c r="E1417" s="10" t="inlineStr">
        <is>
          <t>Offline Store</t>
        </is>
      </c>
      <c r="F1417" s="10" t="inlineStr">
        <is>
          <t>Jawa Timur</t>
        </is>
      </c>
      <c r="G1417" s="10" t="inlineStr">
        <is>
          <t>Rumah Tangga</t>
        </is>
      </c>
      <c r="H1417" s="10" t="inlineStr">
        <is>
          <t>Set Wadah Kedap</t>
        </is>
      </c>
      <c r="I1417" s="19" t="n">
        <v>1</v>
      </c>
      <c r="J1417" s="20" t="n">
        <v>135000</v>
      </c>
      <c r="K1417" s="20" t="n">
        <v>135000</v>
      </c>
      <c r="L1417" s="10">
        <f>IF($B1417="","",TEXT($B1417,"YYYY-MM"))</f>
        <v/>
      </c>
    </row>
    <row r="1418">
      <c r="A1418" s="10" t="inlineStr">
        <is>
          <t>INV-70719</t>
        </is>
      </c>
      <c r="B1418" s="18" t="n">
        <v>46150</v>
      </c>
      <c r="C1418" s="10" t="inlineStr">
        <is>
          <t>C1199</t>
        </is>
      </c>
      <c r="D1418" s="10" t="inlineStr">
        <is>
          <t>loyal</t>
        </is>
      </c>
      <c r="E1418" s="10" t="inlineStr">
        <is>
          <t>Tokopedia</t>
        </is>
      </c>
      <c r="F1418" s="10" t="inlineStr">
        <is>
          <t>Jawa Tengah</t>
        </is>
      </c>
      <c r="G1418" s="10" t="inlineStr">
        <is>
          <t>Rumah Tangga</t>
        </is>
      </c>
      <c r="H1418" s="10" t="inlineStr">
        <is>
          <t>Set Wadah Kedap</t>
        </is>
      </c>
      <c r="I1418" s="19" t="n">
        <v>1</v>
      </c>
      <c r="J1418" s="20" t="n">
        <v>135000</v>
      </c>
      <c r="K1418" s="20" t="n">
        <v>135000</v>
      </c>
      <c r="L1418" s="10">
        <f>IF($B1418="","",TEXT($B1418,"YYYY-MM"))</f>
        <v/>
      </c>
    </row>
    <row r="1419">
      <c r="A1419" s="10" t="inlineStr">
        <is>
          <t>INV-70889</t>
        </is>
      </c>
      <c r="B1419" s="18" t="n">
        <v>46151</v>
      </c>
      <c r="C1419" s="10" t="inlineStr">
        <is>
          <t>C1249</t>
        </is>
      </c>
      <c r="D1419" s="10" t="inlineStr">
        <is>
          <t>regular</t>
        </is>
      </c>
      <c r="E1419" s="10" t="inlineStr">
        <is>
          <t>Offline Store</t>
        </is>
      </c>
      <c r="F1419" s="10" t="inlineStr">
        <is>
          <t>Jawa Timur</t>
        </is>
      </c>
      <c r="G1419" s="10" t="inlineStr">
        <is>
          <t>Elektronik</t>
        </is>
      </c>
      <c r="H1419" s="10" t="inlineStr">
        <is>
          <t>Webcam HD</t>
        </is>
      </c>
      <c r="I1419" s="19" t="n">
        <v>1</v>
      </c>
      <c r="J1419" s="20" t="n">
        <v>210000</v>
      </c>
      <c r="K1419" s="20" t="n">
        <v>210000</v>
      </c>
      <c r="L1419" s="10">
        <f>IF($B1419="","",TEXT($B1419,"YYYY-MM"))</f>
        <v/>
      </c>
    </row>
    <row r="1420">
      <c r="A1420" s="10" t="inlineStr">
        <is>
          <t>INV-70845</t>
        </is>
      </c>
      <c r="B1420" s="18" t="n">
        <v>46151</v>
      </c>
      <c r="C1420" s="10" t="inlineStr">
        <is>
          <t>C1237</t>
        </is>
      </c>
      <c r="D1420" s="10" t="inlineStr">
        <is>
          <t>champion</t>
        </is>
      </c>
      <c r="E1420" s="10" t="inlineStr">
        <is>
          <t>TikTok Shop</t>
        </is>
      </c>
      <c r="F1420" s="10" t="inlineStr">
        <is>
          <t>Jabodetabek</t>
        </is>
      </c>
      <c r="G1420" s="10" t="inlineStr">
        <is>
          <t>Rumah Tangga</t>
        </is>
      </c>
      <c r="H1420" s="10" t="inlineStr">
        <is>
          <t>Diffuser Aroma</t>
        </is>
      </c>
      <c r="I1420" s="19" t="n">
        <v>1</v>
      </c>
      <c r="J1420" s="20" t="n">
        <v>195000</v>
      </c>
      <c r="K1420" s="20" t="n">
        <v>195000</v>
      </c>
      <c r="L1420" s="10">
        <f>IF($B1420="","",TEXT($B1420,"YYYY-MM"))</f>
        <v/>
      </c>
    </row>
    <row r="1421">
      <c r="A1421" s="10" t="inlineStr">
        <is>
          <t>INV-71360</t>
        </is>
      </c>
      <c r="B1421" s="18" t="n">
        <v>46151</v>
      </c>
      <c r="C1421" s="10" t="inlineStr">
        <is>
          <t>C1377</t>
        </is>
      </c>
      <c r="D1421" s="10" t="inlineStr">
        <is>
          <t>champion</t>
        </is>
      </c>
      <c r="E1421" s="10" t="inlineStr">
        <is>
          <t>Shopee</t>
        </is>
      </c>
      <c r="F1421" s="10" t="inlineStr">
        <is>
          <t>Jabodetabek</t>
        </is>
      </c>
      <c r="G1421" s="10" t="inlineStr">
        <is>
          <t>Rumah Tangga</t>
        </is>
      </c>
      <c r="H1421" s="10" t="inlineStr">
        <is>
          <t>Set Wadah Kedap</t>
        </is>
      </c>
      <c r="I1421" s="19" t="n">
        <v>1</v>
      </c>
      <c r="J1421" s="20" t="n">
        <v>135000</v>
      </c>
      <c r="K1421" s="20" t="n">
        <v>135000</v>
      </c>
      <c r="L1421" s="10">
        <f>IF($B1421="","",TEXT($B1421,"YYYY-MM"))</f>
        <v/>
      </c>
    </row>
    <row r="1422">
      <c r="A1422" s="10" t="inlineStr">
        <is>
          <t>INV-70720</t>
        </is>
      </c>
      <c r="B1422" s="18" t="n">
        <v>46152</v>
      </c>
      <c r="C1422" s="10" t="inlineStr">
        <is>
          <t>C1199</t>
        </is>
      </c>
      <c r="D1422" s="10" t="inlineStr">
        <is>
          <t>loyal</t>
        </is>
      </c>
      <c r="E1422" s="10" t="inlineStr">
        <is>
          <t>Offline Store</t>
        </is>
      </c>
      <c r="F1422" s="10" t="inlineStr">
        <is>
          <t>Jawa Tengah</t>
        </is>
      </c>
      <c r="G1422" s="10" t="inlineStr">
        <is>
          <t>Kecantikan</t>
        </is>
      </c>
      <c r="H1422" s="10" t="inlineStr">
        <is>
          <t>Masker Wajah (5s)</t>
        </is>
      </c>
      <c r="I1422" s="19" t="n">
        <v>1</v>
      </c>
      <c r="J1422" s="20" t="n">
        <v>55000</v>
      </c>
      <c r="K1422" s="20" t="n">
        <v>55000</v>
      </c>
      <c r="L1422" s="10">
        <f>IF($B1422="","",TEXT($B1422,"YYYY-MM"))</f>
        <v/>
      </c>
    </row>
    <row r="1423">
      <c r="A1423" s="10" t="inlineStr">
        <is>
          <t>INV-70926</t>
        </is>
      </c>
      <c r="B1423" s="18" t="n">
        <v>46152</v>
      </c>
      <c r="C1423" s="10" t="inlineStr">
        <is>
          <t>C1261</t>
        </is>
      </c>
      <c r="D1423" s="10" t="inlineStr">
        <is>
          <t>champion</t>
        </is>
      </c>
      <c r="E1423" s="10" t="inlineStr">
        <is>
          <t>TikTok Shop</t>
        </is>
      </c>
      <c r="F1423" s="10" t="inlineStr">
        <is>
          <t>Jawa Barat</t>
        </is>
      </c>
      <c r="G1423" s="10" t="inlineStr">
        <is>
          <t>Kecantikan</t>
        </is>
      </c>
      <c r="H1423" s="10" t="inlineStr">
        <is>
          <t>Masker Wajah (5s)</t>
        </is>
      </c>
      <c r="I1423" s="19" t="n">
        <v>2</v>
      </c>
      <c r="J1423" s="20" t="n">
        <v>55000</v>
      </c>
      <c r="K1423" s="20" t="n">
        <v>110000</v>
      </c>
      <c r="L1423" s="10">
        <f>IF($B1423="","",TEXT($B1423,"YYYY-MM"))</f>
        <v/>
      </c>
    </row>
    <row r="1424">
      <c r="A1424" s="10" t="inlineStr">
        <is>
          <t>INV-70218</t>
        </is>
      </c>
      <c r="B1424" s="18" t="n">
        <v>46152</v>
      </c>
      <c r="C1424" s="10" t="inlineStr">
        <is>
          <t>C1061</t>
        </is>
      </c>
      <c r="D1424" s="10" t="inlineStr">
        <is>
          <t>occasional</t>
        </is>
      </c>
      <c r="E1424" s="10" t="inlineStr">
        <is>
          <t>Shopee</t>
        </is>
      </c>
      <c r="F1424" s="10" t="inlineStr">
        <is>
          <t>Sumatera</t>
        </is>
      </c>
      <c r="G1424" s="10" t="inlineStr">
        <is>
          <t>Rumah Tangga</t>
        </is>
      </c>
      <c r="H1424" s="10" t="inlineStr">
        <is>
          <t>Karpet Bulu</t>
        </is>
      </c>
      <c r="I1424" s="19" t="n">
        <v>2</v>
      </c>
      <c r="J1424" s="20" t="n">
        <v>240000</v>
      </c>
      <c r="K1424" s="20" t="n">
        <v>480000</v>
      </c>
      <c r="L1424" s="10">
        <f>IF($B1424="","",TEXT($B1424,"YYYY-MM"))</f>
        <v/>
      </c>
    </row>
    <row r="1425">
      <c r="A1425" s="10" t="inlineStr">
        <is>
          <t>INV-71333</t>
        </is>
      </c>
      <c r="B1425" s="18" t="n">
        <v>46152</v>
      </c>
      <c r="C1425" s="10" t="inlineStr">
        <is>
          <t>C1368</t>
        </is>
      </c>
      <c r="D1425" s="10" t="inlineStr">
        <is>
          <t>regular</t>
        </is>
      </c>
      <c r="E1425" s="10" t="inlineStr">
        <is>
          <t>TikTok Shop</t>
        </is>
      </c>
      <c r="F1425" s="10" t="inlineStr">
        <is>
          <t>Jawa Tengah</t>
        </is>
      </c>
      <c r="G1425" s="10" t="inlineStr">
        <is>
          <t>Rumah Tangga</t>
        </is>
      </c>
      <c r="H1425" s="10" t="inlineStr">
        <is>
          <t>Set Wadah Kedap</t>
        </is>
      </c>
      <c r="I1425" s="19" t="n">
        <v>1</v>
      </c>
      <c r="J1425" s="20" t="n">
        <v>135000</v>
      </c>
      <c r="K1425" s="20" t="n">
        <v>135000</v>
      </c>
      <c r="L1425" s="10">
        <f>IF($B1425="","",TEXT($B1425,"YYYY-MM"))</f>
        <v/>
      </c>
    </row>
    <row r="1426">
      <c r="A1426" s="10" t="inlineStr">
        <is>
          <t>INV-71071</t>
        </is>
      </c>
      <c r="B1426" s="18" t="n">
        <v>46152</v>
      </c>
      <c r="C1426" s="10" t="inlineStr">
        <is>
          <t>C1302</t>
        </is>
      </c>
      <c r="D1426" s="10" t="inlineStr">
        <is>
          <t>champion</t>
        </is>
      </c>
      <c r="E1426" s="10" t="inlineStr">
        <is>
          <t>Shopee</t>
        </is>
      </c>
      <c r="F1426" s="10" t="inlineStr">
        <is>
          <t>Sumatera</t>
        </is>
      </c>
      <c r="G1426" s="10" t="inlineStr">
        <is>
          <t>Rumah Tangga</t>
        </is>
      </c>
      <c r="H1426" s="10" t="inlineStr">
        <is>
          <t>Karpet Bulu</t>
        </is>
      </c>
      <c r="I1426" s="19" t="n">
        <v>3</v>
      </c>
      <c r="J1426" s="20" t="n">
        <v>240000</v>
      </c>
      <c r="K1426" s="20" t="n">
        <v>720000</v>
      </c>
      <c r="L1426" s="10">
        <f>IF($B1426="","",TEXT($B1426,"YYYY-MM"))</f>
        <v/>
      </c>
    </row>
    <row r="1427">
      <c r="A1427" s="10" t="inlineStr">
        <is>
          <t>INV-70400</t>
        </is>
      </c>
      <c r="B1427" s="18" t="n">
        <v>46154</v>
      </c>
      <c r="C1427" s="10" t="inlineStr">
        <is>
          <t>C1112</t>
        </is>
      </c>
      <c r="D1427" s="10" t="inlineStr">
        <is>
          <t>loyal</t>
        </is>
      </c>
      <c r="E1427" s="10" t="inlineStr">
        <is>
          <t>Tokopedia</t>
        </is>
      </c>
      <c r="F1427" s="10" t="inlineStr">
        <is>
          <t>Jawa Barat</t>
        </is>
      </c>
      <c r="G1427" s="10" t="inlineStr">
        <is>
          <t>Rumah Tangga</t>
        </is>
      </c>
      <c r="H1427" s="10" t="inlineStr">
        <is>
          <t>Set Wadah Kedap</t>
        </is>
      </c>
      <c r="I1427" s="19" t="n">
        <v>1</v>
      </c>
      <c r="J1427" s="20" t="n">
        <v>135000</v>
      </c>
      <c r="K1427" s="20" t="n">
        <v>135000</v>
      </c>
      <c r="L1427" s="10">
        <f>IF($B1427="","",TEXT($B1427,"YYYY-MM"))</f>
        <v/>
      </c>
    </row>
    <row r="1428">
      <c r="A1428" s="10" t="inlineStr">
        <is>
          <t>INV-71407</t>
        </is>
      </c>
      <c r="B1428" s="18" t="n">
        <v>46154</v>
      </c>
      <c r="C1428" s="10" t="inlineStr">
        <is>
          <t>C1389</t>
        </is>
      </c>
      <c r="D1428" s="10" t="inlineStr">
        <is>
          <t>regular</t>
        </is>
      </c>
      <c r="E1428" s="10" t="inlineStr">
        <is>
          <t>Tokopedia</t>
        </is>
      </c>
      <c r="F1428" s="10" t="inlineStr">
        <is>
          <t>Jawa Tengah</t>
        </is>
      </c>
      <c r="G1428" s="10" t="inlineStr">
        <is>
          <t>Makanan</t>
        </is>
      </c>
      <c r="H1428" s="10" t="inlineStr">
        <is>
          <t>Granola 500g</t>
        </is>
      </c>
      <c r="I1428" s="19" t="n">
        <v>1</v>
      </c>
      <c r="J1428" s="20" t="n">
        <v>92000</v>
      </c>
      <c r="K1428" s="20" t="n">
        <v>92000</v>
      </c>
      <c r="L1428" s="10">
        <f>IF($B1428="","",TEXT($B1428,"YYYY-MM"))</f>
        <v/>
      </c>
    </row>
    <row r="1429">
      <c r="A1429" s="10" t="inlineStr">
        <is>
          <t>INV-70455</t>
        </is>
      </c>
      <c r="B1429" s="18" t="n">
        <v>46154</v>
      </c>
      <c r="C1429" s="10" t="inlineStr">
        <is>
          <t>C1130</t>
        </is>
      </c>
      <c r="D1429" s="10" t="inlineStr">
        <is>
          <t>loyal</t>
        </is>
      </c>
      <c r="E1429" s="10" t="inlineStr">
        <is>
          <t>Offline Store</t>
        </is>
      </c>
      <c r="F1429" s="10" t="inlineStr">
        <is>
          <t>Jawa Tengah</t>
        </is>
      </c>
      <c r="G1429" s="10" t="inlineStr">
        <is>
          <t>Rumah Tangga</t>
        </is>
      </c>
      <c r="H1429" s="10" t="inlineStr">
        <is>
          <t>Set Wadah Kedap</t>
        </is>
      </c>
      <c r="I1429" s="19" t="n">
        <v>2</v>
      </c>
      <c r="J1429" s="20" t="n">
        <v>135000</v>
      </c>
      <c r="K1429" s="20" t="n">
        <v>270000</v>
      </c>
      <c r="L1429" s="10">
        <f>IF($B1429="","",TEXT($B1429,"YYYY-MM"))</f>
        <v/>
      </c>
    </row>
    <row r="1430">
      <c r="A1430" s="10" t="inlineStr">
        <is>
          <t>INV-70316</t>
        </is>
      </c>
      <c r="B1430" s="18" t="n">
        <v>46154</v>
      </c>
      <c r="C1430" s="10" t="inlineStr">
        <is>
          <t>C1088</t>
        </is>
      </c>
      <c r="D1430" s="10" t="inlineStr">
        <is>
          <t>champion</t>
        </is>
      </c>
      <c r="E1430" s="10" t="inlineStr">
        <is>
          <t>TikTok Shop</t>
        </is>
      </c>
      <c r="F1430" s="10" t="inlineStr">
        <is>
          <t>Jawa Barat</t>
        </is>
      </c>
      <c r="G1430" s="10" t="inlineStr">
        <is>
          <t>Rumah Tangga</t>
        </is>
      </c>
      <c r="H1430" s="10" t="inlineStr">
        <is>
          <t>Set Wadah Kedap</t>
        </is>
      </c>
      <c r="I1430" s="19" t="n">
        <v>3</v>
      </c>
      <c r="J1430" s="20" t="n">
        <v>135000</v>
      </c>
      <c r="K1430" s="20" t="n">
        <v>405000</v>
      </c>
      <c r="L1430" s="10">
        <f>IF($B1430="","",TEXT($B1430,"YYYY-MM"))</f>
        <v/>
      </c>
    </row>
    <row r="1431">
      <c r="A1431" s="10" t="inlineStr">
        <is>
          <t>INV-70950</t>
        </is>
      </c>
      <c r="B1431" s="18" t="n">
        <v>46154</v>
      </c>
      <c r="C1431" s="10" t="inlineStr">
        <is>
          <t>C1269</t>
        </is>
      </c>
      <c r="D1431" s="10" t="inlineStr">
        <is>
          <t>onetime</t>
        </is>
      </c>
      <c r="E1431" s="10" t="inlineStr">
        <is>
          <t>Offline Store</t>
        </is>
      </c>
      <c r="F1431" s="10" t="inlineStr">
        <is>
          <t>Sumatera</t>
        </is>
      </c>
      <c r="G1431" s="10" t="inlineStr">
        <is>
          <t>Rumah Tangga</t>
        </is>
      </c>
      <c r="H1431" s="10" t="inlineStr">
        <is>
          <t>Diffuser Aroma</t>
        </is>
      </c>
      <c r="I1431" s="19" t="n">
        <v>2</v>
      </c>
      <c r="J1431" s="20" t="n">
        <v>195000</v>
      </c>
      <c r="K1431" s="20" t="n">
        <v>390000</v>
      </c>
      <c r="L1431" s="10">
        <f>IF($B1431="","",TEXT($B1431,"YYYY-MM"))</f>
        <v/>
      </c>
    </row>
    <row r="1432">
      <c r="A1432" s="10" t="inlineStr">
        <is>
          <t>INV-70268</t>
        </is>
      </c>
      <c r="B1432" s="18" t="n">
        <v>46154</v>
      </c>
      <c r="C1432" s="10" t="inlineStr">
        <is>
          <t>C1075</t>
        </is>
      </c>
      <c r="D1432" s="10" t="inlineStr">
        <is>
          <t>occasional</t>
        </is>
      </c>
      <c r="E1432" s="10" t="inlineStr">
        <is>
          <t>Shopee</t>
        </is>
      </c>
      <c r="F1432" s="10" t="inlineStr">
        <is>
          <t>Jabodetabek</t>
        </is>
      </c>
      <c r="G1432" s="10" t="inlineStr">
        <is>
          <t>Elektronik</t>
        </is>
      </c>
      <c r="H1432" s="10" t="inlineStr">
        <is>
          <t>Keyboard Mekanik</t>
        </is>
      </c>
      <c r="I1432" s="19" t="n">
        <v>1</v>
      </c>
      <c r="J1432" s="20" t="n">
        <v>380000</v>
      </c>
      <c r="K1432" s="20" t="n">
        <v>380000</v>
      </c>
      <c r="L1432" s="10">
        <f>IF($B1432="","",TEXT($B1432,"YYYY-MM"))</f>
        <v/>
      </c>
    </row>
    <row r="1433">
      <c r="A1433" s="10" t="inlineStr">
        <is>
          <t>INV-70553</t>
        </is>
      </c>
      <c r="B1433" s="18" t="n">
        <v>46155</v>
      </c>
      <c r="C1433" s="10" t="inlineStr">
        <is>
          <t>C1151</t>
        </is>
      </c>
      <c r="D1433" s="10" t="inlineStr">
        <is>
          <t>regular</t>
        </is>
      </c>
      <c r="E1433" s="10" t="inlineStr">
        <is>
          <t>Shopee</t>
        </is>
      </c>
      <c r="F1433" s="10" t="inlineStr">
        <is>
          <t>Jawa Barat</t>
        </is>
      </c>
      <c r="G1433" s="10" t="inlineStr">
        <is>
          <t>Fashion</t>
        </is>
      </c>
      <c r="H1433" s="10" t="inlineStr">
        <is>
          <t>Dress Casual</t>
        </is>
      </c>
      <c r="I1433" s="19" t="n">
        <v>1</v>
      </c>
      <c r="J1433" s="20" t="n">
        <v>225000</v>
      </c>
      <c r="K1433" s="20" t="n">
        <v>225000</v>
      </c>
      <c r="L1433" s="10">
        <f>IF($B1433="","",TEXT($B1433,"YYYY-MM"))</f>
        <v/>
      </c>
    </row>
    <row r="1434">
      <c r="A1434" s="10" t="inlineStr">
        <is>
          <t>INV-70614</t>
        </is>
      </c>
      <c r="B1434" s="18" t="n">
        <v>46155</v>
      </c>
      <c r="C1434" s="10" t="inlineStr">
        <is>
          <t>C1166</t>
        </is>
      </c>
      <c r="D1434" s="10" t="inlineStr">
        <is>
          <t>occasional</t>
        </is>
      </c>
      <c r="E1434" s="10" t="inlineStr">
        <is>
          <t>TikTok Shop</t>
        </is>
      </c>
      <c r="F1434" s="10" t="inlineStr">
        <is>
          <t>Jawa Timur</t>
        </is>
      </c>
      <c r="G1434" s="10" t="inlineStr">
        <is>
          <t>Fashion</t>
        </is>
      </c>
      <c r="H1434" s="10" t="inlineStr">
        <is>
          <t>Kemeja Linen</t>
        </is>
      </c>
      <c r="I1434" s="19" t="n">
        <v>1</v>
      </c>
      <c r="J1434" s="20" t="n">
        <v>185000</v>
      </c>
      <c r="K1434" s="20" t="n">
        <v>185000</v>
      </c>
      <c r="L1434" s="10">
        <f>IF($B1434="","",TEXT($B1434,"YYYY-MM"))</f>
        <v/>
      </c>
    </row>
    <row r="1435">
      <c r="A1435" s="10" t="inlineStr">
        <is>
          <t>INV-71392</t>
        </is>
      </c>
      <c r="B1435" s="18" t="n">
        <v>46155</v>
      </c>
      <c r="C1435" s="10" t="inlineStr">
        <is>
          <t>C1386</t>
        </is>
      </c>
      <c r="D1435" s="10" t="inlineStr">
        <is>
          <t>loyal</t>
        </is>
      </c>
      <c r="E1435" s="10" t="inlineStr">
        <is>
          <t>Shopee</t>
        </is>
      </c>
      <c r="F1435" s="10" t="inlineStr">
        <is>
          <t>Jawa Barat</t>
        </is>
      </c>
      <c r="G1435" s="10" t="inlineStr">
        <is>
          <t>Rumah Tangga</t>
        </is>
      </c>
      <c r="H1435" s="10" t="inlineStr">
        <is>
          <t>Set Wadah Kedap</t>
        </is>
      </c>
      <c r="I1435" s="19" t="n">
        <v>4</v>
      </c>
      <c r="J1435" s="20" t="n">
        <v>135000</v>
      </c>
      <c r="K1435" s="20" t="n">
        <v>540000</v>
      </c>
      <c r="L1435" s="10">
        <f>IF($B1435="","",TEXT($B1435,"YYYY-MM"))</f>
        <v/>
      </c>
    </row>
    <row r="1436">
      <c r="A1436" s="10" t="inlineStr">
        <is>
          <t>INV-70678</t>
        </is>
      </c>
      <c r="B1436" s="18" t="n">
        <v>46156</v>
      </c>
      <c r="C1436" s="10" t="inlineStr">
        <is>
          <t>C1186</t>
        </is>
      </c>
      <c r="D1436" s="10" t="inlineStr">
        <is>
          <t>loyal</t>
        </is>
      </c>
      <c r="E1436" s="10" t="inlineStr">
        <is>
          <t>Tokopedia</t>
        </is>
      </c>
      <c r="F1436" s="10" t="inlineStr">
        <is>
          <t>Sumatera</t>
        </is>
      </c>
      <c r="G1436" s="10" t="inlineStr">
        <is>
          <t>Rumah Tangga</t>
        </is>
      </c>
      <c r="H1436" s="10" t="inlineStr">
        <is>
          <t>Set Wadah Kedap</t>
        </is>
      </c>
      <c r="I1436" s="19" t="n">
        <v>1</v>
      </c>
      <c r="J1436" s="20" t="n">
        <v>135000</v>
      </c>
      <c r="K1436" s="20" t="n">
        <v>135000</v>
      </c>
      <c r="L1436" s="10">
        <f>IF($B1436="","",TEXT($B1436,"YYYY-MM"))</f>
        <v/>
      </c>
    </row>
    <row r="1437">
      <c r="A1437" s="10" t="inlineStr">
        <is>
          <t>INV-71003</t>
        </is>
      </c>
      <c r="B1437" s="18" t="n">
        <v>46157</v>
      </c>
      <c r="C1437" s="10" t="inlineStr">
        <is>
          <t>C1287</t>
        </is>
      </c>
      <c r="D1437" s="10" t="inlineStr">
        <is>
          <t>champion</t>
        </is>
      </c>
      <c r="E1437" s="10" t="inlineStr">
        <is>
          <t>Shopee</t>
        </is>
      </c>
      <c r="F1437" s="10" t="inlineStr">
        <is>
          <t>Sumatera</t>
        </is>
      </c>
      <c r="G1437" s="10" t="inlineStr">
        <is>
          <t>Rumah Tangga</t>
        </is>
      </c>
      <c r="H1437" s="10" t="inlineStr">
        <is>
          <t>Set Wadah Kedap</t>
        </is>
      </c>
      <c r="I1437" s="19" t="n">
        <v>1</v>
      </c>
      <c r="J1437" s="20" t="n">
        <v>135000</v>
      </c>
      <c r="K1437" s="20" t="n">
        <v>135000</v>
      </c>
      <c r="L1437" s="10">
        <f>IF($B1437="","",TEXT($B1437,"YYYY-MM"))</f>
        <v/>
      </c>
    </row>
    <row r="1438">
      <c r="A1438" s="10" t="inlineStr">
        <is>
          <t>INV-70712</t>
        </is>
      </c>
      <c r="B1438" s="18" t="n">
        <v>46157</v>
      </c>
      <c r="C1438" s="10" t="inlineStr">
        <is>
          <t>C1197</t>
        </is>
      </c>
      <c r="D1438" s="10" t="inlineStr">
        <is>
          <t>occasional</t>
        </is>
      </c>
      <c r="E1438" s="10" t="inlineStr">
        <is>
          <t>Offline Store</t>
        </is>
      </c>
      <c r="F1438" s="10" t="inlineStr">
        <is>
          <t>Sumatera</t>
        </is>
      </c>
      <c r="G1438" s="10" t="inlineStr">
        <is>
          <t>Elektronik</t>
        </is>
      </c>
      <c r="H1438" s="10" t="inlineStr">
        <is>
          <t>Webcam HD</t>
        </is>
      </c>
      <c r="I1438" s="19" t="n">
        <v>3</v>
      </c>
      <c r="J1438" s="20" t="n">
        <v>210000</v>
      </c>
      <c r="K1438" s="20" t="n">
        <v>630000</v>
      </c>
      <c r="L1438" s="10">
        <f>IF($B1438="","",TEXT($B1438,"YYYY-MM"))</f>
        <v/>
      </c>
    </row>
    <row r="1439">
      <c r="A1439" s="10" t="inlineStr">
        <is>
          <t>INV-70241</t>
        </is>
      </c>
      <c r="B1439" s="18" t="n">
        <v>46157</v>
      </c>
      <c r="C1439" s="10" t="inlineStr">
        <is>
          <t>C1069</t>
        </is>
      </c>
      <c r="D1439" s="10" t="inlineStr">
        <is>
          <t>loyal</t>
        </is>
      </c>
      <c r="E1439" s="10" t="inlineStr">
        <is>
          <t>Shopee</t>
        </is>
      </c>
      <c r="F1439" s="10" t="inlineStr">
        <is>
          <t>Lainnya</t>
        </is>
      </c>
      <c r="G1439" s="10" t="inlineStr">
        <is>
          <t>Elektronik</t>
        </is>
      </c>
      <c r="H1439" s="10" t="inlineStr">
        <is>
          <t>Webcam HD</t>
        </is>
      </c>
      <c r="I1439" s="19" t="n">
        <v>4</v>
      </c>
      <c r="J1439" s="20" t="n">
        <v>210000</v>
      </c>
      <c r="K1439" s="20" t="n">
        <v>840000</v>
      </c>
      <c r="L1439" s="10">
        <f>IF($B1439="","",TEXT($B1439,"YYYY-MM"))</f>
        <v/>
      </c>
    </row>
    <row r="1440">
      <c r="A1440" s="10" t="inlineStr">
        <is>
          <t>INV-70276</t>
        </is>
      </c>
      <c r="B1440" s="18" t="n">
        <v>46157</v>
      </c>
      <c r="C1440" s="10" t="inlineStr">
        <is>
          <t>C1078</t>
        </is>
      </c>
      <c r="D1440" s="10" t="inlineStr">
        <is>
          <t>regular</t>
        </is>
      </c>
      <c r="E1440" s="10" t="inlineStr">
        <is>
          <t>Tokopedia</t>
        </is>
      </c>
      <c r="F1440" s="10" t="inlineStr">
        <is>
          <t>Jawa Tengah</t>
        </is>
      </c>
      <c r="G1440" s="10" t="inlineStr">
        <is>
          <t>Rumah Tangga</t>
        </is>
      </c>
      <c r="H1440" s="10" t="inlineStr">
        <is>
          <t>Set Wadah Kedap</t>
        </is>
      </c>
      <c r="I1440" s="19" t="n">
        <v>1</v>
      </c>
      <c r="J1440" s="20" t="n">
        <v>135000</v>
      </c>
      <c r="K1440" s="20" t="n">
        <v>135000</v>
      </c>
      <c r="L1440" s="10">
        <f>IF($B1440="","",TEXT($B1440,"YYYY-MM"))</f>
        <v/>
      </c>
    </row>
    <row r="1441">
      <c r="A1441" s="10" t="inlineStr">
        <is>
          <t>INV-71558</t>
        </is>
      </c>
      <c r="B1441" s="18" t="n">
        <v>46158</v>
      </c>
      <c r="C1441" s="10" t="inlineStr">
        <is>
          <t>C1428</t>
        </is>
      </c>
      <c r="D1441" s="10" t="inlineStr">
        <is>
          <t>loyal</t>
        </is>
      </c>
      <c r="E1441" s="10" t="inlineStr">
        <is>
          <t>Tokopedia</t>
        </is>
      </c>
      <c r="F1441" s="10" t="inlineStr">
        <is>
          <t>Jawa Barat</t>
        </is>
      </c>
      <c r="G1441" s="10" t="inlineStr">
        <is>
          <t>Rumah Tangga</t>
        </is>
      </c>
      <c r="H1441" s="10" t="inlineStr">
        <is>
          <t>Set Wadah Kedap</t>
        </is>
      </c>
      <c r="I1441" s="19" t="n">
        <v>3</v>
      </c>
      <c r="J1441" s="20" t="n">
        <v>135000</v>
      </c>
      <c r="K1441" s="20" t="n">
        <v>405000</v>
      </c>
      <c r="L1441" s="10">
        <f>IF($B1441="","",TEXT($B1441,"YYYY-MM"))</f>
        <v/>
      </c>
    </row>
    <row r="1442">
      <c r="A1442" s="10" t="inlineStr">
        <is>
          <t>INV-71058</t>
        </is>
      </c>
      <c r="B1442" s="18" t="n">
        <v>46158</v>
      </c>
      <c r="C1442" s="10" t="inlineStr">
        <is>
          <t>C1300</t>
        </is>
      </c>
      <c r="D1442" s="10" t="inlineStr">
        <is>
          <t>regular</t>
        </is>
      </c>
      <c r="E1442" s="10" t="inlineStr">
        <is>
          <t>Offline Store</t>
        </is>
      </c>
      <c r="F1442" s="10" t="inlineStr">
        <is>
          <t>Jabodetabek</t>
        </is>
      </c>
      <c r="G1442" s="10" t="inlineStr">
        <is>
          <t>Rumah Tangga</t>
        </is>
      </c>
      <c r="H1442" s="10" t="inlineStr">
        <is>
          <t>Set Wadah Kedap</t>
        </is>
      </c>
      <c r="I1442" s="19" t="n">
        <v>2</v>
      </c>
      <c r="J1442" s="20" t="n">
        <v>135000</v>
      </c>
      <c r="K1442" s="20" t="n">
        <v>270000</v>
      </c>
      <c r="L1442" s="10">
        <f>IF($B1442="","",TEXT($B1442,"YYYY-MM"))</f>
        <v/>
      </c>
    </row>
    <row r="1443">
      <c r="A1443" s="10" t="inlineStr">
        <is>
          <t>INV-71022</t>
        </is>
      </c>
      <c r="B1443" s="18" t="n">
        <v>46158</v>
      </c>
      <c r="C1443" s="10" t="inlineStr">
        <is>
          <t>C1290</t>
        </is>
      </c>
      <c r="D1443" s="10" t="inlineStr">
        <is>
          <t>loyal</t>
        </is>
      </c>
      <c r="E1443" s="10" t="inlineStr">
        <is>
          <t>Shopee</t>
        </is>
      </c>
      <c r="F1443" s="10" t="inlineStr">
        <is>
          <t>Jawa Tengah</t>
        </is>
      </c>
      <c r="G1443" s="10" t="inlineStr">
        <is>
          <t>Kecantikan</t>
        </is>
      </c>
      <c r="H1443" s="10" t="inlineStr">
        <is>
          <t>Masker Wajah (5s)</t>
        </is>
      </c>
      <c r="I1443" s="19" t="n">
        <v>1</v>
      </c>
      <c r="J1443" s="20" t="n">
        <v>55000</v>
      </c>
      <c r="K1443" s="20" t="n">
        <v>55000</v>
      </c>
      <c r="L1443" s="10">
        <f>IF($B1443="","",TEXT($B1443,"YYYY-MM"))</f>
        <v/>
      </c>
    </row>
    <row r="1444">
      <c r="A1444" s="10" t="inlineStr">
        <is>
          <t>INV-71404</t>
        </is>
      </c>
      <c r="B1444" s="18" t="n">
        <v>46158</v>
      </c>
      <c r="C1444" s="10" t="inlineStr">
        <is>
          <t>C1386</t>
        </is>
      </c>
      <c r="D1444" s="10" t="inlineStr">
        <is>
          <t>loyal</t>
        </is>
      </c>
      <c r="E1444" s="10" t="inlineStr">
        <is>
          <t>TikTok Shop</t>
        </is>
      </c>
      <c r="F1444" s="10" t="inlineStr">
        <is>
          <t>Jabodetabek</t>
        </is>
      </c>
      <c r="G1444" s="10" t="inlineStr">
        <is>
          <t>Rumah Tangga</t>
        </is>
      </c>
      <c r="H1444" s="10" t="inlineStr">
        <is>
          <t>Set Wadah Kedap</t>
        </is>
      </c>
      <c r="I1444" s="19" t="n">
        <v>1</v>
      </c>
      <c r="J1444" s="20" t="n">
        <v>135000</v>
      </c>
      <c r="K1444" s="20" t="n">
        <v>135000</v>
      </c>
      <c r="L1444" s="10">
        <f>IF($B1444="","",TEXT($B1444,"YYYY-MM"))</f>
        <v/>
      </c>
    </row>
    <row r="1445">
      <c r="A1445" s="10" t="inlineStr">
        <is>
          <t>INV-70499</t>
        </is>
      </c>
      <c r="B1445" s="18" t="n">
        <v>46159</v>
      </c>
      <c r="C1445" s="10" t="inlineStr">
        <is>
          <t>C1141</t>
        </is>
      </c>
      <c r="D1445" s="10" t="inlineStr">
        <is>
          <t>loyal</t>
        </is>
      </c>
      <c r="E1445" s="10" t="inlineStr">
        <is>
          <t>TikTok Shop</t>
        </is>
      </c>
      <c r="F1445" s="10" t="inlineStr">
        <is>
          <t>Jawa Tengah</t>
        </is>
      </c>
      <c r="G1445" s="10" t="inlineStr">
        <is>
          <t>Rumah Tangga</t>
        </is>
      </c>
      <c r="H1445" s="10" t="inlineStr">
        <is>
          <t>Set Wadah Kedap</t>
        </is>
      </c>
      <c r="I1445" s="19" t="n">
        <v>2</v>
      </c>
      <c r="J1445" s="20" t="n">
        <v>135000</v>
      </c>
      <c r="K1445" s="20" t="n">
        <v>270000</v>
      </c>
      <c r="L1445" s="10">
        <f>IF($B1445="","",TEXT($B1445,"YYYY-MM"))</f>
        <v/>
      </c>
    </row>
    <row r="1446">
      <c r="A1446" s="10" t="inlineStr">
        <is>
          <t>INV-71019</t>
        </is>
      </c>
      <c r="B1446" s="18" t="n">
        <v>46159</v>
      </c>
      <c r="C1446" s="10" t="inlineStr">
        <is>
          <t>C1290</t>
        </is>
      </c>
      <c r="D1446" s="10" t="inlineStr">
        <is>
          <t>loyal</t>
        </is>
      </c>
      <c r="E1446" s="10" t="inlineStr">
        <is>
          <t>Shopee</t>
        </is>
      </c>
      <c r="F1446" s="10" t="inlineStr">
        <is>
          <t>Jabodetabek</t>
        </is>
      </c>
      <c r="G1446" s="10" t="inlineStr">
        <is>
          <t>Kecantikan</t>
        </is>
      </c>
      <c r="H1446" s="10" t="inlineStr">
        <is>
          <t>Masker Wajah (5s)</t>
        </is>
      </c>
      <c r="I1446" s="19" t="n">
        <v>2</v>
      </c>
      <c r="J1446" s="20" t="n">
        <v>55000</v>
      </c>
      <c r="K1446" s="20" t="n">
        <v>110000</v>
      </c>
      <c r="L1446" s="10">
        <f>IF($B1446="","",TEXT($B1446,"YYYY-MM"))</f>
        <v/>
      </c>
    </row>
    <row r="1447">
      <c r="A1447" s="10" t="inlineStr">
        <is>
          <t>INV-70462</t>
        </is>
      </c>
      <c r="B1447" s="18" t="n">
        <v>46159</v>
      </c>
      <c r="C1447" s="10" t="inlineStr">
        <is>
          <t>C1132</t>
        </is>
      </c>
      <c r="D1447" s="10" t="inlineStr">
        <is>
          <t>regular</t>
        </is>
      </c>
      <c r="E1447" s="10" t="inlineStr">
        <is>
          <t>Tokopedia</t>
        </is>
      </c>
      <c r="F1447" s="10" t="inlineStr">
        <is>
          <t>Jabodetabek</t>
        </is>
      </c>
      <c r="G1447" s="10" t="inlineStr">
        <is>
          <t>Kecantikan</t>
        </is>
      </c>
      <c r="H1447" s="10" t="inlineStr">
        <is>
          <t>Serum Vit C</t>
        </is>
      </c>
      <c r="I1447" s="19" t="n">
        <v>1</v>
      </c>
      <c r="J1447" s="20" t="n">
        <v>145000</v>
      </c>
      <c r="K1447" s="20" t="n">
        <v>145000</v>
      </c>
      <c r="L1447" s="10">
        <f>IF($B1447="","",TEXT($B1447,"YYYY-MM"))</f>
        <v/>
      </c>
    </row>
    <row r="1448">
      <c r="A1448" s="10" t="inlineStr">
        <is>
          <t>INV-70270</t>
        </is>
      </c>
      <c r="B1448" s="18" t="n">
        <v>46160</v>
      </c>
      <c r="C1448" s="10" t="inlineStr">
        <is>
          <t>C1076</t>
        </is>
      </c>
      <c r="D1448" s="10" t="inlineStr">
        <is>
          <t>loyal</t>
        </is>
      </c>
      <c r="E1448" s="10" t="inlineStr">
        <is>
          <t>Tokopedia</t>
        </is>
      </c>
      <c r="F1448" s="10" t="inlineStr">
        <is>
          <t>Jabodetabek</t>
        </is>
      </c>
      <c r="G1448" s="10" t="inlineStr">
        <is>
          <t>Rumah Tangga</t>
        </is>
      </c>
      <c r="H1448" s="10" t="inlineStr">
        <is>
          <t>Organizer Laci</t>
        </is>
      </c>
      <c r="I1448" s="19" t="n">
        <v>3</v>
      </c>
      <c r="J1448" s="20" t="n">
        <v>78000</v>
      </c>
      <c r="K1448" s="20" t="n">
        <v>234000</v>
      </c>
      <c r="L1448" s="10">
        <f>IF($B1448="","",TEXT($B1448,"YYYY-MM"))</f>
        <v/>
      </c>
    </row>
    <row r="1449">
      <c r="A1449" s="10" t="inlineStr">
        <is>
          <t>INV-70370</t>
        </is>
      </c>
      <c r="B1449" s="18" t="n">
        <v>46160</v>
      </c>
      <c r="C1449" s="10" t="inlineStr">
        <is>
          <t>C1104</t>
        </is>
      </c>
      <c r="D1449" s="10" t="inlineStr">
        <is>
          <t>occasional</t>
        </is>
      </c>
      <c r="E1449" s="10" t="inlineStr">
        <is>
          <t>Tokopedia</t>
        </is>
      </c>
      <c r="F1449" s="10" t="inlineStr">
        <is>
          <t>Jabodetabek</t>
        </is>
      </c>
      <c r="G1449" s="10" t="inlineStr">
        <is>
          <t>Rumah Tangga</t>
        </is>
      </c>
      <c r="H1449" s="10" t="inlineStr">
        <is>
          <t>Set Wadah Kedap</t>
        </is>
      </c>
      <c r="I1449" s="19" t="n">
        <v>3</v>
      </c>
      <c r="J1449" s="20" t="n">
        <v>135000</v>
      </c>
      <c r="K1449" s="20" t="n">
        <v>405000</v>
      </c>
      <c r="L1449" s="10">
        <f>IF($B1449="","",TEXT($B1449,"YYYY-MM"))</f>
        <v/>
      </c>
    </row>
    <row r="1450">
      <c r="A1450" s="10" t="inlineStr">
        <is>
          <t>INV-70706</t>
        </is>
      </c>
      <c r="B1450" s="18" t="n">
        <v>46160</v>
      </c>
      <c r="C1450" s="10" t="inlineStr">
        <is>
          <t>C1195</t>
        </is>
      </c>
      <c r="D1450" s="10" t="inlineStr">
        <is>
          <t>champion</t>
        </is>
      </c>
      <c r="E1450" s="10" t="inlineStr">
        <is>
          <t>Shopee</t>
        </is>
      </c>
      <c r="F1450" s="10" t="inlineStr">
        <is>
          <t>Jawa Tengah</t>
        </is>
      </c>
      <c r="G1450" s="10" t="inlineStr">
        <is>
          <t>Makanan</t>
        </is>
      </c>
      <c r="H1450" s="10" t="inlineStr">
        <is>
          <t>Granola 500g</t>
        </is>
      </c>
      <c r="I1450" s="19" t="n">
        <v>2</v>
      </c>
      <c r="J1450" s="20" t="n">
        <v>92000</v>
      </c>
      <c r="K1450" s="20" t="n">
        <v>184000</v>
      </c>
      <c r="L1450" s="10">
        <f>IF($B1450="","",TEXT($B1450,"YYYY-MM"))</f>
        <v/>
      </c>
    </row>
    <row r="1451">
      <c r="A1451" s="10" t="inlineStr">
        <is>
          <t>INV-70092</t>
        </is>
      </c>
      <c r="B1451" s="18" t="n">
        <v>46160</v>
      </c>
      <c r="C1451" s="10" t="inlineStr">
        <is>
          <t>C1028</t>
        </is>
      </c>
      <c r="D1451" s="10" t="inlineStr">
        <is>
          <t>occasional</t>
        </is>
      </c>
      <c r="E1451" s="10" t="inlineStr">
        <is>
          <t>Offline Store</t>
        </is>
      </c>
      <c r="F1451" s="10" t="inlineStr">
        <is>
          <t>Jawa Timur</t>
        </is>
      </c>
      <c r="G1451" s="10" t="inlineStr">
        <is>
          <t>Makanan</t>
        </is>
      </c>
      <c r="H1451" s="10" t="inlineStr">
        <is>
          <t>Granola 500g</t>
        </is>
      </c>
      <c r="I1451" s="19" t="n">
        <v>2</v>
      </c>
      <c r="J1451" s="20" t="n">
        <v>92000</v>
      </c>
      <c r="K1451" s="20" t="n">
        <v>184000</v>
      </c>
      <c r="L1451" s="10">
        <f>IF($B1451="","",TEXT($B1451,"YYYY-MM"))</f>
        <v/>
      </c>
    </row>
    <row r="1452">
      <c r="A1452" s="10" t="inlineStr">
        <is>
          <t>INV-70581</t>
        </is>
      </c>
      <c r="B1452" s="18" t="n">
        <v>46161</v>
      </c>
      <c r="C1452" s="10" t="inlineStr">
        <is>
          <t>C1157</t>
        </is>
      </c>
      <c r="D1452" s="10" t="inlineStr">
        <is>
          <t>loyal</t>
        </is>
      </c>
      <c r="E1452" s="10" t="inlineStr">
        <is>
          <t>Shopee</t>
        </is>
      </c>
      <c r="F1452" s="10" t="inlineStr">
        <is>
          <t>Jabodetabek</t>
        </is>
      </c>
      <c r="G1452" s="10" t="inlineStr">
        <is>
          <t>Kecantikan</t>
        </is>
      </c>
      <c r="H1452" s="10" t="inlineStr">
        <is>
          <t>Masker Wajah (5s)</t>
        </is>
      </c>
      <c r="I1452" s="19" t="n">
        <v>1</v>
      </c>
      <c r="J1452" s="20" t="n">
        <v>55000</v>
      </c>
      <c r="K1452" s="20" t="n">
        <v>55000</v>
      </c>
      <c r="L1452" s="10">
        <f>IF($B1452="","",TEXT($B1452,"YYYY-MM"))</f>
        <v/>
      </c>
    </row>
    <row r="1453">
      <c r="A1453" s="10" t="inlineStr">
        <is>
          <t>INV-71537</t>
        </is>
      </c>
      <c r="B1453" s="18" t="n">
        <v>46161</v>
      </c>
      <c r="C1453" s="10" t="inlineStr">
        <is>
          <t>C1424</t>
        </is>
      </c>
      <c r="D1453" s="10" t="inlineStr">
        <is>
          <t>loyal</t>
        </is>
      </c>
      <c r="E1453" s="10" t="inlineStr">
        <is>
          <t>Shopee</t>
        </is>
      </c>
      <c r="F1453" s="10" t="inlineStr">
        <is>
          <t>Jawa Barat</t>
        </is>
      </c>
      <c r="G1453" s="10" t="inlineStr">
        <is>
          <t>Rumah Tangga</t>
        </is>
      </c>
      <c r="H1453" s="10" t="inlineStr">
        <is>
          <t>Set Wadah Kedap</t>
        </is>
      </c>
      <c r="I1453" s="19" t="n">
        <v>3</v>
      </c>
      <c r="J1453" s="20" t="n">
        <v>135000</v>
      </c>
      <c r="K1453" s="20" t="n">
        <v>405000</v>
      </c>
      <c r="L1453" s="10">
        <f>IF($B1453="","",TEXT($B1453,"YYYY-MM"))</f>
        <v/>
      </c>
    </row>
    <row r="1454">
      <c r="A1454" s="10" t="inlineStr">
        <is>
          <t>INV-70159</t>
        </is>
      </c>
      <c r="B1454" s="18" t="n">
        <v>46161</v>
      </c>
      <c r="C1454" s="10" t="inlineStr">
        <is>
          <t>C1048</t>
        </is>
      </c>
      <c r="D1454" s="10" t="inlineStr">
        <is>
          <t>occasional</t>
        </is>
      </c>
      <c r="E1454" s="10" t="inlineStr">
        <is>
          <t>Shopee</t>
        </is>
      </c>
      <c r="F1454" s="10" t="inlineStr">
        <is>
          <t>Sumatera</t>
        </is>
      </c>
      <c r="G1454" s="10" t="inlineStr">
        <is>
          <t>Fashion</t>
        </is>
      </c>
      <c r="H1454" s="10" t="inlineStr">
        <is>
          <t>Dress Casual</t>
        </is>
      </c>
      <c r="I1454" s="19" t="n">
        <v>2</v>
      </c>
      <c r="J1454" s="20" t="n">
        <v>225000</v>
      </c>
      <c r="K1454" s="20" t="n">
        <v>450000</v>
      </c>
      <c r="L1454" s="10">
        <f>IF($B1454="","",TEXT($B1454,"YYYY-MM"))</f>
        <v/>
      </c>
    </row>
    <row r="1455">
      <c r="A1455" s="10" t="inlineStr">
        <is>
          <t>INV-71351</t>
        </is>
      </c>
      <c r="B1455" s="18" t="n">
        <v>46161</v>
      </c>
      <c r="C1455" s="10" t="inlineStr">
        <is>
          <t>C1372</t>
        </is>
      </c>
      <c r="D1455" s="10" t="inlineStr">
        <is>
          <t>onetime</t>
        </is>
      </c>
      <c r="E1455" s="10" t="inlineStr">
        <is>
          <t>Offline Store</t>
        </is>
      </c>
      <c r="F1455" s="10" t="inlineStr">
        <is>
          <t>Sumatera</t>
        </is>
      </c>
      <c r="G1455" s="10" t="inlineStr">
        <is>
          <t>Rumah Tangga</t>
        </is>
      </c>
      <c r="H1455" s="10" t="inlineStr">
        <is>
          <t>Set Wadah Kedap</t>
        </is>
      </c>
      <c r="I1455" s="19" t="n">
        <v>4</v>
      </c>
      <c r="J1455" s="20" t="n">
        <v>135000</v>
      </c>
      <c r="K1455" s="20" t="n">
        <v>540000</v>
      </c>
      <c r="L1455" s="10">
        <f>IF($B1455="","",TEXT($B1455,"YYYY-MM"))</f>
        <v/>
      </c>
    </row>
    <row r="1456">
      <c r="A1456" s="10" t="inlineStr">
        <is>
          <t>INV-70102</t>
        </is>
      </c>
      <c r="B1456" s="18" t="n">
        <v>46162</v>
      </c>
      <c r="C1456" s="10" t="inlineStr">
        <is>
          <t>C1029</t>
        </is>
      </c>
      <c r="D1456" s="10" t="inlineStr">
        <is>
          <t>champion</t>
        </is>
      </c>
      <c r="E1456" s="10" t="inlineStr">
        <is>
          <t>Tokopedia</t>
        </is>
      </c>
      <c r="F1456" s="10" t="inlineStr">
        <is>
          <t>Jawa Timur</t>
        </is>
      </c>
      <c r="G1456" s="10" t="inlineStr">
        <is>
          <t>Kecantikan</t>
        </is>
      </c>
      <c r="H1456" s="10" t="inlineStr">
        <is>
          <t>Masker Wajah (5s)</t>
        </is>
      </c>
      <c r="I1456" s="19" t="n">
        <v>3</v>
      </c>
      <c r="J1456" s="20" t="n">
        <v>55000</v>
      </c>
      <c r="K1456" s="20" t="n">
        <v>165000</v>
      </c>
      <c r="L1456" s="10">
        <f>IF($B1456="","",TEXT($B1456,"YYYY-MM"))</f>
        <v/>
      </c>
    </row>
    <row r="1457">
      <c r="A1457" s="10" t="inlineStr">
        <is>
          <t>INV-71148</t>
        </is>
      </c>
      <c r="B1457" s="18" t="n">
        <v>46162</v>
      </c>
      <c r="C1457" s="10" t="inlineStr">
        <is>
          <t>C1325</t>
        </is>
      </c>
      <c r="D1457" s="10" t="inlineStr">
        <is>
          <t>regular</t>
        </is>
      </c>
      <c r="E1457" s="10" t="inlineStr">
        <is>
          <t>Shopee</t>
        </is>
      </c>
      <c r="F1457" s="10" t="inlineStr">
        <is>
          <t>Jabodetabek</t>
        </is>
      </c>
      <c r="G1457" s="10" t="inlineStr">
        <is>
          <t>Elektronik</t>
        </is>
      </c>
      <c r="H1457" s="10" t="inlineStr">
        <is>
          <t>Keyboard Mekanik</t>
        </is>
      </c>
      <c r="I1457" s="19" t="n">
        <v>1</v>
      </c>
      <c r="J1457" s="20" t="n">
        <v>380000</v>
      </c>
      <c r="K1457" s="20" t="n">
        <v>380000</v>
      </c>
      <c r="L1457" s="10">
        <f>IF($B1457="","",TEXT($B1457,"YYYY-MM"))</f>
        <v/>
      </c>
    </row>
    <row r="1458">
      <c r="A1458" s="10" t="inlineStr">
        <is>
          <t>INV-71092</t>
        </is>
      </c>
      <c r="B1458" s="18" t="n">
        <v>46162</v>
      </c>
      <c r="C1458" s="10" t="inlineStr">
        <is>
          <t>C1306</t>
        </is>
      </c>
      <c r="D1458" s="10" t="inlineStr">
        <is>
          <t>loyal</t>
        </is>
      </c>
      <c r="E1458" s="10" t="inlineStr">
        <is>
          <t>Shopee</t>
        </is>
      </c>
      <c r="F1458" s="10" t="inlineStr">
        <is>
          <t>Sumatera</t>
        </is>
      </c>
      <c r="G1458" s="10" t="inlineStr">
        <is>
          <t>Elektronik</t>
        </is>
      </c>
      <c r="H1458" s="10" t="inlineStr">
        <is>
          <t>Smartwatch</t>
        </is>
      </c>
      <c r="I1458" s="19" t="n">
        <v>4</v>
      </c>
      <c r="J1458" s="20" t="n">
        <v>450000</v>
      </c>
      <c r="K1458" s="20" t="n">
        <v>1800000</v>
      </c>
      <c r="L1458" s="10">
        <f>IF($B1458="","",TEXT($B1458,"YYYY-MM"))</f>
        <v/>
      </c>
    </row>
    <row r="1459">
      <c r="A1459" s="10" t="inlineStr">
        <is>
          <t>INV-70779</t>
        </is>
      </c>
      <c r="B1459" s="18" t="n">
        <v>46162</v>
      </c>
      <c r="C1459" s="10" t="inlineStr">
        <is>
          <t>C1220</t>
        </is>
      </c>
      <c r="D1459" s="10" t="inlineStr">
        <is>
          <t>loyal</t>
        </is>
      </c>
      <c r="E1459" s="10" t="inlineStr">
        <is>
          <t>Shopee</t>
        </is>
      </c>
      <c r="F1459" s="10" t="inlineStr">
        <is>
          <t>Jawa Timur</t>
        </is>
      </c>
      <c r="G1459" s="10" t="inlineStr">
        <is>
          <t>Elektronik</t>
        </is>
      </c>
      <c r="H1459" s="10" t="inlineStr">
        <is>
          <t>Power Bank 20K</t>
        </is>
      </c>
      <c r="I1459" s="19" t="n">
        <v>3</v>
      </c>
      <c r="J1459" s="20" t="n">
        <v>185000</v>
      </c>
      <c r="K1459" s="20" t="n">
        <v>555000</v>
      </c>
      <c r="L1459" s="10">
        <f>IF($B1459="","",TEXT($B1459,"YYYY-MM"))</f>
        <v/>
      </c>
    </row>
    <row r="1460">
      <c r="A1460" s="10" t="inlineStr">
        <is>
          <t>INV-71152</t>
        </is>
      </c>
      <c r="B1460" s="18" t="n">
        <v>46162</v>
      </c>
      <c r="C1460" s="10" t="inlineStr">
        <is>
          <t>C1326</t>
        </is>
      </c>
      <c r="D1460" s="10" t="inlineStr">
        <is>
          <t>loyal</t>
        </is>
      </c>
      <c r="E1460" s="10" t="inlineStr">
        <is>
          <t>Offline Store</t>
        </is>
      </c>
      <c r="F1460" s="10" t="inlineStr">
        <is>
          <t>Sumatera</t>
        </is>
      </c>
      <c r="G1460" s="10" t="inlineStr">
        <is>
          <t>Rumah Tangga</t>
        </is>
      </c>
      <c r="H1460" s="10" t="inlineStr">
        <is>
          <t>Set Wadah Kedap</t>
        </is>
      </c>
      <c r="I1460" s="19" t="n">
        <v>3</v>
      </c>
      <c r="J1460" s="20" t="n">
        <v>135000</v>
      </c>
      <c r="K1460" s="20" t="n">
        <v>405000</v>
      </c>
      <c r="L1460" s="10">
        <f>IF($B1460="","",TEXT($B1460,"YYYY-MM"))</f>
        <v/>
      </c>
    </row>
    <row r="1461">
      <c r="A1461" s="10" t="inlineStr">
        <is>
          <t>INV-70656</t>
        </is>
      </c>
      <c r="B1461" s="18" t="n">
        <v>46163</v>
      </c>
      <c r="C1461" s="10" t="inlineStr">
        <is>
          <t>C1179</t>
        </is>
      </c>
      <c r="D1461" s="10" t="inlineStr">
        <is>
          <t>loyal</t>
        </is>
      </c>
      <c r="E1461" s="10" t="inlineStr">
        <is>
          <t>Tokopedia</t>
        </is>
      </c>
      <c r="F1461" s="10" t="inlineStr">
        <is>
          <t>Sumatera</t>
        </is>
      </c>
      <c r="G1461" s="10" t="inlineStr">
        <is>
          <t>Rumah Tangga</t>
        </is>
      </c>
      <c r="H1461" s="10" t="inlineStr">
        <is>
          <t>Set Wadah Kedap</t>
        </is>
      </c>
      <c r="I1461" s="19" t="n">
        <v>2</v>
      </c>
      <c r="J1461" s="20" t="n">
        <v>135000</v>
      </c>
      <c r="K1461" s="20" t="n">
        <v>270000</v>
      </c>
      <c r="L1461" s="10">
        <f>IF($B1461="","",TEXT($B1461,"YYYY-MM"))</f>
        <v/>
      </c>
    </row>
    <row r="1462">
      <c r="A1462" s="10" t="inlineStr">
        <is>
          <t>INV-71140</t>
        </is>
      </c>
      <c r="B1462" s="18" t="n">
        <v>46163</v>
      </c>
      <c r="C1462" s="10" t="inlineStr">
        <is>
          <t>C1322</t>
        </is>
      </c>
      <c r="D1462" s="10" t="inlineStr">
        <is>
          <t>loyal</t>
        </is>
      </c>
      <c r="E1462" s="10" t="inlineStr">
        <is>
          <t>TikTok Shop</t>
        </is>
      </c>
      <c r="F1462" s="10" t="inlineStr">
        <is>
          <t>Sumatera</t>
        </is>
      </c>
      <c r="G1462" s="10" t="inlineStr">
        <is>
          <t>Elektronik</t>
        </is>
      </c>
      <c r="H1462" s="10" t="inlineStr">
        <is>
          <t>Power Bank 20K</t>
        </is>
      </c>
      <c r="I1462" s="19" t="n">
        <v>1</v>
      </c>
      <c r="J1462" s="20" t="n">
        <v>185000</v>
      </c>
      <c r="K1462" s="20" t="n">
        <v>185000</v>
      </c>
      <c r="L1462" s="10">
        <f>IF($B1462="","",TEXT($B1462,"YYYY-MM"))</f>
        <v/>
      </c>
    </row>
    <row r="1463">
      <c r="A1463" s="10" t="inlineStr">
        <is>
          <t>INV-70265</t>
        </is>
      </c>
      <c r="B1463" s="18" t="n">
        <v>46163</v>
      </c>
      <c r="C1463" s="10" t="inlineStr">
        <is>
          <t>C1074</t>
        </is>
      </c>
      <c r="D1463" s="10" t="inlineStr">
        <is>
          <t>regular</t>
        </is>
      </c>
      <c r="E1463" s="10" t="inlineStr">
        <is>
          <t>Shopee</t>
        </is>
      </c>
      <c r="F1463" s="10" t="inlineStr">
        <is>
          <t>Jawa Barat</t>
        </is>
      </c>
      <c r="G1463" s="10" t="inlineStr">
        <is>
          <t>Fashion</t>
        </is>
      </c>
      <c r="H1463" s="10" t="inlineStr">
        <is>
          <t>Celana Chino</t>
        </is>
      </c>
      <c r="I1463" s="19" t="n">
        <v>1</v>
      </c>
      <c r="J1463" s="20" t="n">
        <v>195000</v>
      </c>
      <c r="K1463" s="20" t="n">
        <v>195000</v>
      </c>
      <c r="L1463" s="10">
        <f>IF($B1463="","",TEXT($B1463,"YYYY-MM"))</f>
        <v/>
      </c>
    </row>
    <row r="1464">
      <c r="A1464" s="10" t="inlineStr">
        <is>
          <t>INV-70685</t>
        </is>
      </c>
      <c r="B1464" s="18" t="n">
        <v>46163</v>
      </c>
      <c r="C1464" s="10" t="inlineStr">
        <is>
          <t>C1186</t>
        </is>
      </c>
      <c r="D1464" s="10" t="inlineStr">
        <is>
          <t>loyal</t>
        </is>
      </c>
      <c r="E1464" s="10" t="inlineStr">
        <is>
          <t>Tokopedia</t>
        </is>
      </c>
      <c r="F1464" s="10" t="inlineStr">
        <is>
          <t>Jawa Timur</t>
        </is>
      </c>
      <c r="G1464" s="10" t="inlineStr">
        <is>
          <t>Elektronik</t>
        </is>
      </c>
      <c r="H1464" s="10" t="inlineStr">
        <is>
          <t>Webcam HD</t>
        </is>
      </c>
      <c r="I1464" s="19" t="n">
        <v>1</v>
      </c>
      <c r="J1464" s="20" t="n">
        <v>210000</v>
      </c>
      <c r="K1464" s="20" t="n">
        <v>210000</v>
      </c>
      <c r="L1464" s="10">
        <f>IF($B1464="","",TEXT($B1464,"YYYY-MM"))</f>
        <v/>
      </c>
    </row>
    <row r="1465">
      <c r="A1465" s="10" t="inlineStr">
        <is>
          <t>INV-70682</t>
        </is>
      </c>
      <c r="B1465" s="18" t="n">
        <v>46163</v>
      </c>
      <c r="C1465" s="10" t="inlineStr">
        <is>
          <t>C1186</t>
        </is>
      </c>
      <c r="D1465" s="10" t="inlineStr">
        <is>
          <t>loyal</t>
        </is>
      </c>
      <c r="E1465" s="10" t="inlineStr">
        <is>
          <t>TikTok Shop</t>
        </is>
      </c>
      <c r="F1465" s="10" t="inlineStr">
        <is>
          <t>Jabodetabek</t>
        </is>
      </c>
      <c r="G1465" s="10" t="inlineStr">
        <is>
          <t>Rumah Tangga</t>
        </is>
      </c>
      <c r="H1465" s="10" t="inlineStr">
        <is>
          <t>Set Wadah Kedap</t>
        </is>
      </c>
      <c r="I1465" s="19" t="n">
        <v>4</v>
      </c>
      <c r="J1465" s="20" t="n">
        <v>135000</v>
      </c>
      <c r="K1465" s="20" t="n">
        <v>540000</v>
      </c>
      <c r="L1465" s="10">
        <f>IF($B1465="","",TEXT($B1465,"YYYY-MM"))</f>
        <v/>
      </c>
    </row>
    <row r="1466">
      <c r="A1466" s="10" t="inlineStr">
        <is>
          <t>INV-71347</t>
        </is>
      </c>
      <c r="B1466" s="18" t="n">
        <v>46163</v>
      </c>
      <c r="C1466" s="10" t="inlineStr">
        <is>
          <t>C1371</t>
        </is>
      </c>
      <c r="D1466" s="10" t="inlineStr">
        <is>
          <t>regular</t>
        </is>
      </c>
      <c r="E1466" s="10" t="inlineStr">
        <is>
          <t>TikTok Shop</t>
        </is>
      </c>
      <c r="F1466" s="10" t="inlineStr">
        <is>
          <t>Jawa Timur</t>
        </is>
      </c>
      <c r="G1466" s="10" t="inlineStr">
        <is>
          <t>Elektronik</t>
        </is>
      </c>
      <c r="H1466" s="10" t="inlineStr">
        <is>
          <t>Webcam HD</t>
        </is>
      </c>
      <c r="I1466" s="19" t="n">
        <v>2</v>
      </c>
      <c r="J1466" s="20" t="n">
        <v>210000</v>
      </c>
      <c r="K1466" s="20" t="n">
        <v>420000</v>
      </c>
      <c r="L1466" s="10">
        <f>IF($B1466="","",TEXT($B1466,"YYYY-MM"))</f>
        <v/>
      </c>
    </row>
    <row r="1467">
      <c r="A1467" s="10" t="inlineStr">
        <is>
          <t>INV-71269</t>
        </is>
      </c>
      <c r="B1467" s="18" t="n">
        <v>46164</v>
      </c>
      <c r="C1467" s="10" t="inlineStr">
        <is>
          <t>C1358</t>
        </is>
      </c>
      <c r="D1467" s="10" t="inlineStr">
        <is>
          <t>champion</t>
        </is>
      </c>
      <c r="E1467" s="10" t="inlineStr">
        <is>
          <t>Offline Store</t>
        </is>
      </c>
      <c r="F1467" s="10" t="inlineStr">
        <is>
          <t>Jawa Timur</t>
        </is>
      </c>
      <c r="G1467" s="10" t="inlineStr">
        <is>
          <t>Rumah Tangga</t>
        </is>
      </c>
      <c r="H1467" s="10" t="inlineStr">
        <is>
          <t>Set Wadah Kedap</t>
        </is>
      </c>
      <c r="I1467" s="19" t="n">
        <v>3</v>
      </c>
      <c r="J1467" s="20" t="n">
        <v>135000</v>
      </c>
      <c r="K1467" s="20" t="n">
        <v>405000</v>
      </c>
      <c r="L1467" s="10">
        <f>IF($B1467="","",TEXT($B1467,"YYYY-MM"))</f>
        <v/>
      </c>
    </row>
    <row r="1468">
      <c r="A1468" s="10" t="inlineStr">
        <is>
          <t>INV-71536</t>
        </is>
      </c>
      <c r="B1468" s="18" t="n">
        <v>46164</v>
      </c>
      <c r="C1468" s="10" t="inlineStr">
        <is>
          <t>C1424</t>
        </is>
      </c>
      <c r="D1468" s="10" t="inlineStr">
        <is>
          <t>loyal</t>
        </is>
      </c>
      <c r="E1468" s="10" t="inlineStr">
        <is>
          <t>Shopee</t>
        </is>
      </c>
      <c r="F1468" s="10" t="inlineStr">
        <is>
          <t>Jawa Timur</t>
        </is>
      </c>
      <c r="G1468" s="10" t="inlineStr">
        <is>
          <t>Rumah Tangga</t>
        </is>
      </c>
      <c r="H1468" s="10" t="inlineStr">
        <is>
          <t>Set Wadah Kedap</t>
        </is>
      </c>
      <c r="I1468" s="19" t="n">
        <v>3</v>
      </c>
      <c r="J1468" s="20" t="n">
        <v>135000</v>
      </c>
      <c r="K1468" s="20" t="n">
        <v>405000</v>
      </c>
      <c r="L1468" s="10">
        <f>IF($B1468="","",TEXT($B1468,"YYYY-MM"))</f>
        <v/>
      </c>
    </row>
    <row r="1469">
      <c r="A1469" s="10" t="inlineStr">
        <is>
          <t>INV-71413</t>
        </is>
      </c>
      <c r="B1469" s="18" t="n">
        <v>46164</v>
      </c>
      <c r="C1469" s="10" t="inlineStr">
        <is>
          <t>C1391</t>
        </is>
      </c>
      <c r="D1469" s="10" t="inlineStr">
        <is>
          <t>occasional</t>
        </is>
      </c>
      <c r="E1469" s="10" t="inlineStr">
        <is>
          <t>Shopee</t>
        </is>
      </c>
      <c r="F1469" s="10" t="inlineStr">
        <is>
          <t>Jawa Barat</t>
        </is>
      </c>
      <c r="G1469" s="10" t="inlineStr">
        <is>
          <t>Makanan</t>
        </is>
      </c>
      <c r="H1469" s="10" t="inlineStr">
        <is>
          <t>Granola 500g</t>
        </is>
      </c>
      <c r="I1469" s="19" t="n">
        <v>1</v>
      </c>
      <c r="J1469" s="20" t="n">
        <v>92000</v>
      </c>
      <c r="K1469" s="20" t="n">
        <v>92000</v>
      </c>
      <c r="L1469" s="10">
        <f>IF($B1469="","",TEXT($B1469,"YYYY-MM"))</f>
        <v/>
      </c>
    </row>
    <row r="1470">
      <c r="A1470" s="10" t="inlineStr">
        <is>
          <t>INV-71329</t>
        </is>
      </c>
      <c r="B1470" s="18" t="n">
        <v>46164</v>
      </c>
      <c r="C1470" s="10" t="inlineStr">
        <is>
          <t>C1366</t>
        </is>
      </c>
      <c r="D1470" s="10" t="inlineStr">
        <is>
          <t>loyal</t>
        </is>
      </c>
      <c r="E1470" s="10" t="inlineStr">
        <is>
          <t>Tokopedia</t>
        </is>
      </c>
      <c r="F1470" s="10" t="inlineStr">
        <is>
          <t>Sumatera</t>
        </is>
      </c>
      <c r="G1470" s="10" t="inlineStr">
        <is>
          <t>Elektronik</t>
        </is>
      </c>
      <c r="H1470" s="10" t="inlineStr">
        <is>
          <t>Smartwatch</t>
        </is>
      </c>
      <c r="I1470" s="19" t="n">
        <v>2</v>
      </c>
      <c r="J1470" s="20" t="n">
        <v>450000</v>
      </c>
      <c r="K1470" s="20" t="n">
        <v>900000</v>
      </c>
      <c r="L1470" s="10">
        <f>IF($B1470="","",TEXT($B1470,"YYYY-MM"))</f>
        <v/>
      </c>
    </row>
    <row r="1471">
      <c r="A1471" s="10" t="inlineStr">
        <is>
          <t>INV-71001</t>
        </is>
      </c>
      <c r="B1471" s="18" t="n">
        <v>46164</v>
      </c>
      <c r="C1471" s="10" t="inlineStr">
        <is>
          <t>C1287</t>
        </is>
      </c>
      <c r="D1471" s="10" t="inlineStr">
        <is>
          <t>champion</t>
        </is>
      </c>
      <c r="E1471" s="10" t="inlineStr">
        <is>
          <t>Tokopedia</t>
        </is>
      </c>
      <c r="F1471" s="10" t="inlineStr">
        <is>
          <t>Jawa Barat</t>
        </is>
      </c>
      <c r="G1471" s="10" t="inlineStr">
        <is>
          <t>Kecantikan</t>
        </is>
      </c>
      <c r="H1471" s="10" t="inlineStr">
        <is>
          <t>Masker Wajah (5s)</t>
        </is>
      </c>
      <c r="I1471" s="19" t="n">
        <v>3</v>
      </c>
      <c r="J1471" s="20" t="n">
        <v>55000</v>
      </c>
      <c r="K1471" s="20" t="n">
        <v>165000</v>
      </c>
      <c r="L1471" s="10">
        <f>IF($B1471="","",TEXT($B1471,"YYYY-MM"))</f>
        <v/>
      </c>
    </row>
    <row r="1472">
      <c r="A1472" s="10" t="inlineStr">
        <is>
          <t>INV-70566</t>
        </is>
      </c>
      <c r="B1472" s="18" t="n">
        <v>46164</v>
      </c>
      <c r="C1472" s="10" t="inlineStr">
        <is>
          <t>C1156</t>
        </is>
      </c>
      <c r="D1472" s="10" t="inlineStr">
        <is>
          <t>champion</t>
        </is>
      </c>
      <c r="E1472" s="10" t="inlineStr">
        <is>
          <t>Shopee</t>
        </is>
      </c>
      <c r="F1472" s="10" t="inlineStr">
        <is>
          <t>Jabodetabek</t>
        </is>
      </c>
      <c r="G1472" s="10" t="inlineStr">
        <is>
          <t>Elektronik</t>
        </is>
      </c>
      <c r="H1472" s="10" t="inlineStr">
        <is>
          <t>Keyboard Mekanik</t>
        </is>
      </c>
      <c r="I1472" s="19" t="n">
        <v>3</v>
      </c>
      <c r="J1472" s="20" t="n">
        <v>380000</v>
      </c>
      <c r="K1472" s="20" t="n">
        <v>1140000</v>
      </c>
      <c r="L1472" s="10">
        <f>IF($B1472="","",TEXT($B1472,"YYYY-MM"))</f>
        <v/>
      </c>
    </row>
    <row r="1473">
      <c r="A1473" s="10" t="inlineStr">
        <is>
          <t>INV-70800</t>
        </is>
      </c>
      <c r="B1473" s="18" t="n">
        <v>46164</v>
      </c>
      <c r="C1473" s="10" t="inlineStr">
        <is>
          <t>C1224</t>
        </is>
      </c>
      <c r="D1473" s="10" t="inlineStr">
        <is>
          <t>regular</t>
        </is>
      </c>
      <c r="E1473" s="10" t="inlineStr">
        <is>
          <t>Offline Store</t>
        </is>
      </c>
      <c r="F1473" s="10" t="inlineStr">
        <is>
          <t>Jabodetabek</t>
        </is>
      </c>
      <c r="G1473" s="10" t="inlineStr">
        <is>
          <t>Elektronik</t>
        </is>
      </c>
      <c r="H1473" s="10" t="inlineStr">
        <is>
          <t>Power Bank 20K</t>
        </is>
      </c>
      <c r="I1473" s="19" t="n">
        <v>1</v>
      </c>
      <c r="J1473" s="20" t="n">
        <v>185000</v>
      </c>
      <c r="K1473" s="20" t="n">
        <v>185000</v>
      </c>
      <c r="L1473" s="10">
        <f>IF($B1473="","",TEXT($B1473,"YYYY-MM"))</f>
        <v/>
      </c>
    </row>
    <row r="1474">
      <c r="A1474" s="10" t="inlineStr">
        <is>
          <t>INV-70588</t>
        </is>
      </c>
      <c r="B1474" s="18" t="n">
        <v>46165</v>
      </c>
      <c r="C1474" s="10" t="inlineStr">
        <is>
          <t>C1160</t>
        </is>
      </c>
      <c r="D1474" s="10" t="inlineStr">
        <is>
          <t>occasional</t>
        </is>
      </c>
      <c r="E1474" s="10" t="inlineStr">
        <is>
          <t>Offline Store</t>
        </is>
      </c>
      <c r="F1474" s="10" t="inlineStr">
        <is>
          <t>Jabodetabek</t>
        </is>
      </c>
      <c r="G1474" s="10" t="inlineStr">
        <is>
          <t>Kecantikan</t>
        </is>
      </c>
      <c r="H1474" s="10" t="inlineStr">
        <is>
          <t>Masker Wajah (5s)</t>
        </is>
      </c>
      <c r="I1474" s="19" t="n">
        <v>2</v>
      </c>
      <c r="J1474" s="20" t="n">
        <v>55000</v>
      </c>
      <c r="K1474" s="20" t="n">
        <v>110000</v>
      </c>
      <c r="L1474" s="10">
        <f>IF($B1474="","",TEXT($B1474,"YYYY-MM"))</f>
        <v/>
      </c>
    </row>
    <row r="1475">
      <c r="A1475" s="10" t="inlineStr">
        <is>
          <t>INV-70145</t>
        </is>
      </c>
      <c r="B1475" s="18" t="n">
        <v>46165</v>
      </c>
      <c r="C1475" s="10" t="inlineStr">
        <is>
          <t>C1042</t>
        </is>
      </c>
      <c r="D1475" s="10" t="inlineStr">
        <is>
          <t>loyal</t>
        </is>
      </c>
      <c r="E1475" s="10" t="inlineStr">
        <is>
          <t>TikTok Shop</t>
        </is>
      </c>
      <c r="F1475" s="10" t="inlineStr">
        <is>
          <t>Jawa Timur</t>
        </is>
      </c>
      <c r="G1475" s="10" t="inlineStr">
        <is>
          <t>Rumah Tangga</t>
        </is>
      </c>
      <c r="H1475" s="10" t="inlineStr">
        <is>
          <t>Organizer Laci</t>
        </is>
      </c>
      <c r="I1475" s="19" t="n">
        <v>2</v>
      </c>
      <c r="J1475" s="20" t="n">
        <v>78000</v>
      </c>
      <c r="K1475" s="20" t="n">
        <v>156000</v>
      </c>
      <c r="L1475" s="10">
        <f>IF($B1475="","",TEXT($B1475,"YYYY-MM"))</f>
        <v/>
      </c>
    </row>
    <row r="1476">
      <c r="A1476" s="10" t="inlineStr">
        <is>
          <t>INV-71200</t>
        </is>
      </c>
      <c r="B1476" s="18" t="n">
        <v>46165</v>
      </c>
      <c r="C1476" s="10" t="inlineStr">
        <is>
          <t>C1339</t>
        </is>
      </c>
      <c r="D1476" s="10" t="inlineStr">
        <is>
          <t>onetime</t>
        </is>
      </c>
      <c r="E1476" s="10" t="inlineStr">
        <is>
          <t>Offline Store</t>
        </is>
      </c>
      <c r="F1476" s="10" t="inlineStr">
        <is>
          <t>Jabodetabek</t>
        </is>
      </c>
      <c r="G1476" s="10" t="inlineStr">
        <is>
          <t>Kecantikan</t>
        </is>
      </c>
      <c r="H1476" s="10" t="inlineStr">
        <is>
          <t>Masker Wajah (5s)</t>
        </is>
      </c>
      <c r="I1476" s="19" t="n">
        <v>2</v>
      </c>
      <c r="J1476" s="20" t="n">
        <v>55000</v>
      </c>
      <c r="K1476" s="20" t="n">
        <v>110000</v>
      </c>
      <c r="L1476" s="10">
        <f>IF($B1476="","",TEXT($B1476,"YYYY-MM"))</f>
        <v/>
      </c>
    </row>
    <row r="1477">
      <c r="A1477" s="10" t="inlineStr">
        <is>
          <t>INV-70650</t>
        </is>
      </c>
      <c r="B1477" s="18" t="n">
        <v>46165</v>
      </c>
      <c r="C1477" s="10" t="inlineStr">
        <is>
          <t>C1178</t>
        </is>
      </c>
      <c r="D1477" s="10" t="inlineStr">
        <is>
          <t>regular</t>
        </is>
      </c>
      <c r="E1477" s="10" t="inlineStr">
        <is>
          <t>Shopee</t>
        </is>
      </c>
      <c r="F1477" s="10" t="inlineStr">
        <is>
          <t>Lainnya</t>
        </is>
      </c>
      <c r="G1477" s="10" t="inlineStr">
        <is>
          <t>Elektronik</t>
        </is>
      </c>
      <c r="H1477" s="10" t="inlineStr">
        <is>
          <t>Smartwatch</t>
        </is>
      </c>
      <c r="I1477" s="19" t="n">
        <v>3</v>
      </c>
      <c r="J1477" s="20" t="n">
        <v>450000</v>
      </c>
      <c r="K1477" s="20" t="n">
        <v>1350000</v>
      </c>
      <c r="L1477" s="10">
        <f>IF($B1477="","",TEXT($B1477,"YYYY-MM"))</f>
        <v/>
      </c>
    </row>
    <row r="1478">
      <c r="A1478" s="10" t="inlineStr">
        <is>
          <t>INV-70594</t>
        </is>
      </c>
      <c r="B1478" s="18" t="n">
        <v>46165</v>
      </c>
      <c r="C1478" s="10" t="inlineStr">
        <is>
          <t>C1161</t>
        </is>
      </c>
      <c r="D1478" s="10" t="inlineStr">
        <is>
          <t>champion</t>
        </is>
      </c>
      <c r="E1478" s="10" t="inlineStr">
        <is>
          <t>Shopee</t>
        </is>
      </c>
      <c r="F1478" s="10" t="inlineStr">
        <is>
          <t>Jabodetabek</t>
        </is>
      </c>
      <c r="G1478" s="10" t="inlineStr">
        <is>
          <t>Makanan</t>
        </is>
      </c>
      <c r="H1478" s="10" t="inlineStr">
        <is>
          <t>Granola 500g</t>
        </is>
      </c>
      <c r="I1478" s="19" t="n">
        <v>2</v>
      </c>
      <c r="J1478" s="20" t="n">
        <v>92000</v>
      </c>
      <c r="K1478" s="20" t="n">
        <v>184000</v>
      </c>
      <c r="L1478" s="10">
        <f>IF($B1478="","",TEXT($B1478,"YYYY-MM"))</f>
        <v/>
      </c>
    </row>
    <row r="1479">
      <c r="A1479" s="10" t="inlineStr">
        <is>
          <t>INV-70176</t>
        </is>
      </c>
      <c r="B1479" s="18" t="n">
        <v>46165</v>
      </c>
      <c r="C1479" s="10" t="inlineStr">
        <is>
          <t>C1050</t>
        </is>
      </c>
      <c r="D1479" s="10" t="inlineStr">
        <is>
          <t>regular</t>
        </is>
      </c>
      <c r="E1479" s="10" t="inlineStr">
        <is>
          <t>Tokopedia</t>
        </is>
      </c>
      <c r="F1479" s="10" t="inlineStr">
        <is>
          <t>Jawa Barat</t>
        </is>
      </c>
      <c r="G1479" s="10" t="inlineStr">
        <is>
          <t>Rumah Tangga</t>
        </is>
      </c>
      <c r="H1479" s="10" t="inlineStr">
        <is>
          <t>Diffuser Aroma</t>
        </is>
      </c>
      <c r="I1479" s="19" t="n">
        <v>3</v>
      </c>
      <c r="J1479" s="20" t="n">
        <v>195000</v>
      </c>
      <c r="K1479" s="20" t="n">
        <v>585000</v>
      </c>
      <c r="L1479" s="10">
        <f>IF($B1479="","",TEXT($B1479,"YYYY-MM"))</f>
        <v/>
      </c>
    </row>
    <row r="1480">
      <c r="A1480" s="10" t="inlineStr">
        <is>
          <t>INV-71229</t>
        </is>
      </c>
      <c r="B1480" s="18" t="n">
        <v>46165</v>
      </c>
      <c r="C1480" s="10" t="inlineStr">
        <is>
          <t>C1348</t>
        </is>
      </c>
      <c r="D1480" s="10" t="inlineStr">
        <is>
          <t>loyal</t>
        </is>
      </c>
      <c r="E1480" s="10" t="inlineStr">
        <is>
          <t>Shopee</t>
        </is>
      </c>
      <c r="F1480" s="10" t="inlineStr">
        <is>
          <t>Sumatera</t>
        </is>
      </c>
      <c r="G1480" s="10" t="inlineStr">
        <is>
          <t>Rumah Tangga</t>
        </is>
      </c>
      <c r="H1480" s="10" t="inlineStr">
        <is>
          <t>Set Wadah Kedap</t>
        </is>
      </c>
      <c r="I1480" s="19" t="n">
        <v>3</v>
      </c>
      <c r="J1480" s="20" t="n">
        <v>135000</v>
      </c>
      <c r="K1480" s="20" t="n">
        <v>405000</v>
      </c>
      <c r="L1480" s="10">
        <f>IF($B1480="","",TEXT($B1480,"YYYY-MM"))</f>
        <v/>
      </c>
    </row>
    <row r="1481">
      <c r="A1481" s="10" t="inlineStr">
        <is>
          <t>INV-71317</t>
        </is>
      </c>
      <c r="B1481" s="18" t="n">
        <v>46165</v>
      </c>
      <c r="C1481" s="10" t="inlineStr">
        <is>
          <t>C1364</t>
        </is>
      </c>
      <c r="D1481" s="10" t="inlineStr">
        <is>
          <t>champion</t>
        </is>
      </c>
      <c r="E1481" s="10" t="inlineStr">
        <is>
          <t>Shopee</t>
        </is>
      </c>
      <c r="F1481" s="10" t="inlineStr">
        <is>
          <t>Jabodetabek</t>
        </is>
      </c>
      <c r="G1481" s="10" t="inlineStr">
        <is>
          <t>Elektronik</t>
        </is>
      </c>
      <c r="H1481" s="10" t="inlineStr">
        <is>
          <t>Webcam HD</t>
        </is>
      </c>
      <c r="I1481" s="19" t="n">
        <v>1</v>
      </c>
      <c r="J1481" s="20" t="n">
        <v>210000</v>
      </c>
      <c r="K1481" s="20" t="n">
        <v>210000</v>
      </c>
      <c r="L1481" s="10">
        <f>IF($B1481="","",TEXT($B1481,"YYYY-MM"))</f>
        <v/>
      </c>
    </row>
    <row r="1482">
      <c r="A1482" s="10" t="inlineStr">
        <is>
          <t>INV-70487</t>
        </is>
      </c>
      <c r="B1482" s="18" t="n">
        <v>46165</v>
      </c>
      <c r="C1482" s="10" t="inlineStr">
        <is>
          <t>C1139</t>
        </is>
      </c>
      <c r="D1482" s="10" t="inlineStr">
        <is>
          <t>champion</t>
        </is>
      </c>
      <c r="E1482" s="10" t="inlineStr">
        <is>
          <t>TikTok Shop</t>
        </is>
      </c>
      <c r="F1482" s="10" t="inlineStr">
        <is>
          <t>Jawa Barat</t>
        </is>
      </c>
      <c r="G1482" s="10" t="inlineStr">
        <is>
          <t>Elektronik</t>
        </is>
      </c>
      <c r="H1482" s="10" t="inlineStr">
        <is>
          <t>Webcam HD</t>
        </is>
      </c>
      <c r="I1482" s="19" t="n">
        <v>1</v>
      </c>
      <c r="J1482" s="20" t="n">
        <v>210000</v>
      </c>
      <c r="K1482" s="20" t="n">
        <v>210000</v>
      </c>
      <c r="L1482" s="10">
        <f>IF($B1482="","",TEXT($B1482,"YYYY-MM"))</f>
        <v/>
      </c>
    </row>
    <row r="1483">
      <c r="A1483" s="10" t="inlineStr">
        <is>
          <t>INV-70574</t>
        </is>
      </c>
      <c r="B1483" s="18" t="n">
        <v>46166</v>
      </c>
      <c r="C1483" s="10" t="inlineStr">
        <is>
          <t>C1157</t>
        </is>
      </c>
      <c r="D1483" s="10" t="inlineStr">
        <is>
          <t>loyal</t>
        </is>
      </c>
      <c r="E1483" s="10" t="inlineStr">
        <is>
          <t>Offline Store</t>
        </is>
      </c>
      <c r="F1483" s="10" t="inlineStr">
        <is>
          <t>Jabodetabek</t>
        </is>
      </c>
      <c r="G1483" s="10" t="inlineStr">
        <is>
          <t>Rumah Tangga</t>
        </is>
      </c>
      <c r="H1483" s="10" t="inlineStr">
        <is>
          <t>Set Wadah Kedap</t>
        </is>
      </c>
      <c r="I1483" s="19" t="n">
        <v>1</v>
      </c>
      <c r="J1483" s="20" t="n">
        <v>135000</v>
      </c>
      <c r="K1483" s="20" t="n">
        <v>135000</v>
      </c>
      <c r="L1483" s="10">
        <f>IF($B1483="","",TEXT($B1483,"YYYY-MM"))</f>
        <v/>
      </c>
    </row>
    <row r="1484">
      <c r="A1484" s="10" t="inlineStr">
        <is>
          <t>INV-70449</t>
        </is>
      </c>
      <c r="B1484" s="18" t="n">
        <v>46167</v>
      </c>
      <c r="C1484" s="10" t="inlineStr">
        <is>
          <t>C1127</t>
        </is>
      </c>
      <c r="D1484" s="10" t="inlineStr">
        <is>
          <t>occasional</t>
        </is>
      </c>
      <c r="E1484" s="10" t="inlineStr">
        <is>
          <t>Shopee</t>
        </is>
      </c>
      <c r="F1484" s="10" t="inlineStr">
        <is>
          <t>Jabodetabek</t>
        </is>
      </c>
      <c r="G1484" s="10" t="inlineStr">
        <is>
          <t>Kecantikan</t>
        </is>
      </c>
      <c r="H1484" s="10" t="inlineStr">
        <is>
          <t>Masker Wajah (5s)</t>
        </is>
      </c>
      <c r="I1484" s="19" t="n">
        <v>1</v>
      </c>
      <c r="J1484" s="20" t="n">
        <v>55000</v>
      </c>
      <c r="K1484" s="20" t="n">
        <v>55000</v>
      </c>
      <c r="L1484" s="10">
        <f>IF($B1484="","",TEXT($B1484,"YYYY-MM"))</f>
        <v/>
      </c>
    </row>
    <row r="1485">
      <c r="A1485" s="10" t="inlineStr">
        <is>
          <t>INV-70191</t>
        </is>
      </c>
      <c r="B1485" s="18" t="n">
        <v>46167</v>
      </c>
      <c r="C1485" s="10" t="inlineStr">
        <is>
          <t>C1054</t>
        </is>
      </c>
      <c r="D1485" s="10" t="inlineStr">
        <is>
          <t>regular</t>
        </is>
      </c>
      <c r="E1485" s="10" t="inlineStr">
        <is>
          <t>Tokopedia</t>
        </is>
      </c>
      <c r="F1485" s="10" t="inlineStr">
        <is>
          <t>Jawa Timur</t>
        </is>
      </c>
      <c r="G1485" s="10" t="inlineStr">
        <is>
          <t>Rumah Tangga</t>
        </is>
      </c>
      <c r="H1485" s="10" t="inlineStr">
        <is>
          <t>Set Wadah Kedap</t>
        </is>
      </c>
      <c r="I1485" s="19" t="n">
        <v>1</v>
      </c>
      <c r="J1485" s="20" t="n">
        <v>135000</v>
      </c>
      <c r="K1485" s="20" t="n">
        <v>135000</v>
      </c>
      <c r="L1485" s="10">
        <f>IF($B1485="","",TEXT($B1485,"YYYY-MM"))</f>
        <v/>
      </c>
    </row>
    <row r="1486">
      <c r="A1486" s="10" t="inlineStr">
        <is>
          <t>INV-71084</t>
        </is>
      </c>
      <c r="B1486" s="18" t="n">
        <v>46167</v>
      </c>
      <c r="C1486" s="10" t="inlineStr">
        <is>
          <t>C1305</t>
        </is>
      </c>
      <c r="D1486" s="10" t="inlineStr">
        <is>
          <t>champion</t>
        </is>
      </c>
      <c r="E1486" s="10" t="inlineStr">
        <is>
          <t>Offline Store</t>
        </is>
      </c>
      <c r="F1486" s="10" t="inlineStr">
        <is>
          <t>Sumatera</t>
        </is>
      </c>
      <c r="G1486" s="10" t="inlineStr">
        <is>
          <t>Rumah Tangga</t>
        </is>
      </c>
      <c r="H1486" s="10" t="inlineStr">
        <is>
          <t>Set Wadah Kedap</t>
        </is>
      </c>
      <c r="I1486" s="19" t="n">
        <v>4</v>
      </c>
      <c r="J1486" s="20" t="n">
        <v>135000</v>
      </c>
      <c r="K1486" s="20" t="n">
        <v>540000</v>
      </c>
      <c r="L1486" s="10">
        <f>IF($B1486="","",TEXT($B1486,"YYYY-MM"))</f>
        <v/>
      </c>
    </row>
    <row r="1487">
      <c r="A1487" s="10" t="inlineStr">
        <is>
          <t>INV-70740</t>
        </is>
      </c>
      <c r="B1487" s="18" t="n">
        <v>46167</v>
      </c>
      <c r="C1487" s="10" t="inlineStr">
        <is>
          <t>C1207</t>
        </is>
      </c>
      <c r="D1487" s="10" t="inlineStr">
        <is>
          <t>loyal</t>
        </is>
      </c>
      <c r="E1487" s="10" t="inlineStr">
        <is>
          <t>Shopee</t>
        </is>
      </c>
      <c r="F1487" s="10" t="inlineStr">
        <is>
          <t>Jabodetabek</t>
        </is>
      </c>
      <c r="G1487" s="10" t="inlineStr">
        <is>
          <t>Rumah Tangga</t>
        </is>
      </c>
      <c r="H1487" s="10" t="inlineStr">
        <is>
          <t>Set Wadah Kedap</t>
        </is>
      </c>
      <c r="I1487" s="19" t="n">
        <v>1</v>
      </c>
      <c r="J1487" s="20" t="n">
        <v>135000</v>
      </c>
      <c r="K1487" s="20" t="n">
        <v>135000</v>
      </c>
      <c r="L1487" s="10">
        <f>IF($B1487="","",TEXT($B1487,"YYYY-MM"))</f>
        <v/>
      </c>
    </row>
    <row r="1488">
      <c r="A1488" s="10" t="inlineStr">
        <is>
          <t>INV-70327</t>
        </is>
      </c>
      <c r="B1488" s="18" t="n">
        <v>46167</v>
      </c>
      <c r="C1488" s="10" t="inlineStr">
        <is>
          <t>C1090</t>
        </is>
      </c>
      <c r="D1488" s="10" t="inlineStr">
        <is>
          <t>champion</t>
        </is>
      </c>
      <c r="E1488" s="10" t="inlineStr">
        <is>
          <t>TikTok Shop</t>
        </is>
      </c>
      <c r="F1488" s="10" t="inlineStr">
        <is>
          <t>Jabodetabek</t>
        </is>
      </c>
      <c r="G1488" s="10" t="inlineStr">
        <is>
          <t>Fashion</t>
        </is>
      </c>
      <c r="H1488" s="10" t="inlineStr">
        <is>
          <t>Dress Casual</t>
        </is>
      </c>
      <c r="I1488" s="19" t="n">
        <v>3</v>
      </c>
      <c r="J1488" s="20" t="n">
        <v>225000</v>
      </c>
      <c r="K1488" s="20" t="n">
        <v>675000</v>
      </c>
      <c r="L1488" s="10">
        <f>IF($B1488="","",TEXT($B1488,"YYYY-MM"))</f>
        <v/>
      </c>
    </row>
    <row r="1489">
      <c r="A1489" s="10" t="inlineStr">
        <is>
          <t>INV-70078</t>
        </is>
      </c>
      <c r="B1489" s="18" t="n">
        <v>46168</v>
      </c>
      <c r="C1489" s="10" t="inlineStr">
        <is>
          <t>C1025</t>
        </is>
      </c>
      <c r="D1489" s="10" t="inlineStr">
        <is>
          <t>loyal</t>
        </is>
      </c>
      <c r="E1489" s="10" t="inlineStr">
        <is>
          <t>Offline Store</t>
        </is>
      </c>
      <c r="F1489" s="10" t="inlineStr">
        <is>
          <t>Jawa Barat</t>
        </is>
      </c>
      <c r="G1489" s="10" t="inlineStr">
        <is>
          <t>Fashion</t>
        </is>
      </c>
      <c r="H1489" s="10" t="inlineStr">
        <is>
          <t>Kemeja Linen</t>
        </is>
      </c>
      <c r="I1489" s="19" t="n">
        <v>4</v>
      </c>
      <c r="J1489" s="20" t="n">
        <v>185000</v>
      </c>
      <c r="K1489" s="20" t="n">
        <v>740000</v>
      </c>
      <c r="L1489" s="10">
        <f>IF($B1489="","",TEXT($B1489,"YYYY-MM"))</f>
        <v/>
      </c>
    </row>
    <row r="1490">
      <c r="A1490" s="10" t="inlineStr">
        <is>
          <t>INV-70260</t>
        </is>
      </c>
      <c r="B1490" s="18" t="n">
        <v>46168</v>
      </c>
      <c r="C1490" s="10" t="inlineStr">
        <is>
          <t>C1073</t>
        </is>
      </c>
      <c r="D1490" s="10" t="inlineStr">
        <is>
          <t>regular</t>
        </is>
      </c>
      <c r="E1490" s="10" t="inlineStr">
        <is>
          <t>Shopee</t>
        </is>
      </c>
      <c r="F1490" s="10" t="inlineStr">
        <is>
          <t>Jawa Barat</t>
        </is>
      </c>
      <c r="G1490" s="10" t="inlineStr">
        <is>
          <t>Rumah Tangga</t>
        </is>
      </c>
      <c r="H1490" s="10" t="inlineStr">
        <is>
          <t>Set Wadah Kedap</t>
        </is>
      </c>
      <c r="I1490" s="19" t="n">
        <v>1</v>
      </c>
      <c r="J1490" s="20" t="n">
        <v>135000</v>
      </c>
      <c r="K1490" s="20" t="n">
        <v>135000</v>
      </c>
      <c r="L1490" s="10">
        <f>IF($B1490="","",TEXT($B1490,"YYYY-MM"))</f>
        <v/>
      </c>
    </row>
    <row r="1491">
      <c r="A1491" s="10" t="inlineStr">
        <is>
          <t>INV-70521</t>
        </is>
      </c>
      <c r="B1491" s="18" t="n">
        <v>46168</v>
      </c>
      <c r="C1491" s="10" t="inlineStr">
        <is>
          <t>C1143</t>
        </is>
      </c>
      <c r="D1491" s="10" t="inlineStr">
        <is>
          <t>onetime</t>
        </is>
      </c>
      <c r="E1491" s="10" t="inlineStr">
        <is>
          <t>Shopee</t>
        </is>
      </c>
      <c r="F1491" s="10" t="inlineStr">
        <is>
          <t>Sumatera</t>
        </is>
      </c>
      <c r="G1491" s="10" t="inlineStr">
        <is>
          <t>Elektronik</t>
        </is>
      </c>
      <c r="H1491" s="10" t="inlineStr">
        <is>
          <t>Webcam HD</t>
        </is>
      </c>
      <c r="I1491" s="19" t="n">
        <v>1</v>
      </c>
      <c r="J1491" s="20" t="n">
        <v>210000</v>
      </c>
      <c r="K1491" s="20" t="n">
        <v>210000</v>
      </c>
      <c r="L1491" s="10">
        <f>IF($B1491="","",TEXT($B1491,"YYYY-MM"))</f>
        <v/>
      </c>
    </row>
    <row r="1492">
      <c r="A1492" s="10" t="inlineStr">
        <is>
          <t>INV-70902</t>
        </is>
      </c>
      <c r="B1492" s="18" t="n">
        <v>46168</v>
      </c>
      <c r="C1492" s="10" t="inlineStr">
        <is>
          <t>C1253</t>
        </is>
      </c>
      <c r="D1492" s="10" t="inlineStr">
        <is>
          <t>regular</t>
        </is>
      </c>
      <c r="E1492" s="10" t="inlineStr">
        <is>
          <t>Tokopedia</t>
        </is>
      </c>
      <c r="F1492" s="10" t="inlineStr">
        <is>
          <t>Jawa Tengah</t>
        </is>
      </c>
      <c r="G1492" s="10" t="inlineStr">
        <is>
          <t>Kecantikan</t>
        </is>
      </c>
      <c r="H1492" s="10" t="inlineStr">
        <is>
          <t>Masker Wajah (5s)</t>
        </is>
      </c>
      <c r="I1492" s="19" t="n">
        <v>3</v>
      </c>
      <c r="J1492" s="20" t="n">
        <v>55000</v>
      </c>
      <c r="K1492" s="20" t="n">
        <v>165000</v>
      </c>
      <c r="L1492" s="10">
        <f>IF($B1492="","",TEXT($B1492,"YYYY-MM"))</f>
        <v/>
      </c>
    </row>
    <row r="1493">
      <c r="A1493" s="10" t="inlineStr">
        <is>
          <t>INV-70754</t>
        </is>
      </c>
      <c r="B1493" s="18" t="n">
        <v>46168</v>
      </c>
      <c r="C1493" s="10" t="inlineStr">
        <is>
          <t>C1210</t>
        </is>
      </c>
      <c r="D1493" s="10" t="inlineStr">
        <is>
          <t>loyal</t>
        </is>
      </c>
      <c r="E1493" s="10" t="inlineStr">
        <is>
          <t>Tokopedia</t>
        </is>
      </c>
      <c r="F1493" s="10" t="inlineStr">
        <is>
          <t>Lainnya</t>
        </is>
      </c>
      <c r="G1493" s="10" t="inlineStr">
        <is>
          <t>Rumah Tangga</t>
        </is>
      </c>
      <c r="H1493" s="10" t="inlineStr">
        <is>
          <t>Set Wadah Kedap</t>
        </is>
      </c>
      <c r="I1493" s="19" t="n">
        <v>3</v>
      </c>
      <c r="J1493" s="20" t="n">
        <v>135000</v>
      </c>
      <c r="K1493" s="20" t="n">
        <v>405000</v>
      </c>
      <c r="L1493" s="10">
        <f>IF($B1493="","",TEXT($B1493,"YYYY-MM"))</f>
        <v/>
      </c>
    </row>
    <row r="1494">
      <c r="A1494" s="10" t="inlineStr">
        <is>
          <t>INV-71486</t>
        </is>
      </c>
      <c r="B1494" s="18" t="n">
        <v>46169</v>
      </c>
      <c r="C1494" s="10" t="inlineStr">
        <is>
          <t>C1409</t>
        </is>
      </c>
      <c r="D1494" s="10" t="inlineStr">
        <is>
          <t>loyal</t>
        </is>
      </c>
      <c r="E1494" s="10" t="inlineStr">
        <is>
          <t>Tokopedia</t>
        </is>
      </c>
      <c r="F1494" s="10" t="inlineStr">
        <is>
          <t>Jabodetabek</t>
        </is>
      </c>
      <c r="G1494" s="10" t="inlineStr">
        <is>
          <t>Fashion</t>
        </is>
      </c>
      <c r="H1494" s="10" t="inlineStr">
        <is>
          <t>Celana Chino</t>
        </is>
      </c>
      <c r="I1494" s="19" t="n">
        <v>4</v>
      </c>
      <c r="J1494" s="20" t="n">
        <v>195000</v>
      </c>
      <c r="K1494" s="20" t="n">
        <v>780000</v>
      </c>
      <c r="L1494" s="10">
        <f>IF($B1494="","",TEXT($B1494,"YYYY-MM"))</f>
        <v/>
      </c>
    </row>
    <row r="1495">
      <c r="A1495" s="10" t="inlineStr">
        <is>
          <t>INV-71423</t>
        </is>
      </c>
      <c r="B1495" s="18" t="n">
        <v>46169</v>
      </c>
      <c r="C1495" s="10" t="inlineStr">
        <is>
          <t>C1393</t>
        </is>
      </c>
      <c r="D1495" s="10" t="inlineStr">
        <is>
          <t>regular</t>
        </is>
      </c>
      <c r="E1495" s="10" t="inlineStr">
        <is>
          <t>TikTok Shop</t>
        </is>
      </c>
      <c r="F1495" s="10" t="inlineStr">
        <is>
          <t>Jabodetabek</t>
        </is>
      </c>
      <c r="G1495" s="10" t="inlineStr">
        <is>
          <t>Kecantikan</t>
        </is>
      </c>
      <c r="H1495" s="10" t="inlineStr">
        <is>
          <t>Masker Wajah (5s)</t>
        </is>
      </c>
      <c r="I1495" s="19" t="n">
        <v>1</v>
      </c>
      <c r="J1495" s="20" t="n">
        <v>55000</v>
      </c>
      <c r="K1495" s="20" t="n">
        <v>55000</v>
      </c>
      <c r="L1495" s="10">
        <f>IF($B1495="","",TEXT($B1495,"YYYY-MM"))</f>
        <v/>
      </c>
    </row>
    <row r="1496">
      <c r="A1496" s="10" t="inlineStr">
        <is>
          <t>INV-70388</t>
        </is>
      </c>
      <c r="B1496" s="18" t="n">
        <v>46169</v>
      </c>
      <c r="C1496" s="10" t="inlineStr">
        <is>
          <t>C1111</t>
        </is>
      </c>
      <c r="D1496" s="10" t="inlineStr">
        <is>
          <t>champion</t>
        </is>
      </c>
      <c r="E1496" s="10" t="inlineStr">
        <is>
          <t>Offline Store</t>
        </is>
      </c>
      <c r="F1496" s="10" t="inlineStr">
        <is>
          <t>Jabodetabek</t>
        </is>
      </c>
      <c r="G1496" s="10" t="inlineStr">
        <is>
          <t>Rumah Tangga</t>
        </is>
      </c>
      <c r="H1496" s="10" t="inlineStr">
        <is>
          <t>Set Wadah Kedap</t>
        </is>
      </c>
      <c r="I1496" s="19" t="n">
        <v>2</v>
      </c>
      <c r="J1496" s="20" t="n">
        <v>135000</v>
      </c>
      <c r="K1496" s="20" t="n">
        <v>270000</v>
      </c>
      <c r="L1496" s="10">
        <f>IF($B1496="","",TEXT($B1496,"YYYY-MM"))</f>
        <v/>
      </c>
    </row>
    <row r="1497">
      <c r="A1497" s="10" t="inlineStr">
        <is>
          <t>INV-71179</t>
        </is>
      </c>
      <c r="B1497" s="18" t="n">
        <v>46169</v>
      </c>
      <c r="C1497" s="10" t="inlineStr">
        <is>
          <t>C1334</t>
        </is>
      </c>
      <c r="D1497" s="10" t="inlineStr">
        <is>
          <t>champion</t>
        </is>
      </c>
      <c r="E1497" s="10" t="inlineStr">
        <is>
          <t>Shopee</t>
        </is>
      </c>
      <c r="F1497" s="10" t="inlineStr">
        <is>
          <t>Jawa Tengah</t>
        </is>
      </c>
      <c r="G1497" s="10" t="inlineStr">
        <is>
          <t>Rumah Tangga</t>
        </is>
      </c>
      <c r="H1497" s="10" t="inlineStr">
        <is>
          <t>Set Wadah Kedap</t>
        </is>
      </c>
      <c r="I1497" s="19" t="n">
        <v>2</v>
      </c>
      <c r="J1497" s="20" t="n">
        <v>135000</v>
      </c>
      <c r="K1497" s="20" t="n">
        <v>270000</v>
      </c>
      <c r="L1497" s="10">
        <f>IF($B1497="","",TEXT($B1497,"YYYY-MM"))</f>
        <v/>
      </c>
    </row>
    <row r="1498">
      <c r="A1498" s="10" t="inlineStr">
        <is>
          <t>INV-70245</t>
        </is>
      </c>
      <c r="B1498" s="18" t="n">
        <v>46169</v>
      </c>
      <c r="C1498" s="10" t="inlineStr">
        <is>
          <t>C1070</t>
        </is>
      </c>
      <c r="D1498" s="10" t="inlineStr">
        <is>
          <t>regular</t>
        </is>
      </c>
      <c r="E1498" s="10" t="inlineStr">
        <is>
          <t>Shopee</t>
        </is>
      </c>
      <c r="F1498" s="10" t="inlineStr">
        <is>
          <t>Jabodetabek</t>
        </is>
      </c>
      <c r="G1498" s="10" t="inlineStr">
        <is>
          <t>Makanan</t>
        </is>
      </c>
      <c r="H1498" s="10" t="inlineStr">
        <is>
          <t>Granola 500g</t>
        </is>
      </c>
      <c r="I1498" s="19" t="n">
        <v>1</v>
      </c>
      <c r="J1498" s="20" t="n">
        <v>92000</v>
      </c>
      <c r="K1498" s="20" t="n">
        <v>92000</v>
      </c>
      <c r="L1498" s="10">
        <f>IF($B1498="","",TEXT($B1498,"YYYY-MM"))</f>
        <v/>
      </c>
    </row>
    <row r="1499">
      <c r="A1499" s="10" t="inlineStr">
        <is>
          <t>INV-70298</t>
        </is>
      </c>
      <c r="B1499" s="18" t="n">
        <v>46174</v>
      </c>
      <c r="C1499" s="10" t="inlineStr">
        <is>
          <t>C1084</t>
        </is>
      </c>
      <c r="D1499" s="10" t="inlineStr">
        <is>
          <t>loyal</t>
        </is>
      </c>
      <c r="E1499" s="10" t="inlineStr">
        <is>
          <t>Shopee</t>
        </is>
      </c>
      <c r="F1499" s="10" t="inlineStr">
        <is>
          <t>Jabodetabek</t>
        </is>
      </c>
      <c r="G1499" s="10" t="inlineStr">
        <is>
          <t>Rumah Tangga</t>
        </is>
      </c>
      <c r="H1499" s="10" t="inlineStr">
        <is>
          <t>Organizer Laci</t>
        </is>
      </c>
      <c r="I1499" s="19" t="n">
        <v>1</v>
      </c>
      <c r="J1499" s="20" t="n">
        <v>78000</v>
      </c>
      <c r="K1499" s="20" t="n">
        <v>78000</v>
      </c>
      <c r="L1499" s="10">
        <f>IF($B1499="","",TEXT($B1499,"YYYY-MM"))</f>
        <v/>
      </c>
    </row>
    <row r="1500">
      <c r="A1500" s="10" t="inlineStr">
        <is>
          <t>INV-70476</t>
        </is>
      </c>
      <c r="B1500" s="18" t="n">
        <v>46174</v>
      </c>
      <c r="C1500" s="10" t="inlineStr">
        <is>
          <t>C1137</t>
        </is>
      </c>
      <c r="D1500" s="10" t="inlineStr">
        <is>
          <t>loyal</t>
        </is>
      </c>
      <c r="E1500" s="10" t="inlineStr">
        <is>
          <t>Shopee</t>
        </is>
      </c>
      <c r="F1500" s="10" t="inlineStr">
        <is>
          <t>Jabodetabek</t>
        </is>
      </c>
      <c r="G1500" s="10" t="inlineStr">
        <is>
          <t>Elektronik</t>
        </is>
      </c>
      <c r="H1500" s="10" t="inlineStr">
        <is>
          <t>Power Bank 20K</t>
        </is>
      </c>
      <c r="I1500" s="19" t="n">
        <v>1</v>
      </c>
      <c r="J1500" s="20" t="n">
        <v>185000</v>
      </c>
      <c r="K1500" s="20" t="n">
        <v>185000</v>
      </c>
      <c r="L1500" s="10">
        <f>IF($B1500="","",TEXT($B1500,"YYYY-MM"))</f>
        <v/>
      </c>
    </row>
    <row r="1501">
      <c r="A1501" s="10" t="inlineStr">
        <is>
          <t>INV-71441</t>
        </is>
      </c>
      <c r="B1501" s="18" t="n">
        <v>46174</v>
      </c>
      <c r="C1501" s="10" t="inlineStr">
        <is>
          <t>C1396</t>
        </is>
      </c>
      <c r="D1501" s="10" t="inlineStr">
        <is>
          <t>loyal</t>
        </is>
      </c>
      <c r="E1501" s="10" t="inlineStr">
        <is>
          <t>Tokopedia</t>
        </is>
      </c>
      <c r="F1501" s="10" t="inlineStr">
        <is>
          <t>Jabodetabek</t>
        </is>
      </c>
      <c r="G1501" s="10" t="inlineStr">
        <is>
          <t>Kecantikan</t>
        </is>
      </c>
      <c r="H1501" s="10" t="inlineStr">
        <is>
          <t>Masker Wajah (5s)</t>
        </is>
      </c>
      <c r="I1501" s="19" t="n">
        <v>1</v>
      </c>
      <c r="J1501" s="20" t="n">
        <v>55000</v>
      </c>
      <c r="K1501" s="20" t="n">
        <v>55000</v>
      </c>
      <c r="L1501" s="10">
        <f>IF($B1501="","",TEXT($B1501,"YYYY-MM"))</f>
        <v/>
      </c>
    </row>
    <row r="1502">
      <c r="A1502" s="10" t="inlineStr">
        <is>
          <t>INV-70694</t>
        </is>
      </c>
      <c r="B1502" s="18" t="n">
        <v>46174</v>
      </c>
      <c r="C1502" s="10" t="inlineStr">
        <is>
          <t>C1193</t>
        </is>
      </c>
      <c r="D1502" s="10" t="inlineStr">
        <is>
          <t>loyal</t>
        </is>
      </c>
      <c r="E1502" s="10" t="inlineStr">
        <is>
          <t>Shopee</t>
        </is>
      </c>
      <c r="F1502" s="10" t="inlineStr">
        <is>
          <t>Jabodetabek</t>
        </is>
      </c>
      <c r="G1502" s="10" t="inlineStr">
        <is>
          <t>Rumah Tangga</t>
        </is>
      </c>
      <c r="H1502" s="10" t="inlineStr">
        <is>
          <t>Set Wadah Kedap</t>
        </is>
      </c>
      <c r="I1502" s="19" t="n">
        <v>2</v>
      </c>
      <c r="J1502" s="20" t="n">
        <v>135000</v>
      </c>
      <c r="K1502" s="20" t="n">
        <v>270000</v>
      </c>
      <c r="L1502" s="10">
        <f>IF($B1502="","",TEXT($B1502,"YYYY-MM"))</f>
        <v/>
      </c>
    </row>
    <row r="1503">
      <c r="A1503" s="10" t="inlineStr">
        <is>
          <t>INV-70642</t>
        </is>
      </c>
      <c r="B1503" s="18" t="n">
        <v>46174</v>
      </c>
      <c r="C1503" s="10" t="inlineStr">
        <is>
          <t>C1174</t>
        </is>
      </c>
      <c r="D1503" s="10" t="inlineStr">
        <is>
          <t>loyal</t>
        </is>
      </c>
      <c r="E1503" s="10" t="inlineStr">
        <is>
          <t>TikTok Shop</t>
        </is>
      </c>
      <c r="F1503" s="10" t="inlineStr">
        <is>
          <t>Jabodetabek</t>
        </is>
      </c>
      <c r="G1503" s="10" t="inlineStr">
        <is>
          <t>Rumah Tangga</t>
        </is>
      </c>
      <c r="H1503" s="10" t="inlineStr">
        <is>
          <t>Organizer Laci</t>
        </is>
      </c>
      <c r="I1503" s="19" t="n">
        <v>1</v>
      </c>
      <c r="J1503" s="20" t="n">
        <v>78000</v>
      </c>
      <c r="K1503" s="20" t="n">
        <v>78000</v>
      </c>
      <c r="L1503" s="10">
        <f>IF($B1503="","",TEXT($B1503,"YYYY-MM"))</f>
        <v/>
      </c>
    </row>
    <row r="1504">
      <c r="A1504" s="10" t="inlineStr">
        <is>
          <t>INV-71465</t>
        </is>
      </c>
      <c r="B1504" s="18" t="n">
        <v>46175</v>
      </c>
      <c r="C1504" s="10" t="inlineStr">
        <is>
          <t>C1404</t>
        </is>
      </c>
      <c r="D1504" s="10" t="inlineStr">
        <is>
          <t>loyal</t>
        </is>
      </c>
      <c r="E1504" s="10" t="inlineStr">
        <is>
          <t>TikTok Shop</t>
        </is>
      </c>
      <c r="F1504" s="10" t="inlineStr">
        <is>
          <t>Jawa Barat</t>
        </is>
      </c>
      <c r="G1504" s="10" t="inlineStr">
        <is>
          <t>Elektronik</t>
        </is>
      </c>
      <c r="H1504" s="10" t="inlineStr">
        <is>
          <t>Power Bank 20K</t>
        </is>
      </c>
      <c r="I1504" s="19" t="n">
        <v>2</v>
      </c>
      <c r="J1504" s="20" t="n">
        <v>185000</v>
      </c>
      <c r="K1504" s="20" t="n">
        <v>370000</v>
      </c>
      <c r="L1504" s="10">
        <f>IF($B1504="","",TEXT($B1504,"YYYY-MM"))</f>
        <v/>
      </c>
    </row>
    <row r="1505">
      <c r="A1505" s="10" t="inlineStr">
        <is>
          <t>INV-71046</t>
        </is>
      </c>
      <c r="B1505" s="18" t="n">
        <v>46175</v>
      </c>
      <c r="C1505" s="10" t="inlineStr">
        <is>
          <t>C1296</t>
        </is>
      </c>
      <c r="D1505" s="10" t="inlineStr">
        <is>
          <t>loyal</t>
        </is>
      </c>
      <c r="E1505" s="10" t="inlineStr">
        <is>
          <t>Shopee</t>
        </is>
      </c>
      <c r="F1505" s="10" t="inlineStr">
        <is>
          <t>Jawa Tengah</t>
        </is>
      </c>
      <c r="G1505" s="10" t="inlineStr">
        <is>
          <t>Elektronik</t>
        </is>
      </c>
      <c r="H1505" s="10" t="inlineStr">
        <is>
          <t>Webcam HD</t>
        </is>
      </c>
      <c r="I1505" s="19" t="n">
        <v>4</v>
      </c>
      <c r="J1505" s="20" t="n">
        <v>210000</v>
      </c>
      <c r="K1505" s="20" t="n">
        <v>840000</v>
      </c>
      <c r="L1505" s="10">
        <f>IF($B1505="","",TEXT($B1505,"YYYY-MM"))</f>
        <v/>
      </c>
    </row>
    <row r="1506">
      <c r="A1506" s="10" t="inlineStr">
        <is>
          <t>INV-70573</t>
        </is>
      </c>
      <c r="B1506" s="18" t="n">
        <v>46175</v>
      </c>
      <c r="C1506" s="10" t="inlineStr">
        <is>
          <t>C1156</t>
        </is>
      </c>
      <c r="D1506" s="10" t="inlineStr">
        <is>
          <t>champion</t>
        </is>
      </c>
      <c r="E1506" s="10" t="inlineStr">
        <is>
          <t>Shopee</t>
        </is>
      </c>
      <c r="F1506" s="10" t="inlineStr">
        <is>
          <t>Jawa Barat</t>
        </is>
      </c>
      <c r="G1506" s="10" t="inlineStr">
        <is>
          <t>Fashion</t>
        </is>
      </c>
      <c r="H1506" s="10" t="inlineStr">
        <is>
          <t>Dress Casual</t>
        </is>
      </c>
      <c r="I1506" s="19" t="n">
        <v>2</v>
      </c>
      <c r="J1506" s="20" t="n">
        <v>225000</v>
      </c>
      <c r="K1506" s="20" t="n">
        <v>450000</v>
      </c>
      <c r="L1506" s="10">
        <f>IF($B1506="","",TEXT($B1506,"YYYY-MM"))</f>
        <v/>
      </c>
    </row>
    <row r="1507">
      <c r="A1507" s="10" t="inlineStr">
        <is>
          <t>INV-70778</t>
        </is>
      </c>
      <c r="B1507" s="18" t="n">
        <v>46176</v>
      </c>
      <c r="C1507" s="10" t="inlineStr">
        <is>
          <t>C1220</t>
        </is>
      </c>
      <c r="D1507" s="10" t="inlineStr">
        <is>
          <t>loyal</t>
        </is>
      </c>
      <c r="E1507" s="10" t="inlineStr">
        <is>
          <t>Tokopedia</t>
        </is>
      </c>
      <c r="F1507" s="10" t="inlineStr">
        <is>
          <t>Jabodetabek</t>
        </is>
      </c>
      <c r="G1507" s="10" t="inlineStr">
        <is>
          <t>Fashion</t>
        </is>
      </c>
      <c r="H1507" s="10" t="inlineStr">
        <is>
          <t>Celana Chino</t>
        </is>
      </c>
      <c r="I1507" s="19" t="n">
        <v>1</v>
      </c>
      <c r="J1507" s="20" t="n">
        <v>195000</v>
      </c>
      <c r="K1507" s="20" t="n">
        <v>195000</v>
      </c>
      <c r="L1507" s="10">
        <f>IF($B1507="","",TEXT($B1507,"YYYY-MM"))</f>
        <v/>
      </c>
    </row>
    <row r="1508">
      <c r="A1508" s="10" t="inlineStr">
        <is>
          <t>INV-70818</t>
        </is>
      </c>
      <c r="B1508" s="18" t="n">
        <v>46178</v>
      </c>
      <c r="C1508" s="10" t="inlineStr">
        <is>
          <t>C1231</t>
        </is>
      </c>
      <c r="D1508" s="10" t="inlineStr">
        <is>
          <t>loyal</t>
        </is>
      </c>
      <c r="E1508" s="10" t="inlineStr">
        <is>
          <t>Shopee</t>
        </is>
      </c>
      <c r="F1508" s="10" t="inlineStr">
        <is>
          <t>Jawa Timur</t>
        </is>
      </c>
      <c r="G1508" s="10" t="inlineStr">
        <is>
          <t>Kecantikan</t>
        </is>
      </c>
      <c r="H1508" s="10" t="inlineStr">
        <is>
          <t>Masker Wajah (5s)</t>
        </is>
      </c>
      <c r="I1508" s="19" t="n">
        <v>3</v>
      </c>
      <c r="J1508" s="20" t="n">
        <v>55000</v>
      </c>
      <c r="K1508" s="20" t="n">
        <v>165000</v>
      </c>
      <c r="L1508" s="10">
        <f>IF($B1508="","",TEXT($B1508,"YYYY-MM"))</f>
        <v/>
      </c>
    </row>
    <row r="1509">
      <c r="A1509" s="10" t="inlineStr">
        <is>
          <t>INV-70483</t>
        </is>
      </c>
      <c r="B1509" s="18" t="n">
        <v>46178</v>
      </c>
      <c r="C1509" s="10" t="inlineStr">
        <is>
          <t>C1139</t>
        </is>
      </c>
      <c r="D1509" s="10" t="inlineStr">
        <is>
          <t>champion</t>
        </is>
      </c>
      <c r="E1509" s="10" t="inlineStr">
        <is>
          <t>Shopee</t>
        </is>
      </c>
      <c r="F1509" s="10" t="inlineStr">
        <is>
          <t>Jabodetabek</t>
        </is>
      </c>
      <c r="G1509" s="10" t="inlineStr">
        <is>
          <t>Rumah Tangga</t>
        </is>
      </c>
      <c r="H1509" s="10" t="inlineStr">
        <is>
          <t>Set Wadah Kedap</t>
        </is>
      </c>
      <c r="I1509" s="19" t="n">
        <v>1</v>
      </c>
      <c r="J1509" s="20" t="n">
        <v>135000</v>
      </c>
      <c r="K1509" s="20" t="n">
        <v>135000</v>
      </c>
      <c r="L1509" s="10">
        <f>IF($B1509="","",TEXT($B1509,"YYYY-MM"))</f>
        <v/>
      </c>
    </row>
    <row r="1510">
      <c r="A1510" s="10" t="inlineStr">
        <is>
          <t>INV-71119</t>
        </is>
      </c>
      <c r="B1510" s="18" t="n">
        <v>46178</v>
      </c>
      <c r="C1510" s="10" t="inlineStr">
        <is>
          <t>C1312</t>
        </is>
      </c>
      <c r="D1510" s="10" t="inlineStr">
        <is>
          <t>champion</t>
        </is>
      </c>
      <c r="E1510" s="10" t="inlineStr">
        <is>
          <t>Shopee</t>
        </is>
      </c>
      <c r="F1510" s="10" t="inlineStr">
        <is>
          <t>Jawa Barat</t>
        </is>
      </c>
      <c r="G1510" s="10" t="inlineStr">
        <is>
          <t>Elektronik</t>
        </is>
      </c>
      <c r="H1510" s="10" t="inlineStr">
        <is>
          <t>Power Bank 20K</t>
        </is>
      </c>
      <c r="I1510" s="19" t="n">
        <v>1</v>
      </c>
      <c r="J1510" s="20" t="n">
        <v>185000</v>
      </c>
      <c r="K1510" s="20" t="n">
        <v>185000</v>
      </c>
      <c r="L1510" s="10">
        <f>IF($B1510="","",TEXT($B1510,"YYYY-MM"))</f>
        <v/>
      </c>
    </row>
    <row r="1511">
      <c r="A1511" s="10" t="inlineStr">
        <is>
          <t>INV-70612</t>
        </is>
      </c>
      <c r="B1511" s="18" t="n">
        <v>46179</v>
      </c>
      <c r="C1511" s="10" t="inlineStr">
        <is>
          <t>C1165</t>
        </is>
      </c>
      <c r="D1511" s="10" t="inlineStr">
        <is>
          <t>regular</t>
        </is>
      </c>
      <c r="E1511" s="10" t="inlineStr">
        <is>
          <t>TikTok Shop</t>
        </is>
      </c>
      <c r="F1511" s="10" t="inlineStr">
        <is>
          <t>Jabodetabek</t>
        </is>
      </c>
      <c r="G1511" s="10" t="inlineStr">
        <is>
          <t>Rumah Tangga</t>
        </is>
      </c>
      <c r="H1511" s="10" t="inlineStr">
        <is>
          <t>Set Wadah Kedap</t>
        </is>
      </c>
      <c r="I1511" s="19" t="n">
        <v>1</v>
      </c>
      <c r="J1511" s="20" t="n">
        <v>135000</v>
      </c>
      <c r="K1511" s="20" t="n">
        <v>135000</v>
      </c>
      <c r="L1511" s="10">
        <f>IF($B1511="","",TEXT($B1511,"YYYY-MM"))</f>
        <v/>
      </c>
    </row>
    <row r="1512">
      <c r="A1512" s="10" t="inlineStr">
        <is>
          <t>INV-70533</t>
        </is>
      </c>
      <c r="B1512" s="18" t="n">
        <v>46179</v>
      </c>
      <c r="C1512" s="10" t="inlineStr">
        <is>
          <t>C1147</t>
        </is>
      </c>
      <c r="D1512" s="10" t="inlineStr">
        <is>
          <t>regular</t>
        </is>
      </c>
      <c r="E1512" s="10" t="inlineStr">
        <is>
          <t>Offline Store</t>
        </is>
      </c>
      <c r="F1512" s="10" t="inlineStr">
        <is>
          <t>Jawa Timur</t>
        </is>
      </c>
      <c r="G1512" s="10" t="inlineStr">
        <is>
          <t>Kecantikan</t>
        </is>
      </c>
      <c r="H1512" s="10" t="inlineStr">
        <is>
          <t>Masker Wajah (5s)</t>
        </is>
      </c>
      <c r="I1512" s="19" t="n">
        <v>3</v>
      </c>
      <c r="J1512" s="20" t="n">
        <v>55000</v>
      </c>
      <c r="K1512" s="20" t="n">
        <v>165000</v>
      </c>
      <c r="L1512" s="10">
        <f>IF($B1512="","",TEXT($B1512,"YYYY-MM"))</f>
        <v/>
      </c>
    </row>
    <row r="1513">
      <c r="A1513" s="10" t="inlineStr">
        <is>
          <t>INV-70548</t>
        </is>
      </c>
      <c r="B1513" s="18" t="n">
        <v>46180</v>
      </c>
      <c r="C1513" s="10" t="inlineStr">
        <is>
          <t>C1150</t>
        </is>
      </c>
      <c r="D1513" s="10" t="inlineStr">
        <is>
          <t>champion</t>
        </is>
      </c>
      <c r="E1513" s="10" t="inlineStr">
        <is>
          <t>Tokopedia</t>
        </is>
      </c>
      <c r="F1513" s="10" t="inlineStr">
        <is>
          <t>Jabodetabek</t>
        </is>
      </c>
      <c r="G1513" s="10" t="inlineStr">
        <is>
          <t>Elektronik</t>
        </is>
      </c>
      <c r="H1513" s="10" t="inlineStr">
        <is>
          <t>Earbuds TWS</t>
        </is>
      </c>
      <c r="I1513" s="19" t="n">
        <v>3</v>
      </c>
      <c r="J1513" s="20" t="n">
        <v>265000</v>
      </c>
      <c r="K1513" s="20" t="n">
        <v>795000</v>
      </c>
      <c r="L1513" s="10">
        <f>IF($B1513="","",TEXT($B1513,"YYYY-MM"))</f>
        <v/>
      </c>
    </row>
    <row r="1514">
      <c r="A1514" s="10" t="inlineStr">
        <is>
          <t>INV-70154</t>
        </is>
      </c>
      <c r="B1514" s="18" t="n">
        <v>46180</v>
      </c>
      <c r="C1514" s="10" t="inlineStr">
        <is>
          <t>C1045</t>
        </is>
      </c>
      <c r="D1514" s="10" t="inlineStr">
        <is>
          <t>regular</t>
        </is>
      </c>
      <c r="E1514" s="10" t="inlineStr">
        <is>
          <t>Tokopedia</t>
        </is>
      </c>
      <c r="F1514" s="10" t="inlineStr">
        <is>
          <t>Jabodetabek</t>
        </is>
      </c>
      <c r="G1514" s="10" t="inlineStr">
        <is>
          <t>Rumah Tangga</t>
        </is>
      </c>
      <c r="H1514" s="10" t="inlineStr">
        <is>
          <t>Organizer Laci</t>
        </is>
      </c>
      <c r="I1514" s="19" t="n">
        <v>1</v>
      </c>
      <c r="J1514" s="20" t="n">
        <v>78000</v>
      </c>
      <c r="K1514" s="20" t="n">
        <v>78000</v>
      </c>
      <c r="L1514" s="10">
        <f>IF($B1514="","",TEXT($B1514,"YYYY-MM"))</f>
        <v/>
      </c>
    </row>
    <row r="1515">
      <c r="A1515" s="10" t="inlineStr">
        <is>
          <t>INV-71088</t>
        </is>
      </c>
      <c r="B1515" s="18" t="n">
        <v>46180</v>
      </c>
      <c r="C1515" s="10" t="inlineStr">
        <is>
          <t>C1305</t>
        </is>
      </c>
      <c r="D1515" s="10" t="inlineStr">
        <is>
          <t>champion</t>
        </is>
      </c>
      <c r="E1515" s="10" t="inlineStr">
        <is>
          <t>Tokopedia</t>
        </is>
      </c>
      <c r="F1515" s="10" t="inlineStr">
        <is>
          <t>Jawa Timur</t>
        </is>
      </c>
      <c r="G1515" s="10" t="inlineStr">
        <is>
          <t>Elektronik</t>
        </is>
      </c>
      <c r="H1515" s="10" t="inlineStr">
        <is>
          <t>Earbuds TWS</t>
        </is>
      </c>
      <c r="I1515" s="19" t="n">
        <v>4</v>
      </c>
      <c r="J1515" s="20" t="n">
        <v>265000</v>
      </c>
      <c r="K1515" s="20" t="n">
        <v>1060000</v>
      </c>
      <c r="L1515" s="10">
        <f>IF($B1515="","",TEXT($B1515,"YYYY-MM"))</f>
        <v/>
      </c>
    </row>
    <row r="1516">
      <c r="A1516" s="10" t="inlineStr">
        <is>
          <t>INV-70911</t>
        </is>
      </c>
      <c r="B1516" s="18" t="n">
        <v>46180</v>
      </c>
      <c r="C1516" s="10" t="inlineStr">
        <is>
          <t>C1258</t>
        </is>
      </c>
      <c r="D1516" s="10" t="inlineStr">
        <is>
          <t>regular</t>
        </is>
      </c>
      <c r="E1516" s="10" t="inlineStr">
        <is>
          <t>TikTok Shop</t>
        </is>
      </c>
      <c r="F1516" s="10" t="inlineStr">
        <is>
          <t>Jawa Barat</t>
        </is>
      </c>
      <c r="G1516" s="10" t="inlineStr">
        <is>
          <t>Rumah Tangga</t>
        </is>
      </c>
      <c r="H1516" s="10" t="inlineStr">
        <is>
          <t>Set Wadah Kedap</t>
        </is>
      </c>
      <c r="I1516" s="19" t="n">
        <v>1</v>
      </c>
      <c r="J1516" s="20" t="n">
        <v>135000</v>
      </c>
      <c r="K1516" s="20" t="n">
        <v>135000</v>
      </c>
      <c r="L1516" s="10">
        <f>IF($B1516="","",TEXT($B1516,"YYYY-MM"))</f>
        <v/>
      </c>
    </row>
    <row r="1517">
      <c r="A1517" s="10" t="inlineStr">
        <is>
          <t>INV-70043</t>
        </is>
      </c>
      <c r="B1517" s="18" t="n">
        <v>46183</v>
      </c>
      <c r="C1517" s="10" t="inlineStr">
        <is>
          <t>C1012</t>
        </is>
      </c>
      <c r="D1517" s="10" t="inlineStr">
        <is>
          <t>loyal</t>
        </is>
      </c>
      <c r="E1517" s="10" t="inlineStr">
        <is>
          <t>Tokopedia</t>
        </is>
      </c>
      <c r="F1517" s="10" t="inlineStr">
        <is>
          <t>Jawa Barat</t>
        </is>
      </c>
      <c r="G1517" s="10" t="inlineStr">
        <is>
          <t>Fashion</t>
        </is>
      </c>
      <c r="H1517" s="10" t="inlineStr">
        <is>
          <t>Dress Casual</t>
        </is>
      </c>
      <c r="I1517" s="19" t="n">
        <v>2</v>
      </c>
      <c r="J1517" s="20" t="n">
        <v>225000</v>
      </c>
      <c r="K1517" s="20" t="n">
        <v>450000</v>
      </c>
      <c r="L1517" s="10">
        <f>IF($B1517="","",TEXT($B1517,"YYYY-MM"))</f>
        <v/>
      </c>
    </row>
    <row r="1518">
      <c r="A1518" s="10" t="inlineStr">
        <is>
          <t>INV-70866</t>
        </is>
      </c>
      <c r="B1518" s="18" t="n">
        <v>46183</v>
      </c>
      <c r="C1518" s="10" t="inlineStr">
        <is>
          <t>C1244</t>
        </is>
      </c>
      <c r="D1518" s="10" t="inlineStr">
        <is>
          <t>regular</t>
        </is>
      </c>
      <c r="E1518" s="10" t="inlineStr">
        <is>
          <t>Tokopedia</t>
        </is>
      </c>
      <c r="F1518" s="10" t="inlineStr">
        <is>
          <t>Jabodetabek</t>
        </is>
      </c>
      <c r="G1518" s="10" t="inlineStr">
        <is>
          <t>Fashion</t>
        </is>
      </c>
      <c r="H1518" s="10" t="inlineStr">
        <is>
          <t>Dress Casual</t>
        </is>
      </c>
      <c r="I1518" s="19" t="n">
        <v>1</v>
      </c>
      <c r="J1518" s="20" t="n">
        <v>225000</v>
      </c>
      <c r="K1518" s="20" t="n">
        <v>225000</v>
      </c>
      <c r="L1518" s="10">
        <f>IF($B1518="","",TEXT($B1518,"YYYY-MM"))</f>
        <v/>
      </c>
    </row>
    <row r="1519">
      <c r="A1519" s="10" t="inlineStr">
        <is>
          <t>INV-70135</t>
        </is>
      </c>
      <c r="B1519" s="18" t="n">
        <v>46183</v>
      </c>
      <c r="C1519" s="10" t="inlineStr">
        <is>
          <t>C1038</t>
        </is>
      </c>
      <c r="D1519" s="10" t="inlineStr">
        <is>
          <t>champion</t>
        </is>
      </c>
      <c r="E1519" s="10" t="inlineStr">
        <is>
          <t>Offline Store</t>
        </is>
      </c>
      <c r="F1519" s="10" t="inlineStr">
        <is>
          <t>Jabodetabek</t>
        </is>
      </c>
      <c r="G1519" s="10" t="inlineStr">
        <is>
          <t>Makanan</t>
        </is>
      </c>
      <c r="H1519" s="10" t="inlineStr">
        <is>
          <t>Granola 500g</t>
        </is>
      </c>
      <c r="I1519" s="19" t="n">
        <v>2</v>
      </c>
      <c r="J1519" s="20" t="n">
        <v>92000</v>
      </c>
      <c r="K1519" s="20" t="n">
        <v>184000</v>
      </c>
      <c r="L1519" s="10">
        <f>IF($B1519="","",TEXT($B1519,"YYYY-MM"))</f>
        <v/>
      </c>
    </row>
    <row r="1520">
      <c r="A1520" s="10" t="inlineStr">
        <is>
          <t>INV-71552</t>
        </is>
      </c>
      <c r="B1520" s="18" t="n">
        <v>46183</v>
      </c>
      <c r="C1520" s="10" t="inlineStr">
        <is>
          <t>C1428</t>
        </is>
      </c>
      <c r="D1520" s="10" t="inlineStr">
        <is>
          <t>loyal</t>
        </is>
      </c>
      <c r="E1520" s="10" t="inlineStr">
        <is>
          <t>Offline Store</t>
        </is>
      </c>
      <c r="F1520" s="10" t="inlineStr">
        <is>
          <t>Jabodetabek</t>
        </is>
      </c>
      <c r="G1520" s="10" t="inlineStr">
        <is>
          <t>Rumah Tangga</t>
        </is>
      </c>
      <c r="H1520" s="10" t="inlineStr">
        <is>
          <t>Set Wadah Kedap</t>
        </is>
      </c>
      <c r="I1520" s="19" t="n">
        <v>2</v>
      </c>
      <c r="J1520" s="20" t="n">
        <v>135000</v>
      </c>
      <c r="K1520" s="20" t="n">
        <v>270000</v>
      </c>
      <c r="L1520" s="10">
        <f>IF($B1520="","",TEXT($B1520,"YYYY-MM"))</f>
        <v/>
      </c>
    </row>
    <row r="1521">
      <c r="A1521" s="10" t="inlineStr">
        <is>
          <t>INV-71265</t>
        </is>
      </c>
      <c r="B1521" s="18" t="n">
        <v>46183</v>
      </c>
      <c r="C1521" s="10" t="inlineStr">
        <is>
          <t>C1358</t>
        </is>
      </c>
      <c r="D1521" s="10" t="inlineStr">
        <is>
          <t>champion</t>
        </is>
      </c>
      <c r="E1521" s="10" t="inlineStr">
        <is>
          <t>Tokopedia</t>
        </is>
      </c>
      <c r="F1521" s="10" t="inlineStr">
        <is>
          <t>Lainnya</t>
        </is>
      </c>
      <c r="G1521" s="10" t="inlineStr">
        <is>
          <t>Rumah Tangga</t>
        </is>
      </c>
      <c r="H1521" s="10" t="inlineStr">
        <is>
          <t>Set Wadah Kedap</t>
        </is>
      </c>
      <c r="I1521" s="19" t="n">
        <v>1</v>
      </c>
      <c r="J1521" s="20" t="n">
        <v>135000</v>
      </c>
      <c r="K1521" s="20" t="n">
        <v>135000</v>
      </c>
      <c r="L1521" s="10">
        <f>IF($B1521="","",TEXT($B1521,"YYYY-MM"))</f>
        <v/>
      </c>
    </row>
    <row r="1522">
      <c r="A1522" s="10" t="inlineStr">
        <is>
          <t>INV-70173</t>
        </is>
      </c>
      <c r="B1522" s="18" t="n">
        <v>46184</v>
      </c>
      <c r="C1522" s="10" t="inlineStr">
        <is>
          <t>C1049</t>
        </is>
      </c>
      <c r="D1522" s="10" t="inlineStr">
        <is>
          <t>champion</t>
        </is>
      </c>
      <c r="E1522" s="10" t="inlineStr">
        <is>
          <t>Offline Store</t>
        </is>
      </c>
      <c r="F1522" s="10" t="inlineStr">
        <is>
          <t>Jawa Barat</t>
        </is>
      </c>
      <c r="G1522" s="10" t="inlineStr">
        <is>
          <t>Rumah Tangga</t>
        </is>
      </c>
      <c r="H1522" s="10" t="inlineStr">
        <is>
          <t>Karpet Bulu</t>
        </is>
      </c>
      <c r="I1522" s="19" t="n">
        <v>2</v>
      </c>
      <c r="J1522" s="20" t="n">
        <v>240000</v>
      </c>
      <c r="K1522" s="20" t="n">
        <v>480000</v>
      </c>
      <c r="L1522" s="10">
        <f>IF($B1522="","",TEXT($B1522,"YYYY-MM"))</f>
        <v/>
      </c>
    </row>
    <row r="1523">
      <c r="A1523" s="10" t="inlineStr">
        <is>
          <t>INV-71175</t>
        </is>
      </c>
      <c r="B1523" s="18" t="n">
        <v>46184</v>
      </c>
      <c r="C1523" s="10" t="inlineStr">
        <is>
          <t>C1334</t>
        </is>
      </c>
      <c r="D1523" s="10" t="inlineStr">
        <is>
          <t>champion</t>
        </is>
      </c>
      <c r="E1523" s="10" t="inlineStr">
        <is>
          <t>Offline Store</t>
        </is>
      </c>
      <c r="F1523" s="10" t="inlineStr">
        <is>
          <t>Jawa Barat</t>
        </is>
      </c>
      <c r="G1523" s="10" t="inlineStr">
        <is>
          <t>Rumah Tangga</t>
        </is>
      </c>
      <c r="H1523" s="10" t="inlineStr">
        <is>
          <t>Set Wadah Kedap</t>
        </is>
      </c>
      <c r="I1523" s="19" t="n">
        <v>2</v>
      </c>
      <c r="J1523" s="20" t="n">
        <v>135000</v>
      </c>
      <c r="K1523" s="20" t="n">
        <v>270000</v>
      </c>
      <c r="L1523" s="10">
        <f>IF($B1523="","",TEXT($B1523,"YYYY-MM"))</f>
        <v/>
      </c>
    </row>
    <row r="1524">
      <c r="A1524" s="10" t="inlineStr">
        <is>
          <t>INV-71553</t>
        </is>
      </c>
      <c r="B1524" s="18" t="n">
        <v>46184</v>
      </c>
      <c r="C1524" s="10" t="inlineStr">
        <is>
          <t>C1428</t>
        </is>
      </c>
      <c r="D1524" s="10" t="inlineStr">
        <is>
          <t>loyal</t>
        </is>
      </c>
      <c r="E1524" s="10" t="inlineStr">
        <is>
          <t>Tokopedia</t>
        </is>
      </c>
      <c r="F1524" s="10" t="inlineStr">
        <is>
          <t>Jawa Barat</t>
        </is>
      </c>
      <c r="G1524" s="10" t="inlineStr">
        <is>
          <t>Kecantikan</t>
        </is>
      </c>
      <c r="H1524" s="10" t="inlineStr">
        <is>
          <t>Toner Glow</t>
        </is>
      </c>
      <c r="I1524" s="19" t="n">
        <v>1</v>
      </c>
      <c r="J1524" s="20" t="n">
        <v>88000</v>
      </c>
      <c r="K1524" s="20" t="n">
        <v>88000</v>
      </c>
      <c r="L1524" s="10">
        <f>IF($B1524="","",TEXT($B1524,"YYYY-MM"))</f>
        <v/>
      </c>
    </row>
    <row r="1525">
      <c r="A1525" s="10" t="inlineStr">
        <is>
          <t>INV-70608</t>
        </is>
      </c>
      <c r="B1525" s="18" t="n">
        <v>46185</v>
      </c>
      <c r="C1525" s="10" t="inlineStr">
        <is>
          <t>C1165</t>
        </is>
      </c>
      <c r="D1525" s="10" t="inlineStr">
        <is>
          <t>regular</t>
        </is>
      </c>
      <c r="E1525" s="10" t="inlineStr">
        <is>
          <t>Shopee</t>
        </is>
      </c>
      <c r="F1525" s="10" t="inlineStr">
        <is>
          <t>Sumatera</t>
        </is>
      </c>
      <c r="G1525" s="10" t="inlineStr">
        <is>
          <t>Kecantikan</t>
        </is>
      </c>
      <c r="H1525" s="10" t="inlineStr">
        <is>
          <t>Masker Wajah (5s)</t>
        </is>
      </c>
      <c r="I1525" s="19" t="n">
        <v>2</v>
      </c>
      <c r="J1525" s="20" t="n">
        <v>55000</v>
      </c>
      <c r="K1525" s="20" t="n">
        <v>110000</v>
      </c>
      <c r="L1525" s="10">
        <f>IF($B1525="","",TEXT($B1525,"YYYY-MM"))</f>
        <v/>
      </c>
    </row>
    <row r="1526">
      <c r="A1526" s="10" t="inlineStr">
        <is>
          <t>INV-71066</t>
        </is>
      </c>
      <c r="B1526" s="18" t="n">
        <v>46185</v>
      </c>
      <c r="C1526" s="10" t="inlineStr">
        <is>
          <t>C1301</t>
        </is>
      </c>
      <c r="D1526" s="10" t="inlineStr">
        <is>
          <t>regular</t>
        </is>
      </c>
      <c r="E1526" s="10" t="inlineStr">
        <is>
          <t>Offline Store</t>
        </is>
      </c>
      <c r="F1526" s="10" t="inlineStr">
        <is>
          <t>Jawa Barat</t>
        </is>
      </c>
      <c r="G1526" s="10" t="inlineStr">
        <is>
          <t>Rumah Tangga</t>
        </is>
      </c>
      <c r="H1526" s="10" t="inlineStr">
        <is>
          <t>Set Wadah Kedap</t>
        </is>
      </c>
      <c r="I1526" s="19" t="n">
        <v>2</v>
      </c>
      <c r="J1526" s="20" t="n">
        <v>135000</v>
      </c>
      <c r="K1526" s="20" t="n">
        <v>270000</v>
      </c>
      <c r="L1526" s="10">
        <f>IF($B1526="","",TEXT($B1526,"YYYY-MM"))</f>
        <v/>
      </c>
    </row>
    <row r="1527">
      <c r="A1527" s="10" t="inlineStr">
        <is>
          <t>INV-70110</t>
        </is>
      </c>
      <c r="B1527" s="18" t="n">
        <v>46186</v>
      </c>
      <c r="C1527" s="10" t="inlineStr">
        <is>
          <t>C1032</t>
        </is>
      </c>
      <c r="D1527" s="10" t="inlineStr">
        <is>
          <t>occasional</t>
        </is>
      </c>
      <c r="E1527" s="10" t="inlineStr">
        <is>
          <t>Offline Store</t>
        </is>
      </c>
      <c r="F1527" s="10" t="inlineStr">
        <is>
          <t>Jabodetabek</t>
        </is>
      </c>
      <c r="G1527" s="10" t="inlineStr">
        <is>
          <t>Rumah Tangga</t>
        </is>
      </c>
      <c r="H1527" s="10" t="inlineStr">
        <is>
          <t>Set Wadah Kedap</t>
        </is>
      </c>
      <c r="I1527" s="19" t="n">
        <v>1</v>
      </c>
      <c r="J1527" s="20" t="n">
        <v>135000</v>
      </c>
      <c r="K1527" s="20" t="n">
        <v>135000</v>
      </c>
      <c r="L1527" s="10">
        <f>IF($B1527="","",TEXT($B1527,"YYYY-MM"))</f>
        <v/>
      </c>
    </row>
    <row r="1528">
      <c r="A1528" s="10" t="inlineStr">
        <is>
          <t>INV-71132</t>
        </is>
      </c>
      <c r="B1528" s="18" t="n">
        <v>46186</v>
      </c>
      <c r="C1528" s="10" t="inlineStr">
        <is>
          <t>C1322</t>
        </is>
      </c>
      <c r="D1528" s="10" t="inlineStr">
        <is>
          <t>loyal</t>
        </is>
      </c>
      <c r="E1528" s="10" t="inlineStr">
        <is>
          <t>Offline Store</t>
        </is>
      </c>
      <c r="F1528" s="10" t="inlineStr">
        <is>
          <t>Jawa Barat</t>
        </is>
      </c>
      <c r="G1528" s="10" t="inlineStr">
        <is>
          <t>Rumah Tangga</t>
        </is>
      </c>
      <c r="H1528" s="10" t="inlineStr">
        <is>
          <t>Diffuser Aroma</t>
        </is>
      </c>
      <c r="I1528" s="19" t="n">
        <v>2</v>
      </c>
      <c r="J1528" s="20" t="n">
        <v>195000</v>
      </c>
      <c r="K1528" s="20" t="n">
        <v>390000</v>
      </c>
      <c r="L1528" s="10">
        <f>IF($B1528="","",TEXT($B1528,"YYYY-MM"))</f>
        <v/>
      </c>
    </row>
    <row r="1529">
      <c r="A1529" s="10" t="inlineStr">
        <is>
          <t>INV-70687</t>
        </is>
      </c>
      <c r="B1529" s="18" t="n">
        <v>46186</v>
      </c>
      <c r="C1529" s="10" t="inlineStr">
        <is>
          <t>C1187</t>
        </is>
      </c>
      <c r="D1529" s="10" t="inlineStr">
        <is>
          <t>regular</t>
        </is>
      </c>
      <c r="E1529" s="10" t="inlineStr">
        <is>
          <t>Shopee</t>
        </is>
      </c>
      <c r="F1529" s="10" t="inlineStr">
        <is>
          <t>Jabodetabek</t>
        </is>
      </c>
      <c r="G1529" s="10" t="inlineStr">
        <is>
          <t>Kecantikan</t>
        </is>
      </c>
      <c r="H1529" s="10" t="inlineStr">
        <is>
          <t>Masker Wajah (5s)</t>
        </is>
      </c>
      <c r="I1529" s="19" t="n">
        <v>1</v>
      </c>
      <c r="J1529" s="20" t="n">
        <v>55000</v>
      </c>
      <c r="K1529" s="20" t="n">
        <v>55000</v>
      </c>
      <c r="L1529" s="10">
        <f>IF($B1529="","",TEXT($B1529,"YYYY-MM"))</f>
        <v/>
      </c>
    </row>
    <row r="1530">
      <c r="A1530" s="10" t="inlineStr">
        <is>
          <t>INV-70951</t>
        </is>
      </c>
      <c r="B1530" s="18" t="n">
        <v>46186</v>
      </c>
      <c r="C1530" s="10" t="inlineStr">
        <is>
          <t>C1270</t>
        </is>
      </c>
      <c r="D1530" s="10" t="inlineStr">
        <is>
          <t>regular</t>
        </is>
      </c>
      <c r="E1530" s="10" t="inlineStr">
        <is>
          <t>Shopee</t>
        </is>
      </c>
      <c r="F1530" s="10" t="inlineStr">
        <is>
          <t>Sumatera</t>
        </is>
      </c>
      <c r="G1530" s="10" t="inlineStr">
        <is>
          <t>Makanan</t>
        </is>
      </c>
      <c r="H1530" s="10" t="inlineStr">
        <is>
          <t>Madu Hutan 250ml</t>
        </is>
      </c>
      <c r="I1530" s="19" t="n">
        <v>2</v>
      </c>
      <c r="J1530" s="20" t="n">
        <v>110000</v>
      </c>
      <c r="K1530" s="20" t="n">
        <v>220000</v>
      </c>
      <c r="L1530" s="10">
        <f>IF($B1530="","",TEXT($B1530,"YYYY-MM"))</f>
        <v/>
      </c>
    </row>
    <row r="1531">
      <c r="A1531" s="10" t="inlineStr">
        <is>
          <t>INV-71038</t>
        </is>
      </c>
      <c r="B1531" s="18" t="n">
        <v>46186</v>
      </c>
      <c r="C1531" s="10" t="inlineStr">
        <is>
          <t>C1294</t>
        </is>
      </c>
      <c r="D1531" s="10" t="inlineStr">
        <is>
          <t>loyal</t>
        </is>
      </c>
      <c r="E1531" s="10" t="inlineStr">
        <is>
          <t>TikTok Shop</t>
        </is>
      </c>
      <c r="F1531" s="10" t="inlineStr">
        <is>
          <t>Jabodetabek</t>
        </is>
      </c>
      <c r="G1531" s="10" t="inlineStr">
        <is>
          <t>Elektronik</t>
        </is>
      </c>
      <c r="H1531" s="10" t="inlineStr">
        <is>
          <t>Earbuds TWS</t>
        </is>
      </c>
      <c r="I1531" s="19" t="n">
        <v>2</v>
      </c>
      <c r="J1531" s="20" t="n">
        <v>265000</v>
      </c>
      <c r="K1531" s="20" t="n">
        <v>530000</v>
      </c>
      <c r="L1531" s="10">
        <f>IF($B1531="","",TEXT($B1531,"YYYY-MM"))</f>
        <v/>
      </c>
    </row>
    <row r="1532">
      <c r="A1532" s="10" t="inlineStr">
        <is>
          <t>INV-71077</t>
        </is>
      </c>
      <c r="B1532" s="18" t="n">
        <v>46187</v>
      </c>
      <c r="C1532" s="10" t="inlineStr">
        <is>
          <t>C1302</t>
        </is>
      </c>
      <c r="D1532" s="10" t="inlineStr">
        <is>
          <t>champion</t>
        </is>
      </c>
      <c r="E1532" s="10" t="inlineStr">
        <is>
          <t>Offline Store</t>
        </is>
      </c>
      <c r="F1532" s="10" t="inlineStr">
        <is>
          <t>Jawa Barat</t>
        </is>
      </c>
      <c r="G1532" s="10" t="inlineStr">
        <is>
          <t>Kecantikan</t>
        </is>
      </c>
      <c r="H1532" s="10" t="inlineStr">
        <is>
          <t>Masker Wajah (5s)</t>
        </is>
      </c>
      <c r="I1532" s="19" t="n">
        <v>1</v>
      </c>
      <c r="J1532" s="20" t="n">
        <v>55000</v>
      </c>
      <c r="K1532" s="20" t="n">
        <v>55000</v>
      </c>
      <c r="L1532" s="10">
        <f>IF($B1532="","",TEXT($B1532,"YYYY-MM"))</f>
        <v/>
      </c>
    </row>
    <row r="1533">
      <c r="A1533" s="10" t="inlineStr">
        <is>
          <t>INV-70717</t>
        </is>
      </c>
      <c r="B1533" s="18" t="n">
        <v>46187</v>
      </c>
      <c r="C1533" s="10" t="inlineStr">
        <is>
          <t>C1199</t>
        </is>
      </c>
      <c r="D1533" s="10" t="inlineStr">
        <is>
          <t>loyal</t>
        </is>
      </c>
      <c r="E1533" s="10" t="inlineStr">
        <is>
          <t>Tokopedia</t>
        </is>
      </c>
      <c r="F1533" s="10" t="inlineStr">
        <is>
          <t>Jawa Timur</t>
        </is>
      </c>
      <c r="G1533" s="10" t="inlineStr">
        <is>
          <t>Elektronik</t>
        </is>
      </c>
      <c r="H1533" s="10" t="inlineStr">
        <is>
          <t>Smartwatch</t>
        </is>
      </c>
      <c r="I1533" s="19" t="n">
        <v>1</v>
      </c>
      <c r="J1533" s="20" t="n">
        <v>450000</v>
      </c>
      <c r="K1533" s="20" t="n">
        <v>450000</v>
      </c>
      <c r="L1533" s="10">
        <f>IF($B1533="","",TEXT($B1533,"YYYY-MM"))</f>
        <v/>
      </c>
    </row>
    <row r="1534">
      <c r="A1534" s="10" t="inlineStr">
        <is>
          <t>INV-70884</t>
        </is>
      </c>
      <c r="B1534" s="18" t="n">
        <v>46187</v>
      </c>
      <c r="C1534" s="10" t="inlineStr">
        <is>
          <t>C1247</t>
        </is>
      </c>
      <c r="D1534" s="10" t="inlineStr">
        <is>
          <t>champion</t>
        </is>
      </c>
      <c r="E1534" s="10" t="inlineStr">
        <is>
          <t>Offline Store</t>
        </is>
      </c>
      <c r="F1534" s="10" t="inlineStr">
        <is>
          <t>Jabodetabek</t>
        </is>
      </c>
      <c r="G1534" s="10" t="inlineStr">
        <is>
          <t>Rumah Tangga</t>
        </is>
      </c>
      <c r="H1534" s="10" t="inlineStr">
        <is>
          <t>Set Wadah Kedap</t>
        </is>
      </c>
      <c r="I1534" s="19" t="n">
        <v>2</v>
      </c>
      <c r="J1534" s="20" t="n">
        <v>135000</v>
      </c>
      <c r="K1534" s="20" t="n">
        <v>270000</v>
      </c>
      <c r="L1534" s="10">
        <f>IF($B1534="","",TEXT($B1534,"YYYY-MM"))</f>
        <v/>
      </c>
    </row>
    <row r="1535">
      <c r="A1535" s="10" t="inlineStr">
        <is>
          <t>INV-70996</t>
        </is>
      </c>
      <c r="B1535" s="18" t="n">
        <v>46188</v>
      </c>
      <c r="C1535" s="10" t="inlineStr">
        <is>
          <t>C1287</t>
        </is>
      </c>
      <c r="D1535" s="10" t="inlineStr">
        <is>
          <t>champion</t>
        </is>
      </c>
      <c r="E1535" s="10" t="inlineStr">
        <is>
          <t>Shopee</t>
        </is>
      </c>
      <c r="F1535" s="10" t="inlineStr">
        <is>
          <t>Jawa Timur</t>
        </is>
      </c>
      <c r="G1535" s="10" t="inlineStr">
        <is>
          <t>Rumah Tangga</t>
        </is>
      </c>
      <c r="H1535" s="10" t="inlineStr">
        <is>
          <t>Diffuser Aroma</t>
        </is>
      </c>
      <c r="I1535" s="19" t="n">
        <v>1</v>
      </c>
      <c r="J1535" s="20" t="n">
        <v>195000</v>
      </c>
      <c r="K1535" s="20" t="n">
        <v>195000</v>
      </c>
      <c r="L1535" s="10">
        <f>IF($B1535="","",TEXT($B1535,"YYYY-MM"))</f>
        <v/>
      </c>
    </row>
    <row r="1536">
      <c r="A1536" s="10" t="inlineStr">
        <is>
          <t>INV-71369</t>
        </is>
      </c>
      <c r="B1536" s="18" t="n">
        <v>46189</v>
      </c>
      <c r="C1536" s="10" t="inlineStr">
        <is>
          <t>C1378</t>
        </is>
      </c>
      <c r="D1536" s="10" t="inlineStr">
        <is>
          <t>regular</t>
        </is>
      </c>
      <c r="E1536" s="10" t="inlineStr">
        <is>
          <t>Shopee</t>
        </is>
      </c>
      <c r="F1536" s="10" t="inlineStr">
        <is>
          <t>Sumatera</t>
        </is>
      </c>
      <c r="G1536" s="10" t="inlineStr">
        <is>
          <t>Rumah Tangga</t>
        </is>
      </c>
      <c r="H1536" s="10" t="inlineStr">
        <is>
          <t>Set Wadah Kedap</t>
        </is>
      </c>
      <c r="I1536" s="19" t="n">
        <v>4</v>
      </c>
      <c r="J1536" s="20" t="n">
        <v>135000</v>
      </c>
      <c r="K1536" s="20" t="n">
        <v>540000</v>
      </c>
      <c r="L1536" s="10">
        <f>IF($B1536="","",TEXT($B1536,"YYYY-MM"))</f>
        <v/>
      </c>
    </row>
    <row r="1537">
      <c r="A1537" s="10" t="inlineStr">
        <is>
          <t>INV-70529</t>
        </is>
      </c>
      <c r="B1537" s="18" t="n">
        <v>46189</v>
      </c>
      <c r="C1537" s="10" t="inlineStr">
        <is>
          <t>C1146</t>
        </is>
      </c>
      <c r="D1537" s="10" t="inlineStr">
        <is>
          <t>occasional</t>
        </is>
      </c>
      <c r="E1537" s="10" t="inlineStr">
        <is>
          <t>Shopee</t>
        </is>
      </c>
      <c r="F1537" s="10" t="inlineStr">
        <is>
          <t>Jabodetabek</t>
        </is>
      </c>
      <c r="G1537" s="10" t="inlineStr">
        <is>
          <t>Makanan</t>
        </is>
      </c>
      <c r="H1537" s="10" t="inlineStr">
        <is>
          <t>Granola 500g</t>
        </is>
      </c>
      <c r="I1537" s="19" t="n">
        <v>1</v>
      </c>
      <c r="J1537" s="20" t="n">
        <v>92000</v>
      </c>
      <c r="K1537" s="20" t="n">
        <v>92000</v>
      </c>
      <c r="L1537" s="10">
        <f>IF($B1537="","",TEXT($B1537,"YYYY-MM"))</f>
        <v/>
      </c>
    </row>
    <row r="1538">
      <c r="A1538" s="10" t="inlineStr">
        <is>
          <t>INV-71231</t>
        </is>
      </c>
      <c r="B1538" s="18" t="n">
        <v>46189</v>
      </c>
      <c r="C1538" s="10" t="inlineStr">
        <is>
          <t>C1349</t>
        </is>
      </c>
      <c r="D1538" s="10" t="inlineStr">
        <is>
          <t>champion</t>
        </is>
      </c>
      <c r="E1538" s="10" t="inlineStr">
        <is>
          <t>Tokopedia</t>
        </is>
      </c>
      <c r="F1538" s="10" t="inlineStr">
        <is>
          <t>Lainnya</t>
        </is>
      </c>
      <c r="G1538" s="10" t="inlineStr">
        <is>
          <t>Rumah Tangga</t>
        </is>
      </c>
      <c r="H1538" s="10" t="inlineStr">
        <is>
          <t>Diffuser Aroma</t>
        </is>
      </c>
      <c r="I1538" s="19" t="n">
        <v>1</v>
      </c>
      <c r="J1538" s="20" t="n">
        <v>195000</v>
      </c>
      <c r="K1538" s="20" t="n">
        <v>195000</v>
      </c>
      <c r="L1538" s="10">
        <f>IF($B1538="","",TEXT($B1538,"YYYY-MM"))</f>
        <v/>
      </c>
    </row>
    <row r="1539">
      <c r="A1539" s="10" t="inlineStr">
        <is>
          <t>INV-71237</t>
        </is>
      </c>
      <c r="B1539" s="18" t="n">
        <v>46190</v>
      </c>
      <c r="C1539" s="10" t="inlineStr">
        <is>
          <t>C1349</t>
        </is>
      </c>
      <c r="D1539" s="10" t="inlineStr">
        <is>
          <t>champion</t>
        </is>
      </c>
      <c r="E1539" s="10" t="inlineStr">
        <is>
          <t>TikTok Shop</t>
        </is>
      </c>
      <c r="F1539" s="10" t="inlineStr">
        <is>
          <t>Jabodetabek</t>
        </is>
      </c>
      <c r="G1539" s="10" t="inlineStr">
        <is>
          <t>Makanan</t>
        </is>
      </c>
      <c r="H1539" s="10" t="inlineStr">
        <is>
          <t>Granola 500g</t>
        </is>
      </c>
      <c r="I1539" s="19" t="n">
        <v>2</v>
      </c>
      <c r="J1539" s="20" t="n">
        <v>92000</v>
      </c>
      <c r="K1539" s="20" t="n">
        <v>184000</v>
      </c>
      <c r="L1539" s="10">
        <f>IF($B1539="","",TEXT($B1539,"YYYY-MM"))</f>
        <v/>
      </c>
    </row>
    <row r="1540">
      <c r="A1540" s="10" t="inlineStr">
        <is>
          <t>INV-71304</t>
        </is>
      </c>
      <c r="B1540" s="18" t="n">
        <v>46191</v>
      </c>
      <c r="C1540" s="10" t="inlineStr">
        <is>
          <t>C1361</t>
        </is>
      </c>
      <c r="D1540" s="10" t="inlineStr">
        <is>
          <t>champion</t>
        </is>
      </c>
      <c r="E1540" s="10" t="inlineStr">
        <is>
          <t>Offline Store</t>
        </is>
      </c>
      <c r="F1540" s="10" t="inlineStr">
        <is>
          <t>Lainnya</t>
        </is>
      </c>
      <c r="G1540" s="10" t="inlineStr">
        <is>
          <t>Rumah Tangga</t>
        </is>
      </c>
      <c r="H1540" s="10" t="inlineStr">
        <is>
          <t>Set Wadah Kedap</t>
        </is>
      </c>
      <c r="I1540" s="19" t="n">
        <v>2</v>
      </c>
      <c r="J1540" s="20" t="n">
        <v>135000</v>
      </c>
      <c r="K1540" s="20" t="n">
        <v>270000</v>
      </c>
      <c r="L1540" s="10">
        <f>IF($B1540="","",TEXT($B1540,"YYYY-MM"))</f>
        <v/>
      </c>
    </row>
    <row r="1541">
      <c r="A1541" s="10" t="inlineStr">
        <is>
          <t>INV-71429</t>
        </is>
      </c>
      <c r="B1541" s="18" t="n">
        <v>46191</v>
      </c>
      <c r="C1541" s="10" t="inlineStr">
        <is>
          <t>C1394</t>
        </is>
      </c>
      <c r="D1541" s="10" t="inlineStr">
        <is>
          <t>loyal</t>
        </is>
      </c>
      <c r="E1541" s="10" t="inlineStr">
        <is>
          <t>Shopee</t>
        </is>
      </c>
      <c r="F1541" s="10" t="inlineStr">
        <is>
          <t>Lainnya</t>
        </is>
      </c>
      <c r="G1541" s="10" t="inlineStr">
        <is>
          <t>Rumah Tangga</t>
        </is>
      </c>
      <c r="H1541" s="10" t="inlineStr">
        <is>
          <t>Set Wadah Kedap</t>
        </is>
      </c>
      <c r="I1541" s="19" t="n">
        <v>2</v>
      </c>
      <c r="J1541" s="20" t="n">
        <v>135000</v>
      </c>
      <c r="K1541" s="20" t="n">
        <v>270000</v>
      </c>
      <c r="L1541" s="10">
        <f>IF($B1541="","",TEXT($B1541,"YYYY-MM"))</f>
        <v/>
      </c>
    </row>
    <row r="1542">
      <c r="A1542" s="10" t="inlineStr">
        <is>
          <t>INV-71521</t>
        </is>
      </c>
      <c r="B1542" s="18" t="n">
        <v>46191</v>
      </c>
      <c r="C1542" s="10" t="inlineStr">
        <is>
          <t>C1419</t>
        </is>
      </c>
      <c r="D1542" s="10" t="inlineStr">
        <is>
          <t>loyal</t>
        </is>
      </c>
      <c r="E1542" s="10" t="inlineStr">
        <is>
          <t>Offline Store</t>
        </is>
      </c>
      <c r="F1542" s="10" t="inlineStr">
        <is>
          <t>Jawa Timur</t>
        </is>
      </c>
      <c r="G1542" s="10" t="inlineStr">
        <is>
          <t>Rumah Tangga</t>
        </is>
      </c>
      <c r="H1542" s="10" t="inlineStr">
        <is>
          <t>Diffuser Aroma</t>
        </is>
      </c>
      <c r="I1542" s="19" t="n">
        <v>2</v>
      </c>
      <c r="J1542" s="20" t="n">
        <v>195000</v>
      </c>
      <c r="K1542" s="20" t="n">
        <v>390000</v>
      </c>
      <c r="L1542" s="10">
        <f>IF($B1542="","",TEXT($B1542,"YYYY-MM"))</f>
        <v/>
      </c>
    </row>
    <row r="1543">
      <c r="A1543" s="10" t="inlineStr">
        <is>
          <t>INV-70927</t>
        </is>
      </c>
      <c r="B1543" s="18" t="n">
        <v>46191</v>
      </c>
      <c r="C1543" s="10" t="inlineStr">
        <is>
          <t>C1261</t>
        </is>
      </c>
      <c r="D1543" s="10" t="inlineStr">
        <is>
          <t>champion</t>
        </is>
      </c>
      <c r="E1543" s="10" t="inlineStr">
        <is>
          <t>TikTok Shop</t>
        </is>
      </c>
      <c r="F1543" s="10" t="inlineStr">
        <is>
          <t>Jabodetabek</t>
        </is>
      </c>
      <c r="G1543" s="10" t="inlineStr">
        <is>
          <t>Rumah Tangga</t>
        </is>
      </c>
      <c r="H1543" s="10" t="inlineStr">
        <is>
          <t>Diffuser Aroma</t>
        </is>
      </c>
      <c r="I1543" s="19" t="n">
        <v>1</v>
      </c>
      <c r="J1543" s="20" t="n">
        <v>195000</v>
      </c>
      <c r="K1543" s="20" t="n">
        <v>195000</v>
      </c>
      <c r="L1543" s="10">
        <f>IF($B1543="","",TEXT($B1543,"YYYY-MM"))</f>
        <v/>
      </c>
    </row>
    <row r="1544">
      <c r="A1544" s="10" t="inlineStr">
        <is>
          <t>INV-70243</t>
        </is>
      </c>
      <c r="B1544" s="18" t="n">
        <v>46191</v>
      </c>
      <c r="C1544" s="10" t="inlineStr">
        <is>
          <t>C1069</t>
        </is>
      </c>
      <c r="D1544" s="10" t="inlineStr">
        <is>
          <t>loyal</t>
        </is>
      </c>
      <c r="E1544" s="10" t="inlineStr">
        <is>
          <t>Tokopedia</t>
        </is>
      </c>
      <c r="F1544" s="10" t="inlineStr">
        <is>
          <t>Jawa Timur</t>
        </is>
      </c>
      <c r="G1544" s="10" t="inlineStr">
        <is>
          <t>Elektronik</t>
        </is>
      </c>
      <c r="H1544" s="10" t="inlineStr">
        <is>
          <t>Earbuds TWS</t>
        </is>
      </c>
      <c r="I1544" s="19" t="n">
        <v>1</v>
      </c>
      <c r="J1544" s="20" t="n">
        <v>265000</v>
      </c>
      <c r="K1544" s="20" t="n">
        <v>265000</v>
      </c>
      <c r="L1544" s="10">
        <f>IF($B1544="","",TEXT($B1544,"YYYY-MM"))</f>
        <v/>
      </c>
    </row>
    <row r="1545">
      <c r="A1545" s="10" t="inlineStr">
        <is>
          <t>INV-71287</t>
        </is>
      </c>
      <c r="B1545" s="18" t="n">
        <v>46192</v>
      </c>
      <c r="C1545" s="10" t="inlineStr">
        <is>
          <t>C1359</t>
        </is>
      </c>
      <c r="D1545" s="10" t="inlineStr">
        <is>
          <t>champion</t>
        </is>
      </c>
      <c r="E1545" s="10" t="inlineStr">
        <is>
          <t>Shopee</t>
        </is>
      </c>
      <c r="F1545" s="10" t="inlineStr">
        <is>
          <t>Jabodetabek</t>
        </is>
      </c>
      <c r="G1545" s="10" t="inlineStr">
        <is>
          <t>Elektronik</t>
        </is>
      </c>
      <c r="H1545" s="10" t="inlineStr">
        <is>
          <t>Power Bank 20K</t>
        </is>
      </c>
      <c r="I1545" s="19" t="n">
        <v>1</v>
      </c>
      <c r="J1545" s="20" t="n">
        <v>185000</v>
      </c>
      <c r="K1545" s="20" t="n">
        <v>185000</v>
      </c>
      <c r="L1545" s="10">
        <f>IF($B1545="","",TEXT($B1545,"YYYY-MM"))</f>
        <v/>
      </c>
    </row>
    <row r="1546">
      <c r="A1546" s="10" t="inlineStr">
        <is>
          <t>INV-70925</t>
        </is>
      </c>
      <c r="B1546" s="18" t="n">
        <v>46193</v>
      </c>
      <c r="C1546" s="10" t="inlineStr">
        <is>
          <t>C1261</t>
        </is>
      </c>
      <c r="D1546" s="10" t="inlineStr">
        <is>
          <t>champion</t>
        </is>
      </c>
      <c r="E1546" s="10" t="inlineStr">
        <is>
          <t>Shopee</t>
        </is>
      </c>
      <c r="F1546" s="10" t="inlineStr">
        <is>
          <t>Jabodetabek</t>
        </is>
      </c>
      <c r="G1546" s="10" t="inlineStr">
        <is>
          <t>Elektronik</t>
        </is>
      </c>
      <c r="H1546" s="10" t="inlineStr">
        <is>
          <t>Power Bank 20K</t>
        </is>
      </c>
      <c r="I1546" s="19" t="n">
        <v>1</v>
      </c>
      <c r="J1546" s="20" t="n">
        <v>185000</v>
      </c>
      <c r="K1546" s="20" t="n">
        <v>185000</v>
      </c>
      <c r="L1546" s="10">
        <f>IF($B1546="","",TEXT($B1546,"YYYY-MM"))</f>
        <v/>
      </c>
    </row>
    <row r="1547">
      <c r="A1547" s="10" t="inlineStr">
        <is>
          <t>INV-71013</t>
        </is>
      </c>
      <c r="B1547" s="18" t="n">
        <v>46193</v>
      </c>
      <c r="C1547" s="10" t="inlineStr">
        <is>
          <t>C1288</t>
        </is>
      </c>
      <c r="D1547" s="10" t="inlineStr">
        <is>
          <t>regular</t>
        </is>
      </c>
      <c r="E1547" s="10" t="inlineStr">
        <is>
          <t>Offline Store</t>
        </is>
      </c>
      <c r="F1547" s="10" t="inlineStr">
        <is>
          <t>Jabodetabek</t>
        </is>
      </c>
      <c r="G1547" s="10" t="inlineStr">
        <is>
          <t>Fashion</t>
        </is>
      </c>
      <c r="H1547" s="10" t="inlineStr">
        <is>
          <t>Kaos Premium</t>
        </is>
      </c>
      <c r="I1547" s="19" t="n">
        <v>3</v>
      </c>
      <c r="J1547" s="20" t="n">
        <v>95000</v>
      </c>
      <c r="K1547" s="20" t="n">
        <v>285000</v>
      </c>
      <c r="L1547" s="10">
        <f>IF($B1547="","",TEXT($B1547,"YYYY-MM"))</f>
        <v/>
      </c>
    </row>
    <row r="1548">
      <c r="A1548" s="10" t="inlineStr">
        <is>
          <t>INV-71384</t>
        </is>
      </c>
      <c r="B1548" s="18" t="n">
        <v>46193</v>
      </c>
      <c r="C1548" s="10" t="inlineStr">
        <is>
          <t>C1383</t>
        </is>
      </c>
      <c r="D1548" s="10" t="inlineStr">
        <is>
          <t>loyal</t>
        </is>
      </c>
      <c r="E1548" s="10" t="inlineStr">
        <is>
          <t>TikTok Shop</t>
        </is>
      </c>
      <c r="F1548" s="10" t="inlineStr">
        <is>
          <t>Sumatera</t>
        </is>
      </c>
      <c r="G1548" s="10" t="inlineStr">
        <is>
          <t>Rumah Tangga</t>
        </is>
      </c>
      <c r="H1548" s="10" t="inlineStr">
        <is>
          <t>Karpet Bulu</t>
        </is>
      </c>
      <c r="I1548" s="19" t="n">
        <v>4</v>
      </c>
      <c r="J1548" s="20" t="n">
        <v>240000</v>
      </c>
      <c r="K1548" s="20" t="n">
        <v>960000</v>
      </c>
      <c r="L1548" s="10">
        <f>IF($B1548="","",TEXT($B1548,"YYYY-MM"))</f>
        <v/>
      </c>
    </row>
    <row r="1549">
      <c r="A1549" s="10" t="inlineStr">
        <is>
          <t>INV-70873</t>
        </is>
      </c>
      <c r="B1549" s="18" t="n">
        <v>46194</v>
      </c>
      <c r="C1549" s="10" t="inlineStr">
        <is>
          <t>C1246</t>
        </is>
      </c>
      <c r="D1549" s="10" t="inlineStr">
        <is>
          <t>champion</t>
        </is>
      </c>
      <c r="E1549" s="10" t="inlineStr">
        <is>
          <t>TikTok Shop</t>
        </is>
      </c>
      <c r="F1549" s="10" t="inlineStr">
        <is>
          <t>Jawa Timur</t>
        </is>
      </c>
      <c r="G1549" s="10" t="inlineStr">
        <is>
          <t>Elektronik</t>
        </is>
      </c>
      <c r="H1549" s="10" t="inlineStr">
        <is>
          <t>Webcam HD</t>
        </is>
      </c>
      <c r="I1549" s="19" t="n">
        <v>4</v>
      </c>
      <c r="J1549" s="20" t="n">
        <v>210000</v>
      </c>
      <c r="K1549" s="20" t="n">
        <v>840000</v>
      </c>
      <c r="L1549" s="10">
        <f>IF($B1549="","",TEXT($B1549,"YYYY-MM"))</f>
        <v/>
      </c>
    </row>
    <row r="1550">
      <c r="A1550" s="10" t="inlineStr">
        <is>
          <t>INV-71252</t>
        </is>
      </c>
      <c r="B1550" s="18" t="n">
        <v>46194</v>
      </c>
      <c r="C1550" s="10" t="inlineStr">
        <is>
          <t>C1352</t>
        </is>
      </c>
      <c r="D1550" s="10" t="inlineStr">
        <is>
          <t>loyal</t>
        </is>
      </c>
      <c r="E1550" s="10" t="inlineStr">
        <is>
          <t>Shopee</t>
        </is>
      </c>
      <c r="F1550" s="10" t="inlineStr">
        <is>
          <t>Jawa Timur</t>
        </is>
      </c>
      <c r="G1550" s="10" t="inlineStr">
        <is>
          <t>Fashion</t>
        </is>
      </c>
      <c r="H1550" s="10" t="inlineStr">
        <is>
          <t>Kemeja Linen</t>
        </is>
      </c>
      <c r="I1550" s="19" t="n">
        <v>2</v>
      </c>
      <c r="J1550" s="20" t="n">
        <v>185000</v>
      </c>
      <c r="K1550" s="20" t="n">
        <v>370000</v>
      </c>
      <c r="L1550" s="10">
        <f>IF($B1550="","",TEXT($B1550,"YYYY-MM"))</f>
        <v/>
      </c>
    </row>
    <row r="1551">
      <c r="A1551" s="10" t="inlineStr">
        <is>
          <t>INV-70891</t>
        </is>
      </c>
      <c r="B1551" s="18" t="n">
        <v>46194</v>
      </c>
      <c r="C1551" s="10" t="inlineStr">
        <is>
          <t>C1250</t>
        </is>
      </c>
      <c r="D1551" s="10" t="inlineStr">
        <is>
          <t>regular</t>
        </is>
      </c>
      <c r="E1551" s="10" t="inlineStr">
        <is>
          <t>Shopee</t>
        </is>
      </c>
      <c r="F1551" s="10" t="inlineStr">
        <is>
          <t>Sumatera</t>
        </is>
      </c>
      <c r="G1551" s="10" t="inlineStr">
        <is>
          <t>Rumah Tangga</t>
        </is>
      </c>
      <c r="H1551" s="10" t="inlineStr">
        <is>
          <t>Organizer Laci</t>
        </is>
      </c>
      <c r="I1551" s="19" t="n">
        <v>4</v>
      </c>
      <c r="J1551" s="20" t="n">
        <v>78000</v>
      </c>
      <c r="K1551" s="20" t="n">
        <v>312000</v>
      </c>
      <c r="L1551" s="10">
        <f>IF($B1551="","",TEXT($B1551,"YYYY-MM"))</f>
        <v/>
      </c>
    </row>
    <row r="1552">
      <c r="A1552" s="10" t="inlineStr">
        <is>
          <t>INV-71068</t>
        </is>
      </c>
      <c r="B1552" s="18" t="n">
        <v>46194</v>
      </c>
      <c r="C1552" s="10" t="inlineStr">
        <is>
          <t>C1301</t>
        </is>
      </c>
      <c r="D1552" s="10" t="inlineStr">
        <is>
          <t>regular</t>
        </is>
      </c>
      <c r="E1552" s="10" t="inlineStr">
        <is>
          <t>TikTok Shop</t>
        </is>
      </c>
      <c r="F1552" s="10" t="inlineStr">
        <is>
          <t>Jawa Barat</t>
        </is>
      </c>
      <c r="G1552" s="10" t="inlineStr">
        <is>
          <t>Elektronik</t>
        </is>
      </c>
      <c r="H1552" s="10" t="inlineStr">
        <is>
          <t>Power Bank 20K</t>
        </is>
      </c>
      <c r="I1552" s="19" t="n">
        <v>2</v>
      </c>
      <c r="J1552" s="20" t="n">
        <v>185000</v>
      </c>
      <c r="K1552" s="20" t="n">
        <v>370000</v>
      </c>
      <c r="L1552" s="10">
        <f>IF($B1552="","",TEXT($B1552,"YYYY-MM"))</f>
        <v/>
      </c>
    </row>
    <row r="1553">
      <c r="A1553" s="10" t="inlineStr">
        <is>
          <t>INV-70097</t>
        </is>
      </c>
      <c r="B1553" s="18" t="n">
        <v>46196</v>
      </c>
      <c r="C1553" s="10" t="inlineStr">
        <is>
          <t>C1029</t>
        </is>
      </c>
      <c r="D1553" s="10" t="inlineStr">
        <is>
          <t>champion</t>
        </is>
      </c>
      <c r="E1553" s="10" t="inlineStr">
        <is>
          <t>TikTok Shop</t>
        </is>
      </c>
      <c r="F1553" s="10" t="inlineStr">
        <is>
          <t>Jabodetabek</t>
        </is>
      </c>
      <c r="G1553" s="10" t="inlineStr">
        <is>
          <t>Kecantikan</t>
        </is>
      </c>
      <c r="H1553" s="10" t="inlineStr">
        <is>
          <t>Masker Wajah (5s)</t>
        </is>
      </c>
      <c r="I1553" s="19" t="n">
        <v>1</v>
      </c>
      <c r="J1553" s="20" t="n">
        <v>55000</v>
      </c>
      <c r="K1553" s="20" t="n">
        <v>55000</v>
      </c>
      <c r="L1553" s="10">
        <f>IF($B1553="","",TEXT($B1553,"YYYY-MM"))</f>
        <v/>
      </c>
    </row>
    <row r="1554">
      <c r="A1554" s="10" t="inlineStr">
        <is>
          <t>INV-71070</t>
        </is>
      </c>
      <c r="B1554" s="18" t="n">
        <v>46196</v>
      </c>
      <c r="C1554" s="10" t="inlineStr">
        <is>
          <t>C1302</t>
        </is>
      </c>
      <c r="D1554" s="10" t="inlineStr">
        <is>
          <t>champion</t>
        </is>
      </c>
      <c r="E1554" s="10" t="inlineStr">
        <is>
          <t>Shopee</t>
        </is>
      </c>
      <c r="F1554" s="10" t="inlineStr">
        <is>
          <t>Jabodetabek</t>
        </is>
      </c>
      <c r="G1554" s="10" t="inlineStr">
        <is>
          <t>Elektronik</t>
        </is>
      </c>
      <c r="H1554" s="10" t="inlineStr">
        <is>
          <t>Keyboard Mekanik</t>
        </is>
      </c>
      <c r="I1554" s="19" t="n">
        <v>3</v>
      </c>
      <c r="J1554" s="20" t="n">
        <v>380000</v>
      </c>
      <c r="K1554" s="20" t="n">
        <v>1140000</v>
      </c>
      <c r="L1554" s="10">
        <f>IF($B1554="","",TEXT($B1554,"YYYY-MM"))</f>
        <v/>
      </c>
    </row>
    <row r="1555">
      <c r="A1555" s="10" t="inlineStr">
        <is>
          <t>INV-70002</t>
        </is>
      </c>
      <c r="B1555" s="18" t="n">
        <v>46196</v>
      </c>
      <c r="C1555" s="10" t="inlineStr">
        <is>
          <t>C1000</t>
        </is>
      </c>
      <c r="D1555" s="10" t="inlineStr">
        <is>
          <t>loyal</t>
        </is>
      </c>
      <c r="E1555" s="10" t="inlineStr">
        <is>
          <t>TikTok Shop</t>
        </is>
      </c>
      <c r="F1555" s="10" t="inlineStr">
        <is>
          <t>Sumatera</t>
        </is>
      </c>
      <c r="G1555" s="10" t="inlineStr">
        <is>
          <t>Elektronik</t>
        </is>
      </c>
      <c r="H1555" s="10" t="inlineStr">
        <is>
          <t>Power Bank 20K</t>
        </is>
      </c>
      <c r="I1555" s="19" t="n">
        <v>1</v>
      </c>
      <c r="J1555" s="20" t="n">
        <v>185000</v>
      </c>
      <c r="K1555" s="20" t="n">
        <v>185000</v>
      </c>
      <c r="L1555" s="10">
        <f>IF($B1555="","",TEXT($B1555,"YYYY-MM"))</f>
        <v/>
      </c>
    </row>
    <row r="1556">
      <c r="A1556" s="10" t="inlineStr">
        <is>
          <t>INV-70771</t>
        </is>
      </c>
      <c r="B1556" s="18" t="n">
        <v>46196</v>
      </c>
      <c r="C1556" s="10" t="inlineStr">
        <is>
          <t>C1215</t>
        </is>
      </c>
      <c r="D1556" s="10" t="inlineStr">
        <is>
          <t>loyal</t>
        </is>
      </c>
      <c r="E1556" s="10" t="inlineStr">
        <is>
          <t>Tokopedia</t>
        </is>
      </c>
      <c r="F1556" s="10" t="inlineStr">
        <is>
          <t>Jabodetabek</t>
        </is>
      </c>
      <c r="G1556" s="10" t="inlineStr">
        <is>
          <t>Kecantikan</t>
        </is>
      </c>
      <c r="H1556" s="10" t="inlineStr">
        <is>
          <t>Sunscreen SPF50</t>
        </is>
      </c>
      <c r="I1556" s="19" t="n">
        <v>2</v>
      </c>
      <c r="J1556" s="20" t="n">
        <v>98000</v>
      </c>
      <c r="K1556" s="20" t="n">
        <v>196000</v>
      </c>
      <c r="L1556" s="10">
        <f>IF($B1556="","",TEXT($B1556,"YYYY-MM"))</f>
        <v/>
      </c>
    </row>
    <row r="1557">
      <c r="A1557" s="10" t="inlineStr">
        <is>
          <t>INV-71477</t>
        </is>
      </c>
      <c r="B1557" s="18" t="n">
        <v>46197</v>
      </c>
      <c r="C1557" s="10" t="inlineStr">
        <is>
          <t>C1408</t>
        </is>
      </c>
      <c r="D1557" s="10" t="inlineStr">
        <is>
          <t>regular</t>
        </is>
      </c>
      <c r="E1557" s="10" t="inlineStr">
        <is>
          <t>Offline Store</t>
        </is>
      </c>
      <c r="F1557" s="10" t="inlineStr">
        <is>
          <t>Jabodetabek</t>
        </is>
      </c>
      <c r="G1557" s="10" t="inlineStr">
        <is>
          <t>Rumah Tangga</t>
        </is>
      </c>
      <c r="H1557" s="10" t="inlineStr">
        <is>
          <t>Set Wadah Kedap</t>
        </is>
      </c>
      <c r="I1557" s="19" t="n">
        <v>2</v>
      </c>
      <c r="J1557" s="20" t="n">
        <v>135000</v>
      </c>
      <c r="K1557" s="20" t="n">
        <v>270000</v>
      </c>
      <c r="L1557" s="10">
        <f>IF($B1557="","",TEXT($B1557,"YYYY-MM"))</f>
        <v/>
      </c>
    </row>
    <row r="1558">
      <c r="A1558" s="10" t="inlineStr">
        <is>
          <t>INV-70747</t>
        </is>
      </c>
      <c r="B1558" s="18" t="n">
        <v>46198</v>
      </c>
      <c r="C1558" s="10" t="inlineStr">
        <is>
          <t>C1210</t>
        </is>
      </c>
      <c r="D1558" s="10" t="inlineStr">
        <is>
          <t>loyal</t>
        </is>
      </c>
      <c r="E1558" s="10" t="inlineStr">
        <is>
          <t>Shopee</t>
        </is>
      </c>
      <c r="F1558" s="10" t="inlineStr">
        <is>
          <t>Jawa Barat</t>
        </is>
      </c>
      <c r="G1558" s="10" t="inlineStr">
        <is>
          <t>Fashion</t>
        </is>
      </c>
      <c r="H1558" s="10" t="inlineStr">
        <is>
          <t>Kaos Premium</t>
        </is>
      </c>
      <c r="I1558" s="19" t="n">
        <v>1</v>
      </c>
      <c r="J1558" s="20" t="n">
        <v>95000</v>
      </c>
      <c r="K1558" s="20" t="n">
        <v>95000</v>
      </c>
      <c r="L1558" s="10">
        <f>IF($B1558="","",TEXT($B1558,"YYYY-MM"))</f>
        <v/>
      </c>
    </row>
    <row r="1559">
      <c r="A1559" s="10" t="inlineStr">
        <is>
          <t>INV-70908</t>
        </is>
      </c>
      <c r="B1559" s="18" t="n">
        <v>46198</v>
      </c>
      <c r="C1559" s="10" t="inlineStr">
        <is>
          <t>C1256</t>
        </is>
      </c>
      <c r="D1559" s="10" t="inlineStr">
        <is>
          <t>loyal</t>
        </is>
      </c>
      <c r="E1559" s="10" t="inlineStr">
        <is>
          <t>Tokopedia</t>
        </is>
      </c>
      <c r="F1559" s="10" t="inlineStr">
        <is>
          <t>Sumatera</t>
        </is>
      </c>
      <c r="G1559" s="10" t="inlineStr">
        <is>
          <t>Makanan</t>
        </is>
      </c>
      <c r="H1559" s="10" t="inlineStr">
        <is>
          <t>Granola 500g</t>
        </is>
      </c>
      <c r="I1559" s="19" t="n">
        <v>3</v>
      </c>
      <c r="J1559" s="20" t="n">
        <v>92000</v>
      </c>
      <c r="K1559" s="20" t="n">
        <v>276000</v>
      </c>
      <c r="L1559" s="10">
        <f>IF($B1559="","",TEXT($B1559,"YYYY-MM"))</f>
        <v/>
      </c>
    </row>
    <row r="1560">
      <c r="A1560" s="10" t="inlineStr">
        <is>
          <t>INV-71394</t>
        </is>
      </c>
      <c r="B1560" s="18" t="n">
        <v>46198</v>
      </c>
      <c r="C1560" s="10" t="inlineStr">
        <is>
          <t>C1386</t>
        </is>
      </c>
      <c r="D1560" s="10" t="inlineStr">
        <is>
          <t>loyal</t>
        </is>
      </c>
      <c r="E1560" s="10" t="inlineStr">
        <is>
          <t>Offline Store</t>
        </is>
      </c>
      <c r="F1560" s="10" t="inlineStr">
        <is>
          <t>Jawa Barat</t>
        </is>
      </c>
      <c r="G1560" s="10" t="inlineStr">
        <is>
          <t>Elektronik</t>
        </is>
      </c>
      <c r="H1560" s="10" t="inlineStr">
        <is>
          <t>Earbuds TWS</t>
        </is>
      </c>
      <c r="I1560" s="19" t="n">
        <v>1</v>
      </c>
      <c r="J1560" s="20" t="n">
        <v>265000</v>
      </c>
      <c r="K1560" s="20" t="n">
        <v>265000</v>
      </c>
      <c r="L1560" s="10">
        <f>IF($B1560="","",TEXT($B1560,"YYYY-MM"))</f>
        <v/>
      </c>
    </row>
    <row r="1561">
      <c r="A1561" s="10" t="inlineStr">
        <is>
          <t>INV-70725</t>
        </is>
      </c>
      <c r="B1561" s="18" t="n">
        <v>46199</v>
      </c>
      <c r="C1561" s="10" t="inlineStr">
        <is>
          <t>C1202</t>
        </is>
      </c>
      <c r="D1561" s="10" t="inlineStr">
        <is>
          <t>onetime</t>
        </is>
      </c>
      <c r="E1561" s="10" t="inlineStr">
        <is>
          <t>Shopee</t>
        </is>
      </c>
      <c r="F1561" s="10" t="inlineStr">
        <is>
          <t>Lainnya</t>
        </is>
      </c>
      <c r="G1561" s="10" t="inlineStr">
        <is>
          <t>Rumah Tangga</t>
        </is>
      </c>
      <c r="H1561" s="10" t="inlineStr">
        <is>
          <t>Set Wadah Kedap</t>
        </is>
      </c>
      <c r="I1561" s="19" t="n">
        <v>3</v>
      </c>
      <c r="J1561" s="20" t="n">
        <v>135000</v>
      </c>
      <c r="K1561" s="20" t="n">
        <v>405000</v>
      </c>
      <c r="L1561" s="10">
        <f>IF($B1561="","",TEXT($B1561,"YYYY-MM"))</f>
        <v/>
      </c>
    </row>
    <row r="1562">
      <c r="A1562" s="10" t="inlineStr">
        <is>
          <t>INV-71136</t>
        </is>
      </c>
      <c r="B1562" s="18" t="n">
        <v>46199</v>
      </c>
      <c r="C1562" s="10" t="inlineStr">
        <is>
          <t>C1322</t>
        </is>
      </c>
      <c r="D1562" s="10" t="inlineStr">
        <is>
          <t>loyal</t>
        </is>
      </c>
      <c r="E1562" s="10" t="inlineStr">
        <is>
          <t>Shopee</t>
        </is>
      </c>
      <c r="F1562" s="10" t="inlineStr">
        <is>
          <t>Jabodetabek</t>
        </is>
      </c>
      <c r="G1562" s="10" t="inlineStr">
        <is>
          <t>Fashion</t>
        </is>
      </c>
      <c r="H1562" s="10" t="inlineStr">
        <is>
          <t>Celana Chino</t>
        </is>
      </c>
      <c r="I1562" s="19" t="n">
        <v>2</v>
      </c>
      <c r="J1562" s="20" t="n">
        <v>195000</v>
      </c>
      <c r="K1562" s="20" t="n">
        <v>390000</v>
      </c>
      <c r="L1562" s="10">
        <f>IF($B1562="","",TEXT($B1562,"YYYY-MM"))</f>
        <v/>
      </c>
    </row>
    <row r="1563">
      <c r="A1563" s="10" t="inlineStr">
        <is>
          <t>INV-70669</t>
        </is>
      </c>
      <c r="B1563" s="18" t="n">
        <v>46200</v>
      </c>
      <c r="C1563" s="10" t="inlineStr">
        <is>
          <t>C1184</t>
        </is>
      </c>
      <c r="D1563" s="10" t="inlineStr">
        <is>
          <t>loyal</t>
        </is>
      </c>
      <c r="E1563" s="10" t="inlineStr">
        <is>
          <t>Shopee</t>
        </is>
      </c>
      <c r="F1563" s="10" t="inlineStr">
        <is>
          <t>Jabodetabek</t>
        </is>
      </c>
      <c r="G1563" s="10" t="inlineStr">
        <is>
          <t>Kecantikan</t>
        </is>
      </c>
      <c r="H1563" s="10" t="inlineStr">
        <is>
          <t>Lip Tint</t>
        </is>
      </c>
      <c r="I1563" s="19" t="n">
        <v>3</v>
      </c>
      <c r="J1563" s="20" t="n">
        <v>65000</v>
      </c>
      <c r="K1563" s="20" t="n">
        <v>195000</v>
      </c>
      <c r="L1563" s="10">
        <f>IF($B1563="","",TEXT($B1563,"YYYY-MM"))</f>
        <v/>
      </c>
    </row>
    <row r="1564">
      <c r="A1564" s="10" t="inlineStr">
        <is>
          <t>INV-70130</t>
        </is>
      </c>
      <c r="B1564" s="18" t="n">
        <v>46200</v>
      </c>
      <c r="C1564" s="10" t="inlineStr">
        <is>
          <t>C1038</t>
        </is>
      </c>
      <c r="D1564" s="10" t="inlineStr">
        <is>
          <t>champion</t>
        </is>
      </c>
      <c r="E1564" s="10" t="inlineStr">
        <is>
          <t>Shopee</t>
        </is>
      </c>
      <c r="F1564" s="10" t="inlineStr">
        <is>
          <t>Jabodetabek</t>
        </is>
      </c>
      <c r="G1564" s="10" t="inlineStr">
        <is>
          <t>Rumah Tangga</t>
        </is>
      </c>
      <c r="H1564" s="10" t="inlineStr">
        <is>
          <t>Diffuser Aroma</t>
        </is>
      </c>
      <c r="I1564" s="19" t="n">
        <v>4</v>
      </c>
      <c r="J1564" s="20" t="n">
        <v>195000</v>
      </c>
      <c r="K1564" s="20" t="n">
        <v>780000</v>
      </c>
      <c r="L1564" s="10">
        <f>IF($B1564="","",TEXT($B1564,"YYYY-MM"))</f>
        <v/>
      </c>
    </row>
    <row r="1565">
      <c r="A1565" s="10" t="inlineStr">
        <is>
          <t>INV-70311</t>
        </is>
      </c>
      <c r="B1565" s="18" t="n">
        <v>46200</v>
      </c>
      <c r="C1565" s="10" t="inlineStr">
        <is>
          <t>C1088</t>
        </is>
      </c>
      <c r="D1565" s="10" t="inlineStr">
        <is>
          <t>champion</t>
        </is>
      </c>
      <c r="E1565" s="10" t="inlineStr">
        <is>
          <t>Offline Store</t>
        </is>
      </c>
      <c r="F1565" s="10" t="inlineStr">
        <is>
          <t>Jawa Tengah</t>
        </is>
      </c>
      <c r="G1565" s="10" t="inlineStr">
        <is>
          <t>Rumah Tangga</t>
        </is>
      </c>
      <c r="H1565" s="10" t="inlineStr">
        <is>
          <t>Organizer Laci</t>
        </is>
      </c>
      <c r="I1565" s="19" t="n">
        <v>2</v>
      </c>
      <c r="J1565" s="20" t="n">
        <v>78000</v>
      </c>
      <c r="K1565" s="20" t="n">
        <v>156000</v>
      </c>
      <c r="L1565" s="10">
        <f>IF($B1565="","",TEXT($B1565,"YYYY-MM"))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5" customWidth="1" min="5" max="5"/>
    <col width="5" customWidth="1" min="6" max="6"/>
    <col width="5" customWidth="1" min="7" max="7"/>
    <col width="15" customWidth="1" min="8" max="8"/>
    <col width="3" customWidth="1" min="9" max="9"/>
    <col width="11" customWidth="1" min="10" max="10"/>
    <col width="11" customWidth="1" min="11" max="11"/>
    <col width="11" customWidth="1" min="12" max="12"/>
    <col width="13" customWidth="1" min="13" max="13"/>
  </cols>
  <sheetData>
    <row r="1">
      <c r="A1" s="7" t="inlineStr">
        <is>
          <t>RFM CUSTOMER SCORING  (Recency, Frequency, Monetary, live formulas)</t>
        </is>
      </c>
    </row>
    <row r="2">
      <c r="A2" s="8" t="inlineStr">
        <is>
          <t>Each customer scored 1 to 5 on how recently and how often they buy and how much they spend, then bucketed into a segment.</t>
        </is>
      </c>
    </row>
    <row r="4">
      <c r="A4" s="14" t="inlineStr">
        <is>
          <t>Snapshot date</t>
        </is>
      </c>
      <c r="B4" s="21">
        <f>MAX('Clean Data'!$B$2:$B$1565)+1</f>
        <v/>
      </c>
      <c r="J4" s="14" t="inlineStr">
        <is>
          <t>Scoring cutoffs (quintiles)</t>
        </is>
      </c>
    </row>
    <row r="5" ht="26" customHeight="1">
      <c r="J5" s="9" t="inlineStr">
        <is>
          <t>Percentile</t>
        </is>
      </c>
      <c r="K5" s="9" t="inlineStr">
        <is>
          <t>Recency</t>
        </is>
      </c>
      <c r="L5" s="9" t="inlineStr">
        <is>
          <t>Frequency</t>
        </is>
      </c>
      <c r="M5" s="9" t="inlineStr">
        <is>
          <t>Monetary</t>
        </is>
      </c>
    </row>
    <row r="6">
      <c r="J6" s="10" t="inlineStr">
        <is>
          <t>P20</t>
        </is>
      </c>
      <c r="K6" s="10">
        <f>PERCENTILE(RFM!$B$8:$B$437,0.2)</f>
        <v/>
      </c>
      <c r="L6" s="10">
        <f>PERCENTILE(RFM!$C$8:$C$437,0.2)</f>
        <v/>
      </c>
      <c r="M6" s="20">
        <f>PERCENTILE(RFM!$D$8:$D$437,0.2)</f>
        <v/>
      </c>
    </row>
    <row r="7" ht="26" customHeight="1">
      <c r="A7" s="9" t="inlineStr">
        <is>
          <t>customer_id</t>
        </is>
      </c>
      <c r="B7" s="9" t="inlineStr">
        <is>
          <t>Recency (days)</t>
        </is>
      </c>
      <c r="C7" s="9" t="inlineStr">
        <is>
          <t>Frequency</t>
        </is>
      </c>
      <c r="D7" s="9" t="inlineStr">
        <is>
          <t>Monetary</t>
        </is>
      </c>
      <c r="E7" s="9" t="inlineStr">
        <is>
          <t>R</t>
        </is>
      </c>
      <c r="F7" s="9" t="inlineStr">
        <is>
          <t>F</t>
        </is>
      </c>
      <c r="G7" s="9" t="inlineStr">
        <is>
          <t>M</t>
        </is>
      </c>
      <c r="H7" s="9" t="inlineStr">
        <is>
          <t>Segment</t>
        </is>
      </c>
      <c r="J7" s="10" t="inlineStr">
        <is>
          <t>P40</t>
        </is>
      </c>
      <c r="K7" s="10">
        <f>PERCENTILE(RFM!$B$8:$B$437,0.4)</f>
        <v/>
      </c>
      <c r="L7" s="10">
        <f>PERCENTILE(RFM!$C$8:$C$437,0.4)</f>
        <v/>
      </c>
      <c r="M7" s="20">
        <f>PERCENTILE(RFM!$D$8:$D$437,0.4)</f>
        <v/>
      </c>
    </row>
    <row r="8">
      <c r="A8" s="10" t="inlineStr">
        <is>
          <t>C1000</t>
        </is>
      </c>
      <c r="B8" s="19">
        <f>$B$4-_xlfn.MAXIFS('Clean Data'!$B$2:$B$1565,'Clean Data'!$C$2:$C$1565,$A8)</f>
        <v/>
      </c>
      <c r="C8" s="10">
        <f>COUNTIF('Clean Data'!$C$2:$C$1565,$A8)</f>
        <v/>
      </c>
      <c r="D8" s="20">
        <f>SUMIF('Clean Data'!$C$2:$C$1565,$A8,'Clean Data'!$K$2:$K$1565)</f>
        <v/>
      </c>
      <c r="E8" s="10">
        <f>IF(B8&lt;=$K$6,5,IF(B8&lt;=$K$7,4,IF(B8&lt;=$K$8,3,IF(B8&lt;=$K$9,2,1))))</f>
        <v/>
      </c>
      <c r="F8" s="10">
        <f>IF(C8&gt;=$L$9,5,IF(C8&gt;=$L$8,4,IF(C8&gt;=$L$7,3,IF(C8&gt;=$L$6,2,1))))</f>
        <v/>
      </c>
      <c r="G8" s="10">
        <f>IF(D8&gt;=$M$9,5,IF(D8&gt;=$M$8,4,IF(D8&gt;=$M$7,3,IF(D8&gt;=$M$6,2,1))))</f>
        <v/>
      </c>
      <c r="H8" s="10">
        <f>IF(AND(E8&gt;=4,F8&gt;=4),"Champions",IF(AND(E8&gt;=3,F8&gt;=3),"Loyal",IF(AND(E8&gt;=4,F8&lt;=2),"New customers",IF(AND(E8=3,F8&lt;=2),"Potential",IF(AND(E8&lt;=2,F8&gt;=3),"At risk","Inactive")))))</f>
        <v/>
      </c>
      <c r="J8" s="10" t="inlineStr">
        <is>
          <t>P60</t>
        </is>
      </c>
      <c r="K8" s="10">
        <f>PERCENTILE(RFM!$B$8:$B$437,0.6)</f>
        <v/>
      </c>
      <c r="L8" s="10">
        <f>PERCENTILE(RFM!$C$8:$C$437,0.6)</f>
        <v/>
      </c>
      <c r="M8" s="20">
        <f>PERCENTILE(RFM!$D$8:$D$437,0.6)</f>
        <v/>
      </c>
    </row>
    <row r="9">
      <c r="A9" s="10" t="inlineStr">
        <is>
          <t>C1001</t>
        </is>
      </c>
      <c r="B9" s="19">
        <f>$B$4-_xlfn.MAXIFS('Clean Data'!$B$2:$B$1565,'Clean Data'!$C$2:$C$1565,$A9)</f>
        <v/>
      </c>
      <c r="C9" s="10">
        <f>COUNTIF('Clean Data'!$C$2:$C$1565,$A9)</f>
        <v/>
      </c>
      <c r="D9" s="20">
        <f>SUMIF('Clean Data'!$C$2:$C$1565,$A9,'Clean Data'!$K$2:$K$1565)</f>
        <v/>
      </c>
      <c r="E9" s="10">
        <f>IF(B9&lt;=$K$6,5,IF(B9&lt;=$K$7,4,IF(B9&lt;=$K$8,3,IF(B9&lt;=$K$9,2,1))))</f>
        <v/>
      </c>
      <c r="F9" s="10">
        <f>IF(C9&gt;=$L$9,5,IF(C9&gt;=$L$8,4,IF(C9&gt;=$L$7,3,IF(C9&gt;=$L$6,2,1))))</f>
        <v/>
      </c>
      <c r="G9" s="10">
        <f>IF(D9&gt;=$M$9,5,IF(D9&gt;=$M$8,4,IF(D9&gt;=$M$7,3,IF(D9&gt;=$M$6,2,1))))</f>
        <v/>
      </c>
      <c r="H9" s="10">
        <f>IF(AND(E9&gt;=4,F9&gt;=4),"Champions",IF(AND(E9&gt;=3,F9&gt;=3),"Loyal",IF(AND(E9&gt;=4,F9&lt;=2),"New customers",IF(AND(E9=3,F9&lt;=2),"Potential",IF(AND(E9&lt;=2,F9&gt;=3),"At risk","Inactive")))))</f>
        <v/>
      </c>
      <c r="J9" s="10" t="inlineStr">
        <is>
          <t>P80</t>
        </is>
      </c>
      <c r="K9" s="10">
        <f>PERCENTILE(RFM!$B$8:$B$437,0.8)</f>
        <v/>
      </c>
      <c r="L9" s="10">
        <f>PERCENTILE(RFM!$C$8:$C$437,0.8)</f>
        <v/>
      </c>
      <c r="M9" s="20">
        <f>PERCENTILE(RFM!$D$8:$D$437,0.8)</f>
        <v/>
      </c>
    </row>
    <row r="10">
      <c r="A10" s="10" t="inlineStr">
        <is>
          <t>C1002</t>
        </is>
      </c>
      <c r="B10" s="19">
        <f>$B$4-_xlfn.MAXIFS('Clean Data'!$B$2:$B$1565,'Clean Data'!$C$2:$C$1565,$A10)</f>
        <v/>
      </c>
      <c r="C10" s="10">
        <f>COUNTIF('Clean Data'!$C$2:$C$1565,$A10)</f>
        <v/>
      </c>
      <c r="D10" s="20">
        <f>SUMIF('Clean Data'!$C$2:$C$1565,$A10,'Clean Data'!$K$2:$K$1565)</f>
        <v/>
      </c>
      <c r="E10" s="10">
        <f>IF(B10&lt;=$K$6,5,IF(B10&lt;=$K$7,4,IF(B10&lt;=$K$8,3,IF(B10&lt;=$K$9,2,1))))</f>
        <v/>
      </c>
      <c r="F10" s="10">
        <f>IF(C10&gt;=$L$9,5,IF(C10&gt;=$L$8,4,IF(C10&gt;=$L$7,3,IF(C10&gt;=$L$6,2,1))))</f>
        <v/>
      </c>
      <c r="G10" s="10">
        <f>IF(D10&gt;=$M$9,5,IF(D10&gt;=$M$8,4,IF(D10&gt;=$M$7,3,IF(D10&gt;=$M$6,2,1))))</f>
        <v/>
      </c>
      <c r="H10" s="10">
        <f>IF(AND(E10&gt;=4,F10&gt;=4),"Champions",IF(AND(E10&gt;=3,F10&gt;=3),"Loyal",IF(AND(E10&gt;=4,F10&lt;=2),"New customers",IF(AND(E10=3,F10&lt;=2),"Potential",IF(AND(E10&lt;=2,F10&gt;=3),"At risk","Inactive")))))</f>
        <v/>
      </c>
    </row>
    <row r="11">
      <c r="A11" s="10" t="inlineStr">
        <is>
          <t>C1003</t>
        </is>
      </c>
      <c r="B11" s="19">
        <f>$B$4-_xlfn.MAXIFS('Clean Data'!$B$2:$B$1565,'Clean Data'!$C$2:$C$1565,$A11)</f>
        <v/>
      </c>
      <c r="C11" s="10">
        <f>COUNTIF('Clean Data'!$C$2:$C$1565,$A11)</f>
        <v/>
      </c>
      <c r="D11" s="20">
        <f>SUMIF('Clean Data'!$C$2:$C$1565,$A11,'Clean Data'!$K$2:$K$1565)</f>
        <v/>
      </c>
      <c r="E11" s="10">
        <f>IF(B11&lt;=$K$6,5,IF(B11&lt;=$K$7,4,IF(B11&lt;=$K$8,3,IF(B11&lt;=$K$9,2,1))))</f>
        <v/>
      </c>
      <c r="F11" s="10">
        <f>IF(C11&gt;=$L$9,5,IF(C11&gt;=$L$8,4,IF(C11&gt;=$L$7,3,IF(C11&gt;=$L$6,2,1))))</f>
        <v/>
      </c>
      <c r="G11" s="10">
        <f>IF(D11&gt;=$M$9,5,IF(D11&gt;=$M$8,4,IF(D11&gt;=$M$7,3,IF(D11&gt;=$M$6,2,1))))</f>
        <v/>
      </c>
      <c r="H11" s="10">
        <f>IF(AND(E11&gt;=4,F11&gt;=4),"Champions",IF(AND(E11&gt;=3,F11&gt;=3),"Loyal",IF(AND(E11&gt;=4,F11&lt;=2),"New customers",IF(AND(E11=3,F11&lt;=2),"Potential",IF(AND(E11&lt;=2,F11&gt;=3),"At risk","Inactive")))))</f>
        <v/>
      </c>
    </row>
    <row r="12">
      <c r="A12" s="10" t="inlineStr">
        <is>
          <t>C1004</t>
        </is>
      </c>
      <c r="B12" s="19">
        <f>$B$4-_xlfn.MAXIFS('Clean Data'!$B$2:$B$1565,'Clean Data'!$C$2:$C$1565,$A12)</f>
        <v/>
      </c>
      <c r="C12" s="10">
        <f>COUNTIF('Clean Data'!$C$2:$C$1565,$A12)</f>
        <v/>
      </c>
      <c r="D12" s="20">
        <f>SUMIF('Clean Data'!$C$2:$C$1565,$A12,'Clean Data'!$K$2:$K$1565)</f>
        <v/>
      </c>
      <c r="E12" s="10">
        <f>IF(B12&lt;=$K$6,5,IF(B12&lt;=$K$7,4,IF(B12&lt;=$K$8,3,IF(B12&lt;=$K$9,2,1))))</f>
        <v/>
      </c>
      <c r="F12" s="10">
        <f>IF(C12&gt;=$L$9,5,IF(C12&gt;=$L$8,4,IF(C12&gt;=$L$7,3,IF(C12&gt;=$L$6,2,1))))</f>
        <v/>
      </c>
      <c r="G12" s="10">
        <f>IF(D12&gt;=$M$9,5,IF(D12&gt;=$M$8,4,IF(D12&gt;=$M$7,3,IF(D12&gt;=$M$6,2,1))))</f>
        <v/>
      </c>
      <c r="H12" s="10">
        <f>IF(AND(E12&gt;=4,F12&gt;=4),"Champions",IF(AND(E12&gt;=3,F12&gt;=3),"Loyal",IF(AND(E12&gt;=4,F12&lt;=2),"New customers",IF(AND(E12=3,F12&lt;=2),"Potential",IF(AND(E12&lt;=2,F12&gt;=3),"At risk","Inactive")))))</f>
        <v/>
      </c>
    </row>
    <row r="13">
      <c r="A13" s="10" t="inlineStr">
        <is>
          <t>C1005</t>
        </is>
      </c>
      <c r="B13" s="19">
        <f>$B$4-_xlfn.MAXIFS('Clean Data'!$B$2:$B$1565,'Clean Data'!$C$2:$C$1565,$A13)</f>
        <v/>
      </c>
      <c r="C13" s="10">
        <f>COUNTIF('Clean Data'!$C$2:$C$1565,$A13)</f>
        <v/>
      </c>
      <c r="D13" s="20">
        <f>SUMIF('Clean Data'!$C$2:$C$1565,$A13,'Clean Data'!$K$2:$K$1565)</f>
        <v/>
      </c>
      <c r="E13" s="10">
        <f>IF(B13&lt;=$K$6,5,IF(B13&lt;=$K$7,4,IF(B13&lt;=$K$8,3,IF(B13&lt;=$K$9,2,1))))</f>
        <v/>
      </c>
      <c r="F13" s="10">
        <f>IF(C13&gt;=$L$9,5,IF(C13&gt;=$L$8,4,IF(C13&gt;=$L$7,3,IF(C13&gt;=$L$6,2,1))))</f>
        <v/>
      </c>
      <c r="G13" s="10">
        <f>IF(D13&gt;=$M$9,5,IF(D13&gt;=$M$8,4,IF(D13&gt;=$M$7,3,IF(D13&gt;=$M$6,2,1))))</f>
        <v/>
      </c>
      <c r="H13" s="10">
        <f>IF(AND(E13&gt;=4,F13&gt;=4),"Champions",IF(AND(E13&gt;=3,F13&gt;=3),"Loyal",IF(AND(E13&gt;=4,F13&lt;=2),"New customers",IF(AND(E13=3,F13&lt;=2),"Potential",IF(AND(E13&lt;=2,F13&gt;=3),"At risk","Inactive")))))</f>
        <v/>
      </c>
    </row>
    <row r="14">
      <c r="A14" s="10" t="inlineStr">
        <is>
          <t>C1006</t>
        </is>
      </c>
      <c r="B14" s="19">
        <f>$B$4-_xlfn.MAXIFS('Clean Data'!$B$2:$B$1565,'Clean Data'!$C$2:$C$1565,$A14)</f>
        <v/>
      </c>
      <c r="C14" s="10">
        <f>COUNTIF('Clean Data'!$C$2:$C$1565,$A14)</f>
        <v/>
      </c>
      <c r="D14" s="20">
        <f>SUMIF('Clean Data'!$C$2:$C$1565,$A14,'Clean Data'!$K$2:$K$1565)</f>
        <v/>
      </c>
      <c r="E14" s="10">
        <f>IF(B14&lt;=$K$6,5,IF(B14&lt;=$K$7,4,IF(B14&lt;=$K$8,3,IF(B14&lt;=$K$9,2,1))))</f>
        <v/>
      </c>
      <c r="F14" s="10">
        <f>IF(C14&gt;=$L$9,5,IF(C14&gt;=$L$8,4,IF(C14&gt;=$L$7,3,IF(C14&gt;=$L$6,2,1))))</f>
        <v/>
      </c>
      <c r="G14" s="10">
        <f>IF(D14&gt;=$M$9,5,IF(D14&gt;=$M$8,4,IF(D14&gt;=$M$7,3,IF(D14&gt;=$M$6,2,1))))</f>
        <v/>
      </c>
      <c r="H14" s="10">
        <f>IF(AND(E14&gt;=4,F14&gt;=4),"Champions",IF(AND(E14&gt;=3,F14&gt;=3),"Loyal",IF(AND(E14&gt;=4,F14&lt;=2),"New customers",IF(AND(E14=3,F14&lt;=2),"Potential",IF(AND(E14&lt;=2,F14&gt;=3),"At risk","Inactive")))))</f>
        <v/>
      </c>
    </row>
    <row r="15">
      <c r="A15" s="10" t="inlineStr">
        <is>
          <t>C1007</t>
        </is>
      </c>
      <c r="B15" s="19">
        <f>$B$4-_xlfn.MAXIFS('Clean Data'!$B$2:$B$1565,'Clean Data'!$C$2:$C$1565,$A15)</f>
        <v/>
      </c>
      <c r="C15" s="10">
        <f>COUNTIF('Clean Data'!$C$2:$C$1565,$A15)</f>
        <v/>
      </c>
      <c r="D15" s="20">
        <f>SUMIF('Clean Data'!$C$2:$C$1565,$A15,'Clean Data'!$K$2:$K$1565)</f>
        <v/>
      </c>
      <c r="E15" s="10">
        <f>IF(B15&lt;=$K$6,5,IF(B15&lt;=$K$7,4,IF(B15&lt;=$K$8,3,IF(B15&lt;=$K$9,2,1))))</f>
        <v/>
      </c>
      <c r="F15" s="10">
        <f>IF(C15&gt;=$L$9,5,IF(C15&gt;=$L$8,4,IF(C15&gt;=$L$7,3,IF(C15&gt;=$L$6,2,1))))</f>
        <v/>
      </c>
      <c r="G15" s="10">
        <f>IF(D15&gt;=$M$9,5,IF(D15&gt;=$M$8,4,IF(D15&gt;=$M$7,3,IF(D15&gt;=$M$6,2,1))))</f>
        <v/>
      </c>
      <c r="H15" s="10">
        <f>IF(AND(E15&gt;=4,F15&gt;=4),"Champions",IF(AND(E15&gt;=3,F15&gt;=3),"Loyal",IF(AND(E15&gt;=4,F15&lt;=2),"New customers",IF(AND(E15=3,F15&lt;=2),"Potential",IF(AND(E15&lt;=2,F15&gt;=3),"At risk","Inactive")))))</f>
        <v/>
      </c>
    </row>
    <row r="16">
      <c r="A16" s="10" t="inlineStr">
        <is>
          <t>C1008</t>
        </is>
      </c>
      <c r="B16" s="19">
        <f>$B$4-_xlfn.MAXIFS('Clean Data'!$B$2:$B$1565,'Clean Data'!$C$2:$C$1565,$A16)</f>
        <v/>
      </c>
      <c r="C16" s="10">
        <f>COUNTIF('Clean Data'!$C$2:$C$1565,$A16)</f>
        <v/>
      </c>
      <c r="D16" s="20">
        <f>SUMIF('Clean Data'!$C$2:$C$1565,$A16,'Clean Data'!$K$2:$K$1565)</f>
        <v/>
      </c>
      <c r="E16" s="10">
        <f>IF(B16&lt;=$K$6,5,IF(B16&lt;=$K$7,4,IF(B16&lt;=$K$8,3,IF(B16&lt;=$K$9,2,1))))</f>
        <v/>
      </c>
      <c r="F16" s="10">
        <f>IF(C16&gt;=$L$9,5,IF(C16&gt;=$L$8,4,IF(C16&gt;=$L$7,3,IF(C16&gt;=$L$6,2,1))))</f>
        <v/>
      </c>
      <c r="G16" s="10">
        <f>IF(D16&gt;=$M$9,5,IF(D16&gt;=$M$8,4,IF(D16&gt;=$M$7,3,IF(D16&gt;=$M$6,2,1))))</f>
        <v/>
      </c>
      <c r="H16" s="10">
        <f>IF(AND(E16&gt;=4,F16&gt;=4),"Champions",IF(AND(E16&gt;=3,F16&gt;=3),"Loyal",IF(AND(E16&gt;=4,F16&lt;=2),"New customers",IF(AND(E16=3,F16&lt;=2),"Potential",IF(AND(E16&lt;=2,F16&gt;=3),"At risk","Inactive")))))</f>
        <v/>
      </c>
    </row>
    <row r="17">
      <c r="A17" s="10" t="inlineStr">
        <is>
          <t>C1009</t>
        </is>
      </c>
      <c r="B17" s="19">
        <f>$B$4-_xlfn.MAXIFS('Clean Data'!$B$2:$B$1565,'Clean Data'!$C$2:$C$1565,$A17)</f>
        <v/>
      </c>
      <c r="C17" s="10">
        <f>COUNTIF('Clean Data'!$C$2:$C$1565,$A17)</f>
        <v/>
      </c>
      <c r="D17" s="20">
        <f>SUMIF('Clean Data'!$C$2:$C$1565,$A17,'Clean Data'!$K$2:$K$1565)</f>
        <v/>
      </c>
      <c r="E17" s="10">
        <f>IF(B17&lt;=$K$6,5,IF(B17&lt;=$K$7,4,IF(B17&lt;=$K$8,3,IF(B17&lt;=$K$9,2,1))))</f>
        <v/>
      </c>
      <c r="F17" s="10">
        <f>IF(C17&gt;=$L$9,5,IF(C17&gt;=$L$8,4,IF(C17&gt;=$L$7,3,IF(C17&gt;=$L$6,2,1))))</f>
        <v/>
      </c>
      <c r="G17" s="10">
        <f>IF(D17&gt;=$M$9,5,IF(D17&gt;=$M$8,4,IF(D17&gt;=$M$7,3,IF(D17&gt;=$M$6,2,1))))</f>
        <v/>
      </c>
      <c r="H17" s="10">
        <f>IF(AND(E17&gt;=4,F17&gt;=4),"Champions",IF(AND(E17&gt;=3,F17&gt;=3),"Loyal",IF(AND(E17&gt;=4,F17&lt;=2),"New customers",IF(AND(E17=3,F17&lt;=2),"Potential",IF(AND(E17&lt;=2,F17&gt;=3),"At risk","Inactive")))))</f>
        <v/>
      </c>
    </row>
    <row r="18">
      <c r="A18" s="10" t="inlineStr">
        <is>
          <t>C1010</t>
        </is>
      </c>
      <c r="B18" s="19">
        <f>$B$4-_xlfn.MAXIFS('Clean Data'!$B$2:$B$1565,'Clean Data'!$C$2:$C$1565,$A18)</f>
        <v/>
      </c>
      <c r="C18" s="10">
        <f>COUNTIF('Clean Data'!$C$2:$C$1565,$A18)</f>
        <v/>
      </c>
      <c r="D18" s="20">
        <f>SUMIF('Clean Data'!$C$2:$C$1565,$A18,'Clean Data'!$K$2:$K$1565)</f>
        <v/>
      </c>
      <c r="E18" s="10">
        <f>IF(B18&lt;=$K$6,5,IF(B18&lt;=$K$7,4,IF(B18&lt;=$K$8,3,IF(B18&lt;=$K$9,2,1))))</f>
        <v/>
      </c>
      <c r="F18" s="10">
        <f>IF(C18&gt;=$L$9,5,IF(C18&gt;=$L$8,4,IF(C18&gt;=$L$7,3,IF(C18&gt;=$L$6,2,1))))</f>
        <v/>
      </c>
      <c r="G18" s="10">
        <f>IF(D18&gt;=$M$9,5,IF(D18&gt;=$M$8,4,IF(D18&gt;=$M$7,3,IF(D18&gt;=$M$6,2,1))))</f>
        <v/>
      </c>
      <c r="H18" s="10">
        <f>IF(AND(E18&gt;=4,F18&gt;=4),"Champions",IF(AND(E18&gt;=3,F18&gt;=3),"Loyal",IF(AND(E18&gt;=4,F18&lt;=2),"New customers",IF(AND(E18=3,F18&lt;=2),"Potential",IF(AND(E18&lt;=2,F18&gt;=3),"At risk","Inactive")))))</f>
        <v/>
      </c>
    </row>
    <row r="19">
      <c r="A19" s="10" t="inlineStr">
        <is>
          <t>C1011</t>
        </is>
      </c>
      <c r="B19" s="19">
        <f>$B$4-_xlfn.MAXIFS('Clean Data'!$B$2:$B$1565,'Clean Data'!$C$2:$C$1565,$A19)</f>
        <v/>
      </c>
      <c r="C19" s="10">
        <f>COUNTIF('Clean Data'!$C$2:$C$1565,$A19)</f>
        <v/>
      </c>
      <c r="D19" s="20">
        <f>SUMIF('Clean Data'!$C$2:$C$1565,$A19,'Clean Data'!$K$2:$K$1565)</f>
        <v/>
      </c>
      <c r="E19" s="10">
        <f>IF(B19&lt;=$K$6,5,IF(B19&lt;=$K$7,4,IF(B19&lt;=$K$8,3,IF(B19&lt;=$K$9,2,1))))</f>
        <v/>
      </c>
      <c r="F19" s="10">
        <f>IF(C19&gt;=$L$9,5,IF(C19&gt;=$L$8,4,IF(C19&gt;=$L$7,3,IF(C19&gt;=$L$6,2,1))))</f>
        <v/>
      </c>
      <c r="G19" s="10">
        <f>IF(D19&gt;=$M$9,5,IF(D19&gt;=$M$8,4,IF(D19&gt;=$M$7,3,IF(D19&gt;=$M$6,2,1))))</f>
        <v/>
      </c>
      <c r="H19" s="10">
        <f>IF(AND(E19&gt;=4,F19&gt;=4),"Champions",IF(AND(E19&gt;=3,F19&gt;=3),"Loyal",IF(AND(E19&gt;=4,F19&lt;=2),"New customers",IF(AND(E19=3,F19&lt;=2),"Potential",IF(AND(E19&lt;=2,F19&gt;=3),"At risk","Inactive")))))</f>
        <v/>
      </c>
    </row>
    <row r="20">
      <c r="A20" s="10" t="inlineStr">
        <is>
          <t>C1012</t>
        </is>
      </c>
      <c r="B20" s="19">
        <f>$B$4-_xlfn.MAXIFS('Clean Data'!$B$2:$B$1565,'Clean Data'!$C$2:$C$1565,$A20)</f>
        <v/>
      </c>
      <c r="C20" s="10">
        <f>COUNTIF('Clean Data'!$C$2:$C$1565,$A20)</f>
        <v/>
      </c>
      <c r="D20" s="20">
        <f>SUMIF('Clean Data'!$C$2:$C$1565,$A20,'Clean Data'!$K$2:$K$1565)</f>
        <v/>
      </c>
      <c r="E20" s="10">
        <f>IF(B20&lt;=$K$6,5,IF(B20&lt;=$K$7,4,IF(B20&lt;=$K$8,3,IF(B20&lt;=$K$9,2,1))))</f>
        <v/>
      </c>
      <c r="F20" s="10">
        <f>IF(C20&gt;=$L$9,5,IF(C20&gt;=$L$8,4,IF(C20&gt;=$L$7,3,IF(C20&gt;=$L$6,2,1))))</f>
        <v/>
      </c>
      <c r="G20" s="10">
        <f>IF(D20&gt;=$M$9,5,IF(D20&gt;=$M$8,4,IF(D20&gt;=$M$7,3,IF(D20&gt;=$M$6,2,1))))</f>
        <v/>
      </c>
      <c r="H20" s="10">
        <f>IF(AND(E20&gt;=4,F20&gt;=4),"Champions",IF(AND(E20&gt;=3,F20&gt;=3),"Loyal",IF(AND(E20&gt;=4,F20&lt;=2),"New customers",IF(AND(E20=3,F20&lt;=2),"Potential",IF(AND(E20&lt;=2,F20&gt;=3),"At risk","Inactive")))))</f>
        <v/>
      </c>
    </row>
    <row r="21">
      <c r="A21" s="10" t="inlineStr">
        <is>
          <t>C1013</t>
        </is>
      </c>
      <c r="B21" s="19">
        <f>$B$4-_xlfn.MAXIFS('Clean Data'!$B$2:$B$1565,'Clean Data'!$C$2:$C$1565,$A21)</f>
        <v/>
      </c>
      <c r="C21" s="10">
        <f>COUNTIF('Clean Data'!$C$2:$C$1565,$A21)</f>
        <v/>
      </c>
      <c r="D21" s="20">
        <f>SUMIF('Clean Data'!$C$2:$C$1565,$A21,'Clean Data'!$K$2:$K$1565)</f>
        <v/>
      </c>
      <c r="E21" s="10">
        <f>IF(B21&lt;=$K$6,5,IF(B21&lt;=$K$7,4,IF(B21&lt;=$K$8,3,IF(B21&lt;=$K$9,2,1))))</f>
        <v/>
      </c>
      <c r="F21" s="10">
        <f>IF(C21&gt;=$L$9,5,IF(C21&gt;=$L$8,4,IF(C21&gt;=$L$7,3,IF(C21&gt;=$L$6,2,1))))</f>
        <v/>
      </c>
      <c r="G21" s="10">
        <f>IF(D21&gt;=$M$9,5,IF(D21&gt;=$M$8,4,IF(D21&gt;=$M$7,3,IF(D21&gt;=$M$6,2,1))))</f>
        <v/>
      </c>
      <c r="H21" s="10">
        <f>IF(AND(E21&gt;=4,F21&gt;=4),"Champions",IF(AND(E21&gt;=3,F21&gt;=3),"Loyal",IF(AND(E21&gt;=4,F21&lt;=2),"New customers",IF(AND(E21=3,F21&lt;=2),"Potential",IF(AND(E21&lt;=2,F21&gt;=3),"At risk","Inactive")))))</f>
        <v/>
      </c>
    </row>
    <row r="22">
      <c r="A22" s="10" t="inlineStr">
        <is>
          <t>C1014</t>
        </is>
      </c>
      <c r="B22" s="19">
        <f>$B$4-_xlfn.MAXIFS('Clean Data'!$B$2:$B$1565,'Clean Data'!$C$2:$C$1565,$A22)</f>
        <v/>
      </c>
      <c r="C22" s="10">
        <f>COUNTIF('Clean Data'!$C$2:$C$1565,$A22)</f>
        <v/>
      </c>
      <c r="D22" s="20">
        <f>SUMIF('Clean Data'!$C$2:$C$1565,$A22,'Clean Data'!$K$2:$K$1565)</f>
        <v/>
      </c>
      <c r="E22" s="10">
        <f>IF(B22&lt;=$K$6,5,IF(B22&lt;=$K$7,4,IF(B22&lt;=$K$8,3,IF(B22&lt;=$K$9,2,1))))</f>
        <v/>
      </c>
      <c r="F22" s="10">
        <f>IF(C22&gt;=$L$9,5,IF(C22&gt;=$L$8,4,IF(C22&gt;=$L$7,3,IF(C22&gt;=$L$6,2,1))))</f>
        <v/>
      </c>
      <c r="G22" s="10">
        <f>IF(D22&gt;=$M$9,5,IF(D22&gt;=$M$8,4,IF(D22&gt;=$M$7,3,IF(D22&gt;=$M$6,2,1))))</f>
        <v/>
      </c>
      <c r="H22" s="10">
        <f>IF(AND(E22&gt;=4,F22&gt;=4),"Champions",IF(AND(E22&gt;=3,F22&gt;=3),"Loyal",IF(AND(E22&gt;=4,F22&lt;=2),"New customers",IF(AND(E22=3,F22&lt;=2),"Potential",IF(AND(E22&lt;=2,F22&gt;=3),"At risk","Inactive")))))</f>
        <v/>
      </c>
    </row>
    <row r="23">
      <c r="A23" s="10" t="inlineStr">
        <is>
          <t>C1015</t>
        </is>
      </c>
      <c r="B23" s="19">
        <f>$B$4-_xlfn.MAXIFS('Clean Data'!$B$2:$B$1565,'Clean Data'!$C$2:$C$1565,$A23)</f>
        <v/>
      </c>
      <c r="C23" s="10">
        <f>COUNTIF('Clean Data'!$C$2:$C$1565,$A23)</f>
        <v/>
      </c>
      <c r="D23" s="20">
        <f>SUMIF('Clean Data'!$C$2:$C$1565,$A23,'Clean Data'!$K$2:$K$1565)</f>
        <v/>
      </c>
      <c r="E23" s="10">
        <f>IF(B23&lt;=$K$6,5,IF(B23&lt;=$K$7,4,IF(B23&lt;=$K$8,3,IF(B23&lt;=$K$9,2,1))))</f>
        <v/>
      </c>
      <c r="F23" s="10">
        <f>IF(C23&gt;=$L$9,5,IF(C23&gt;=$L$8,4,IF(C23&gt;=$L$7,3,IF(C23&gt;=$L$6,2,1))))</f>
        <v/>
      </c>
      <c r="G23" s="10">
        <f>IF(D23&gt;=$M$9,5,IF(D23&gt;=$M$8,4,IF(D23&gt;=$M$7,3,IF(D23&gt;=$M$6,2,1))))</f>
        <v/>
      </c>
      <c r="H23" s="10">
        <f>IF(AND(E23&gt;=4,F23&gt;=4),"Champions",IF(AND(E23&gt;=3,F23&gt;=3),"Loyal",IF(AND(E23&gt;=4,F23&lt;=2),"New customers",IF(AND(E23=3,F23&lt;=2),"Potential",IF(AND(E23&lt;=2,F23&gt;=3),"At risk","Inactive")))))</f>
        <v/>
      </c>
    </row>
    <row r="24">
      <c r="A24" s="10" t="inlineStr">
        <is>
          <t>C1016</t>
        </is>
      </c>
      <c r="B24" s="19">
        <f>$B$4-_xlfn.MAXIFS('Clean Data'!$B$2:$B$1565,'Clean Data'!$C$2:$C$1565,$A24)</f>
        <v/>
      </c>
      <c r="C24" s="10">
        <f>COUNTIF('Clean Data'!$C$2:$C$1565,$A24)</f>
        <v/>
      </c>
      <c r="D24" s="20">
        <f>SUMIF('Clean Data'!$C$2:$C$1565,$A24,'Clean Data'!$K$2:$K$1565)</f>
        <v/>
      </c>
      <c r="E24" s="10">
        <f>IF(B24&lt;=$K$6,5,IF(B24&lt;=$K$7,4,IF(B24&lt;=$K$8,3,IF(B24&lt;=$K$9,2,1))))</f>
        <v/>
      </c>
      <c r="F24" s="10">
        <f>IF(C24&gt;=$L$9,5,IF(C24&gt;=$L$8,4,IF(C24&gt;=$L$7,3,IF(C24&gt;=$L$6,2,1))))</f>
        <v/>
      </c>
      <c r="G24" s="10">
        <f>IF(D24&gt;=$M$9,5,IF(D24&gt;=$M$8,4,IF(D24&gt;=$M$7,3,IF(D24&gt;=$M$6,2,1))))</f>
        <v/>
      </c>
      <c r="H24" s="10">
        <f>IF(AND(E24&gt;=4,F24&gt;=4),"Champions",IF(AND(E24&gt;=3,F24&gt;=3),"Loyal",IF(AND(E24&gt;=4,F24&lt;=2),"New customers",IF(AND(E24=3,F24&lt;=2),"Potential",IF(AND(E24&lt;=2,F24&gt;=3),"At risk","Inactive")))))</f>
        <v/>
      </c>
    </row>
    <row r="25">
      <c r="A25" s="10" t="inlineStr">
        <is>
          <t>C1017</t>
        </is>
      </c>
      <c r="B25" s="19">
        <f>$B$4-_xlfn.MAXIFS('Clean Data'!$B$2:$B$1565,'Clean Data'!$C$2:$C$1565,$A25)</f>
        <v/>
      </c>
      <c r="C25" s="10">
        <f>COUNTIF('Clean Data'!$C$2:$C$1565,$A25)</f>
        <v/>
      </c>
      <c r="D25" s="20">
        <f>SUMIF('Clean Data'!$C$2:$C$1565,$A25,'Clean Data'!$K$2:$K$1565)</f>
        <v/>
      </c>
      <c r="E25" s="10">
        <f>IF(B25&lt;=$K$6,5,IF(B25&lt;=$K$7,4,IF(B25&lt;=$K$8,3,IF(B25&lt;=$K$9,2,1))))</f>
        <v/>
      </c>
      <c r="F25" s="10">
        <f>IF(C25&gt;=$L$9,5,IF(C25&gt;=$L$8,4,IF(C25&gt;=$L$7,3,IF(C25&gt;=$L$6,2,1))))</f>
        <v/>
      </c>
      <c r="G25" s="10">
        <f>IF(D25&gt;=$M$9,5,IF(D25&gt;=$M$8,4,IF(D25&gt;=$M$7,3,IF(D25&gt;=$M$6,2,1))))</f>
        <v/>
      </c>
      <c r="H25" s="10">
        <f>IF(AND(E25&gt;=4,F25&gt;=4),"Champions",IF(AND(E25&gt;=3,F25&gt;=3),"Loyal",IF(AND(E25&gt;=4,F25&lt;=2),"New customers",IF(AND(E25=3,F25&lt;=2),"Potential",IF(AND(E25&lt;=2,F25&gt;=3),"At risk","Inactive")))))</f>
        <v/>
      </c>
    </row>
    <row r="26">
      <c r="A26" s="10" t="inlineStr">
        <is>
          <t>C1018</t>
        </is>
      </c>
      <c r="B26" s="19">
        <f>$B$4-_xlfn.MAXIFS('Clean Data'!$B$2:$B$1565,'Clean Data'!$C$2:$C$1565,$A26)</f>
        <v/>
      </c>
      <c r="C26" s="10">
        <f>COUNTIF('Clean Data'!$C$2:$C$1565,$A26)</f>
        <v/>
      </c>
      <c r="D26" s="20">
        <f>SUMIF('Clean Data'!$C$2:$C$1565,$A26,'Clean Data'!$K$2:$K$1565)</f>
        <v/>
      </c>
      <c r="E26" s="10">
        <f>IF(B26&lt;=$K$6,5,IF(B26&lt;=$K$7,4,IF(B26&lt;=$K$8,3,IF(B26&lt;=$K$9,2,1))))</f>
        <v/>
      </c>
      <c r="F26" s="10">
        <f>IF(C26&gt;=$L$9,5,IF(C26&gt;=$L$8,4,IF(C26&gt;=$L$7,3,IF(C26&gt;=$L$6,2,1))))</f>
        <v/>
      </c>
      <c r="G26" s="10">
        <f>IF(D26&gt;=$M$9,5,IF(D26&gt;=$M$8,4,IF(D26&gt;=$M$7,3,IF(D26&gt;=$M$6,2,1))))</f>
        <v/>
      </c>
      <c r="H26" s="10">
        <f>IF(AND(E26&gt;=4,F26&gt;=4),"Champions",IF(AND(E26&gt;=3,F26&gt;=3),"Loyal",IF(AND(E26&gt;=4,F26&lt;=2),"New customers",IF(AND(E26=3,F26&lt;=2),"Potential",IF(AND(E26&lt;=2,F26&gt;=3),"At risk","Inactive")))))</f>
        <v/>
      </c>
    </row>
    <row r="27">
      <c r="A27" s="10" t="inlineStr">
        <is>
          <t>C1019</t>
        </is>
      </c>
      <c r="B27" s="19">
        <f>$B$4-_xlfn.MAXIFS('Clean Data'!$B$2:$B$1565,'Clean Data'!$C$2:$C$1565,$A27)</f>
        <v/>
      </c>
      <c r="C27" s="10">
        <f>COUNTIF('Clean Data'!$C$2:$C$1565,$A27)</f>
        <v/>
      </c>
      <c r="D27" s="20">
        <f>SUMIF('Clean Data'!$C$2:$C$1565,$A27,'Clean Data'!$K$2:$K$1565)</f>
        <v/>
      </c>
      <c r="E27" s="10">
        <f>IF(B27&lt;=$K$6,5,IF(B27&lt;=$K$7,4,IF(B27&lt;=$K$8,3,IF(B27&lt;=$K$9,2,1))))</f>
        <v/>
      </c>
      <c r="F27" s="10">
        <f>IF(C27&gt;=$L$9,5,IF(C27&gt;=$L$8,4,IF(C27&gt;=$L$7,3,IF(C27&gt;=$L$6,2,1))))</f>
        <v/>
      </c>
      <c r="G27" s="10">
        <f>IF(D27&gt;=$M$9,5,IF(D27&gt;=$M$8,4,IF(D27&gt;=$M$7,3,IF(D27&gt;=$M$6,2,1))))</f>
        <v/>
      </c>
      <c r="H27" s="10">
        <f>IF(AND(E27&gt;=4,F27&gt;=4),"Champions",IF(AND(E27&gt;=3,F27&gt;=3),"Loyal",IF(AND(E27&gt;=4,F27&lt;=2),"New customers",IF(AND(E27=3,F27&lt;=2),"Potential",IF(AND(E27&lt;=2,F27&gt;=3),"At risk","Inactive")))))</f>
        <v/>
      </c>
    </row>
    <row r="28">
      <c r="A28" s="10" t="inlineStr">
        <is>
          <t>C1020</t>
        </is>
      </c>
      <c r="B28" s="19">
        <f>$B$4-_xlfn.MAXIFS('Clean Data'!$B$2:$B$1565,'Clean Data'!$C$2:$C$1565,$A28)</f>
        <v/>
      </c>
      <c r="C28" s="10">
        <f>COUNTIF('Clean Data'!$C$2:$C$1565,$A28)</f>
        <v/>
      </c>
      <c r="D28" s="20">
        <f>SUMIF('Clean Data'!$C$2:$C$1565,$A28,'Clean Data'!$K$2:$K$1565)</f>
        <v/>
      </c>
      <c r="E28" s="10">
        <f>IF(B28&lt;=$K$6,5,IF(B28&lt;=$K$7,4,IF(B28&lt;=$K$8,3,IF(B28&lt;=$K$9,2,1))))</f>
        <v/>
      </c>
      <c r="F28" s="10">
        <f>IF(C28&gt;=$L$9,5,IF(C28&gt;=$L$8,4,IF(C28&gt;=$L$7,3,IF(C28&gt;=$L$6,2,1))))</f>
        <v/>
      </c>
      <c r="G28" s="10">
        <f>IF(D28&gt;=$M$9,5,IF(D28&gt;=$M$8,4,IF(D28&gt;=$M$7,3,IF(D28&gt;=$M$6,2,1))))</f>
        <v/>
      </c>
      <c r="H28" s="10">
        <f>IF(AND(E28&gt;=4,F28&gt;=4),"Champions",IF(AND(E28&gt;=3,F28&gt;=3),"Loyal",IF(AND(E28&gt;=4,F28&lt;=2),"New customers",IF(AND(E28=3,F28&lt;=2),"Potential",IF(AND(E28&lt;=2,F28&gt;=3),"At risk","Inactive")))))</f>
        <v/>
      </c>
    </row>
    <row r="29">
      <c r="A29" s="10" t="inlineStr">
        <is>
          <t>C1021</t>
        </is>
      </c>
      <c r="B29" s="19">
        <f>$B$4-_xlfn.MAXIFS('Clean Data'!$B$2:$B$1565,'Clean Data'!$C$2:$C$1565,$A29)</f>
        <v/>
      </c>
      <c r="C29" s="10">
        <f>COUNTIF('Clean Data'!$C$2:$C$1565,$A29)</f>
        <v/>
      </c>
      <c r="D29" s="20">
        <f>SUMIF('Clean Data'!$C$2:$C$1565,$A29,'Clean Data'!$K$2:$K$1565)</f>
        <v/>
      </c>
      <c r="E29" s="10">
        <f>IF(B29&lt;=$K$6,5,IF(B29&lt;=$K$7,4,IF(B29&lt;=$K$8,3,IF(B29&lt;=$K$9,2,1))))</f>
        <v/>
      </c>
      <c r="F29" s="10">
        <f>IF(C29&gt;=$L$9,5,IF(C29&gt;=$L$8,4,IF(C29&gt;=$L$7,3,IF(C29&gt;=$L$6,2,1))))</f>
        <v/>
      </c>
      <c r="G29" s="10">
        <f>IF(D29&gt;=$M$9,5,IF(D29&gt;=$M$8,4,IF(D29&gt;=$M$7,3,IF(D29&gt;=$M$6,2,1))))</f>
        <v/>
      </c>
      <c r="H29" s="10">
        <f>IF(AND(E29&gt;=4,F29&gt;=4),"Champions",IF(AND(E29&gt;=3,F29&gt;=3),"Loyal",IF(AND(E29&gt;=4,F29&lt;=2),"New customers",IF(AND(E29=3,F29&lt;=2),"Potential",IF(AND(E29&lt;=2,F29&gt;=3),"At risk","Inactive")))))</f>
        <v/>
      </c>
    </row>
    <row r="30">
      <c r="A30" s="10" t="inlineStr">
        <is>
          <t>C1022</t>
        </is>
      </c>
      <c r="B30" s="19">
        <f>$B$4-_xlfn.MAXIFS('Clean Data'!$B$2:$B$1565,'Clean Data'!$C$2:$C$1565,$A30)</f>
        <v/>
      </c>
      <c r="C30" s="10">
        <f>COUNTIF('Clean Data'!$C$2:$C$1565,$A30)</f>
        <v/>
      </c>
      <c r="D30" s="20">
        <f>SUMIF('Clean Data'!$C$2:$C$1565,$A30,'Clean Data'!$K$2:$K$1565)</f>
        <v/>
      </c>
      <c r="E30" s="10">
        <f>IF(B30&lt;=$K$6,5,IF(B30&lt;=$K$7,4,IF(B30&lt;=$K$8,3,IF(B30&lt;=$K$9,2,1))))</f>
        <v/>
      </c>
      <c r="F30" s="10">
        <f>IF(C30&gt;=$L$9,5,IF(C30&gt;=$L$8,4,IF(C30&gt;=$L$7,3,IF(C30&gt;=$L$6,2,1))))</f>
        <v/>
      </c>
      <c r="G30" s="10">
        <f>IF(D30&gt;=$M$9,5,IF(D30&gt;=$M$8,4,IF(D30&gt;=$M$7,3,IF(D30&gt;=$M$6,2,1))))</f>
        <v/>
      </c>
      <c r="H30" s="10">
        <f>IF(AND(E30&gt;=4,F30&gt;=4),"Champions",IF(AND(E30&gt;=3,F30&gt;=3),"Loyal",IF(AND(E30&gt;=4,F30&lt;=2),"New customers",IF(AND(E30=3,F30&lt;=2),"Potential",IF(AND(E30&lt;=2,F30&gt;=3),"At risk","Inactive")))))</f>
        <v/>
      </c>
    </row>
    <row r="31">
      <c r="A31" s="10" t="inlineStr">
        <is>
          <t>C1023</t>
        </is>
      </c>
      <c r="B31" s="19">
        <f>$B$4-_xlfn.MAXIFS('Clean Data'!$B$2:$B$1565,'Clean Data'!$C$2:$C$1565,$A31)</f>
        <v/>
      </c>
      <c r="C31" s="10">
        <f>COUNTIF('Clean Data'!$C$2:$C$1565,$A31)</f>
        <v/>
      </c>
      <c r="D31" s="20">
        <f>SUMIF('Clean Data'!$C$2:$C$1565,$A31,'Clean Data'!$K$2:$K$1565)</f>
        <v/>
      </c>
      <c r="E31" s="10">
        <f>IF(B31&lt;=$K$6,5,IF(B31&lt;=$K$7,4,IF(B31&lt;=$K$8,3,IF(B31&lt;=$K$9,2,1))))</f>
        <v/>
      </c>
      <c r="F31" s="10">
        <f>IF(C31&gt;=$L$9,5,IF(C31&gt;=$L$8,4,IF(C31&gt;=$L$7,3,IF(C31&gt;=$L$6,2,1))))</f>
        <v/>
      </c>
      <c r="G31" s="10">
        <f>IF(D31&gt;=$M$9,5,IF(D31&gt;=$M$8,4,IF(D31&gt;=$M$7,3,IF(D31&gt;=$M$6,2,1))))</f>
        <v/>
      </c>
      <c r="H31" s="10">
        <f>IF(AND(E31&gt;=4,F31&gt;=4),"Champions",IF(AND(E31&gt;=3,F31&gt;=3),"Loyal",IF(AND(E31&gt;=4,F31&lt;=2),"New customers",IF(AND(E31=3,F31&lt;=2),"Potential",IF(AND(E31&lt;=2,F31&gt;=3),"At risk","Inactive")))))</f>
        <v/>
      </c>
    </row>
    <row r="32">
      <c r="A32" s="10" t="inlineStr">
        <is>
          <t>C1024</t>
        </is>
      </c>
      <c r="B32" s="19">
        <f>$B$4-_xlfn.MAXIFS('Clean Data'!$B$2:$B$1565,'Clean Data'!$C$2:$C$1565,$A32)</f>
        <v/>
      </c>
      <c r="C32" s="10">
        <f>COUNTIF('Clean Data'!$C$2:$C$1565,$A32)</f>
        <v/>
      </c>
      <c r="D32" s="20">
        <f>SUMIF('Clean Data'!$C$2:$C$1565,$A32,'Clean Data'!$K$2:$K$1565)</f>
        <v/>
      </c>
      <c r="E32" s="10">
        <f>IF(B32&lt;=$K$6,5,IF(B32&lt;=$K$7,4,IF(B32&lt;=$K$8,3,IF(B32&lt;=$K$9,2,1))))</f>
        <v/>
      </c>
      <c r="F32" s="10">
        <f>IF(C32&gt;=$L$9,5,IF(C32&gt;=$L$8,4,IF(C32&gt;=$L$7,3,IF(C32&gt;=$L$6,2,1))))</f>
        <v/>
      </c>
      <c r="G32" s="10">
        <f>IF(D32&gt;=$M$9,5,IF(D32&gt;=$M$8,4,IF(D32&gt;=$M$7,3,IF(D32&gt;=$M$6,2,1))))</f>
        <v/>
      </c>
      <c r="H32" s="10">
        <f>IF(AND(E32&gt;=4,F32&gt;=4),"Champions",IF(AND(E32&gt;=3,F32&gt;=3),"Loyal",IF(AND(E32&gt;=4,F32&lt;=2),"New customers",IF(AND(E32=3,F32&lt;=2),"Potential",IF(AND(E32&lt;=2,F32&gt;=3),"At risk","Inactive")))))</f>
        <v/>
      </c>
    </row>
    <row r="33">
      <c r="A33" s="10" t="inlineStr">
        <is>
          <t>C1025</t>
        </is>
      </c>
      <c r="B33" s="19">
        <f>$B$4-_xlfn.MAXIFS('Clean Data'!$B$2:$B$1565,'Clean Data'!$C$2:$C$1565,$A33)</f>
        <v/>
      </c>
      <c r="C33" s="10">
        <f>COUNTIF('Clean Data'!$C$2:$C$1565,$A33)</f>
        <v/>
      </c>
      <c r="D33" s="20">
        <f>SUMIF('Clean Data'!$C$2:$C$1565,$A33,'Clean Data'!$K$2:$K$1565)</f>
        <v/>
      </c>
      <c r="E33" s="10">
        <f>IF(B33&lt;=$K$6,5,IF(B33&lt;=$K$7,4,IF(B33&lt;=$K$8,3,IF(B33&lt;=$K$9,2,1))))</f>
        <v/>
      </c>
      <c r="F33" s="10">
        <f>IF(C33&gt;=$L$9,5,IF(C33&gt;=$L$8,4,IF(C33&gt;=$L$7,3,IF(C33&gt;=$L$6,2,1))))</f>
        <v/>
      </c>
      <c r="G33" s="10">
        <f>IF(D33&gt;=$M$9,5,IF(D33&gt;=$M$8,4,IF(D33&gt;=$M$7,3,IF(D33&gt;=$M$6,2,1))))</f>
        <v/>
      </c>
      <c r="H33" s="10">
        <f>IF(AND(E33&gt;=4,F33&gt;=4),"Champions",IF(AND(E33&gt;=3,F33&gt;=3),"Loyal",IF(AND(E33&gt;=4,F33&lt;=2),"New customers",IF(AND(E33=3,F33&lt;=2),"Potential",IF(AND(E33&lt;=2,F33&gt;=3),"At risk","Inactive")))))</f>
        <v/>
      </c>
    </row>
    <row r="34">
      <c r="A34" s="10" t="inlineStr">
        <is>
          <t>C1026</t>
        </is>
      </c>
      <c r="B34" s="19">
        <f>$B$4-_xlfn.MAXIFS('Clean Data'!$B$2:$B$1565,'Clean Data'!$C$2:$C$1565,$A34)</f>
        <v/>
      </c>
      <c r="C34" s="10">
        <f>COUNTIF('Clean Data'!$C$2:$C$1565,$A34)</f>
        <v/>
      </c>
      <c r="D34" s="20">
        <f>SUMIF('Clean Data'!$C$2:$C$1565,$A34,'Clean Data'!$K$2:$K$1565)</f>
        <v/>
      </c>
      <c r="E34" s="10">
        <f>IF(B34&lt;=$K$6,5,IF(B34&lt;=$K$7,4,IF(B34&lt;=$K$8,3,IF(B34&lt;=$K$9,2,1))))</f>
        <v/>
      </c>
      <c r="F34" s="10">
        <f>IF(C34&gt;=$L$9,5,IF(C34&gt;=$L$8,4,IF(C34&gt;=$L$7,3,IF(C34&gt;=$L$6,2,1))))</f>
        <v/>
      </c>
      <c r="G34" s="10">
        <f>IF(D34&gt;=$M$9,5,IF(D34&gt;=$M$8,4,IF(D34&gt;=$M$7,3,IF(D34&gt;=$M$6,2,1))))</f>
        <v/>
      </c>
      <c r="H34" s="10">
        <f>IF(AND(E34&gt;=4,F34&gt;=4),"Champions",IF(AND(E34&gt;=3,F34&gt;=3),"Loyal",IF(AND(E34&gt;=4,F34&lt;=2),"New customers",IF(AND(E34=3,F34&lt;=2),"Potential",IF(AND(E34&lt;=2,F34&gt;=3),"At risk","Inactive")))))</f>
        <v/>
      </c>
    </row>
    <row r="35">
      <c r="A35" s="10" t="inlineStr">
        <is>
          <t>C1027</t>
        </is>
      </c>
      <c r="B35" s="19">
        <f>$B$4-_xlfn.MAXIFS('Clean Data'!$B$2:$B$1565,'Clean Data'!$C$2:$C$1565,$A35)</f>
        <v/>
      </c>
      <c r="C35" s="10">
        <f>COUNTIF('Clean Data'!$C$2:$C$1565,$A35)</f>
        <v/>
      </c>
      <c r="D35" s="20">
        <f>SUMIF('Clean Data'!$C$2:$C$1565,$A35,'Clean Data'!$K$2:$K$1565)</f>
        <v/>
      </c>
      <c r="E35" s="10">
        <f>IF(B35&lt;=$K$6,5,IF(B35&lt;=$K$7,4,IF(B35&lt;=$K$8,3,IF(B35&lt;=$K$9,2,1))))</f>
        <v/>
      </c>
      <c r="F35" s="10">
        <f>IF(C35&gt;=$L$9,5,IF(C35&gt;=$L$8,4,IF(C35&gt;=$L$7,3,IF(C35&gt;=$L$6,2,1))))</f>
        <v/>
      </c>
      <c r="G35" s="10">
        <f>IF(D35&gt;=$M$9,5,IF(D35&gt;=$M$8,4,IF(D35&gt;=$M$7,3,IF(D35&gt;=$M$6,2,1))))</f>
        <v/>
      </c>
      <c r="H35" s="10">
        <f>IF(AND(E35&gt;=4,F35&gt;=4),"Champions",IF(AND(E35&gt;=3,F35&gt;=3),"Loyal",IF(AND(E35&gt;=4,F35&lt;=2),"New customers",IF(AND(E35=3,F35&lt;=2),"Potential",IF(AND(E35&lt;=2,F35&gt;=3),"At risk","Inactive")))))</f>
        <v/>
      </c>
    </row>
    <row r="36">
      <c r="A36" s="10" t="inlineStr">
        <is>
          <t>C1028</t>
        </is>
      </c>
      <c r="B36" s="19">
        <f>$B$4-_xlfn.MAXIFS('Clean Data'!$B$2:$B$1565,'Clean Data'!$C$2:$C$1565,$A36)</f>
        <v/>
      </c>
      <c r="C36" s="10">
        <f>COUNTIF('Clean Data'!$C$2:$C$1565,$A36)</f>
        <v/>
      </c>
      <c r="D36" s="20">
        <f>SUMIF('Clean Data'!$C$2:$C$1565,$A36,'Clean Data'!$K$2:$K$1565)</f>
        <v/>
      </c>
      <c r="E36" s="10">
        <f>IF(B36&lt;=$K$6,5,IF(B36&lt;=$K$7,4,IF(B36&lt;=$K$8,3,IF(B36&lt;=$K$9,2,1))))</f>
        <v/>
      </c>
      <c r="F36" s="10">
        <f>IF(C36&gt;=$L$9,5,IF(C36&gt;=$L$8,4,IF(C36&gt;=$L$7,3,IF(C36&gt;=$L$6,2,1))))</f>
        <v/>
      </c>
      <c r="G36" s="10">
        <f>IF(D36&gt;=$M$9,5,IF(D36&gt;=$M$8,4,IF(D36&gt;=$M$7,3,IF(D36&gt;=$M$6,2,1))))</f>
        <v/>
      </c>
      <c r="H36" s="10">
        <f>IF(AND(E36&gt;=4,F36&gt;=4),"Champions",IF(AND(E36&gt;=3,F36&gt;=3),"Loyal",IF(AND(E36&gt;=4,F36&lt;=2),"New customers",IF(AND(E36=3,F36&lt;=2),"Potential",IF(AND(E36&lt;=2,F36&gt;=3),"At risk","Inactive")))))</f>
        <v/>
      </c>
    </row>
    <row r="37">
      <c r="A37" s="10" t="inlineStr">
        <is>
          <t>C1029</t>
        </is>
      </c>
      <c r="B37" s="19">
        <f>$B$4-_xlfn.MAXIFS('Clean Data'!$B$2:$B$1565,'Clean Data'!$C$2:$C$1565,$A37)</f>
        <v/>
      </c>
      <c r="C37" s="10">
        <f>COUNTIF('Clean Data'!$C$2:$C$1565,$A37)</f>
        <v/>
      </c>
      <c r="D37" s="20">
        <f>SUMIF('Clean Data'!$C$2:$C$1565,$A37,'Clean Data'!$K$2:$K$1565)</f>
        <v/>
      </c>
      <c r="E37" s="10">
        <f>IF(B37&lt;=$K$6,5,IF(B37&lt;=$K$7,4,IF(B37&lt;=$K$8,3,IF(B37&lt;=$K$9,2,1))))</f>
        <v/>
      </c>
      <c r="F37" s="10">
        <f>IF(C37&gt;=$L$9,5,IF(C37&gt;=$L$8,4,IF(C37&gt;=$L$7,3,IF(C37&gt;=$L$6,2,1))))</f>
        <v/>
      </c>
      <c r="G37" s="10">
        <f>IF(D37&gt;=$M$9,5,IF(D37&gt;=$M$8,4,IF(D37&gt;=$M$7,3,IF(D37&gt;=$M$6,2,1))))</f>
        <v/>
      </c>
      <c r="H37" s="10">
        <f>IF(AND(E37&gt;=4,F37&gt;=4),"Champions",IF(AND(E37&gt;=3,F37&gt;=3),"Loyal",IF(AND(E37&gt;=4,F37&lt;=2),"New customers",IF(AND(E37=3,F37&lt;=2),"Potential",IF(AND(E37&lt;=2,F37&gt;=3),"At risk","Inactive")))))</f>
        <v/>
      </c>
    </row>
    <row r="38">
      <c r="A38" s="10" t="inlineStr">
        <is>
          <t>C1030</t>
        </is>
      </c>
      <c r="B38" s="19">
        <f>$B$4-_xlfn.MAXIFS('Clean Data'!$B$2:$B$1565,'Clean Data'!$C$2:$C$1565,$A38)</f>
        <v/>
      </c>
      <c r="C38" s="10">
        <f>COUNTIF('Clean Data'!$C$2:$C$1565,$A38)</f>
        <v/>
      </c>
      <c r="D38" s="20">
        <f>SUMIF('Clean Data'!$C$2:$C$1565,$A38,'Clean Data'!$K$2:$K$1565)</f>
        <v/>
      </c>
      <c r="E38" s="10">
        <f>IF(B38&lt;=$K$6,5,IF(B38&lt;=$K$7,4,IF(B38&lt;=$K$8,3,IF(B38&lt;=$K$9,2,1))))</f>
        <v/>
      </c>
      <c r="F38" s="10">
        <f>IF(C38&gt;=$L$9,5,IF(C38&gt;=$L$8,4,IF(C38&gt;=$L$7,3,IF(C38&gt;=$L$6,2,1))))</f>
        <v/>
      </c>
      <c r="G38" s="10">
        <f>IF(D38&gt;=$M$9,5,IF(D38&gt;=$M$8,4,IF(D38&gt;=$M$7,3,IF(D38&gt;=$M$6,2,1))))</f>
        <v/>
      </c>
      <c r="H38" s="10">
        <f>IF(AND(E38&gt;=4,F38&gt;=4),"Champions",IF(AND(E38&gt;=3,F38&gt;=3),"Loyal",IF(AND(E38&gt;=4,F38&lt;=2),"New customers",IF(AND(E38=3,F38&lt;=2),"Potential",IF(AND(E38&lt;=2,F38&gt;=3),"At risk","Inactive")))))</f>
        <v/>
      </c>
    </row>
    <row r="39">
      <c r="A39" s="10" t="inlineStr">
        <is>
          <t>C1031</t>
        </is>
      </c>
      <c r="B39" s="19">
        <f>$B$4-_xlfn.MAXIFS('Clean Data'!$B$2:$B$1565,'Clean Data'!$C$2:$C$1565,$A39)</f>
        <v/>
      </c>
      <c r="C39" s="10">
        <f>COUNTIF('Clean Data'!$C$2:$C$1565,$A39)</f>
        <v/>
      </c>
      <c r="D39" s="20">
        <f>SUMIF('Clean Data'!$C$2:$C$1565,$A39,'Clean Data'!$K$2:$K$1565)</f>
        <v/>
      </c>
      <c r="E39" s="10">
        <f>IF(B39&lt;=$K$6,5,IF(B39&lt;=$K$7,4,IF(B39&lt;=$K$8,3,IF(B39&lt;=$K$9,2,1))))</f>
        <v/>
      </c>
      <c r="F39" s="10">
        <f>IF(C39&gt;=$L$9,5,IF(C39&gt;=$L$8,4,IF(C39&gt;=$L$7,3,IF(C39&gt;=$L$6,2,1))))</f>
        <v/>
      </c>
      <c r="G39" s="10">
        <f>IF(D39&gt;=$M$9,5,IF(D39&gt;=$M$8,4,IF(D39&gt;=$M$7,3,IF(D39&gt;=$M$6,2,1))))</f>
        <v/>
      </c>
      <c r="H39" s="10">
        <f>IF(AND(E39&gt;=4,F39&gt;=4),"Champions",IF(AND(E39&gt;=3,F39&gt;=3),"Loyal",IF(AND(E39&gt;=4,F39&lt;=2),"New customers",IF(AND(E39=3,F39&lt;=2),"Potential",IF(AND(E39&lt;=2,F39&gt;=3),"At risk","Inactive")))))</f>
        <v/>
      </c>
    </row>
    <row r="40">
      <c r="A40" s="10" t="inlineStr">
        <is>
          <t>C1032</t>
        </is>
      </c>
      <c r="B40" s="19">
        <f>$B$4-_xlfn.MAXIFS('Clean Data'!$B$2:$B$1565,'Clean Data'!$C$2:$C$1565,$A40)</f>
        <v/>
      </c>
      <c r="C40" s="10">
        <f>COUNTIF('Clean Data'!$C$2:$C$1565,$A40)</f>
        <v/>
      </c>
      <c r="D40" s="20">
        <f>SUMIF('Clean Data'!$C$2:$C$1565,$A40,'Clean Data'!$K$2:$K$1565)</f>
        <v/>
      </c>
      <c r="E40" s="10">
        <f>IF(B40&lt;=$K$6,5,IF(B40&lt;=$K$7,4,IF(B40&lt;=$K$8,3,IF(B40&lt;=$K$9,2,1))))</f>
        <v/>
      </c>
      <c r="F40" s="10">
        <f>IF(C40&gt;=$L$9,5,IF(C40&gt;=$L$8,4,IF(C40&gt;=$L$7,3,IF(C40&gt;=$L$6,2,1))))</f>
        <v/>
      </c>
      <c r="G40" s="10">
        <f>IF(D40&gt;=$M$9,5,IF(D40&gt;=$M$8,4,IF(D40&gt;=$M$7,3,IF(D40&gt;=$M$6,2,1))))</f>
        <v/>
      </c>
      <c r="H40" s="10">
        <f>IF(AND(E40&gt;=4,F40&gt;=4),"Champions",IF(AND(E40&gt;=3,F40&gt;=3),"Loyal",IF(AND(E40&gt;=4,F40&lt;=2),"New customers",IF(AND(E40=3,F40&lt;=2),"Potential",IF(AND(E40&lt;=2,F40&gt;=3),"At risk","Inactive")))))</f>
        <v/>
      </c>
    </row>
    <row r="41">
      <c r="A41" s="10" t="inlineStr">
        <is>
          <t>C1033</t>
        </is>
      </c>
      <c r="B41" s="19">
        <f>$B$4-_xlfn.MAXIFS('Clean Data'!$B$2:$B$1565,'Clean Data'!$C$2:$C$1565,$A41)</f>
        <v/>
      </c>
      <c r="C41" s="10">
        <f>COUNTIF('Clean Data'!$C$2:$C$1565,$A41)</f>
        <v/>
      </c>
      <c r="D41" s="20">
        <f>SUMIF('Clean Data'!$C$2:$C$1565,$A41,'Clean Data'!$K$2:$K$1565)</f>
        <v/>
      </c>
      <c r="E41" s="10">
        <f>IF(B41&lt;=$K$6,5,IF(B41&lt;=$K$7,4,IF(B41&lt;=$K$8,3,IF(B41&lt;=$K$9,2,1))))</f>
        <v/>
      </c>
      <c r="F41" s="10">
        <f>IF(C41&gt;=$L$9,5,IF(C41&gt;=$L$8,4,IF(C41&gt;=$L$7,3,IF(C41&gt;=$L$6,2,1))))</f>
        <v/>
      </c>
      <c r="G41" s="10">
        <f>IF(D41&gt;=$M$9,5,IF(D41&gt;=$M$8,4,IF(D41&gt;=$M$7,3,IF(D41&gt;=$M$6,2,1))))</f>
        <v/>
      </c>
      <c r="H41" s="10">
        <f>IF(AND(E41&gt;=4,F41&gt;=4),"Champions",IF(AND(E41&gt;=3,F41&gt;=3),"Loyal",IF(AND(E41&gt;=4,F41&lt;=2),"New customers",IF(AND(E41=3,F41&lt;=2),"Potential",IF(AND(E41&lt;=2,F41&gt;=3),"At risk","Inactive")))))</f>
        <v/>
      </c>
    </row>
    <row r="42">
      <c r="A42" s="10" t="inlineStr">
        <is>
          <t>C1034</t>
        </is>
      </c>
      <c r="B42" s="19">
        <f>$B$4-_xlfn.MAXIFS('Clean Data'!$B$2:$B$1565,'Clean Data'!$C$2:$C$1565,$A42)</f>
        <v/>
      </c>
      <c r="C42" s="10">
        <f>COUNTIF('Clean Data'!$C$2:$C$1565,$A42)</f>
        <v/>
      </c>
      <c r="D42" s="20">
        <f>SUMIF('Clean Data'!$C$2:$C$1565,$A42,'Clean Data'!$K$2:$K$1565)</f>
        <v/>
      </c>
      <c r="E42" s="10">
        <f>IF(B42&lt;=$K$6,5,IF(B42&lt;=$K$7,4,IF(B42&lt;=$K$8,3,IF(B42&lt;=$K$9,2,1))))</f>
        <v/>
      </c>
      <c r="F42" s="10">
        <f>IF(C42&gt;=$L$9,5,IF(C42&gt;=$L$8,4,IF(C42&gt;=$L$7,3,IF(C42&gt;=$L$6,2,1))))</f>
        <v/>
      </c>
      <c r="G42" s="10">
        <f>IF(D42&gt;=$M$9,5,IF(D42&gt;=$M$8,4,IF(D42&gt;=$M$7,3,IF(D42&gt;=$M$6,2,1))))</f>
        <v/>
      </c>
      <c r="H42" s="10">
        <f>IF(AND(E42&gt;=4,F42&gt;=4),"Champions",IF(AND(E42&gt;=3,F42&gt;=3),"Loyal",IF(AND(E42&gt;=4,F42&lt;=2),"New customers",IF(AND(E42=3,F42&lt;=2),"Potential",IF(AND(E42&lt;=2,F42&gt;=3),"At risk","Inactive")))))</f>
        <v/>
      </c>
    </row>
    <row r="43">
      <c r="A43" s="10" t="inlineStr">
        <is>
          <t>C1035</t>
        </is>
      </c>
      <c r="B43" s="19">
        <f>$B$4-_xlfn.MAXIFS('Clean Data'!$B$2:$B$1565,'Clean Data'!$C$2:$C$1565,$A43)</f>
        <v/>
      </c>
      <c r="C43" s="10">
        <f>COUNTIF('Clean Data'!$C$2:$C$1565,$A43)</f>
        <v/>
      </c>
      <c r="D43" s="20">
        <f>SUMIF('Clean Data'!$C$2:$C$1565,$A43,'Clean Data'!$K$2:$K$1565)</f>
        <v/>
      </c>
      <c r="E43" s="10">
        <f>IF(B43&lt;=$K$6,5,IF(B43&lt;=$K$7,4,IF(B43&lt;=$K$8,3,IF(B43&lt;=$K$9,2,1))))</f>
        <v/>
      </c>
      <c r="F43" s="10">
        <f>IF(C43&gt;=$L$9,5,IF(C43&gt;=$L$8,4,IF(C43&gt;=$L$7,3,IF(C43&gt;=$L$6,2,1))))</f>
        <v/>
      </c>
      <c r="G43" s="10">
        <f>IF(D43&gt;=$M$9,5,IF(D43&gt;=$M$8,4,IF(D43&gt;=$M$7,3,IF(D43&gt;=$M$6,2,1))))</f>
        <v/>
      </c>
      <c r="H43" s="10">
        <f>IF(AND(E43&gt;=4,F43&gt;=4),"Champions",IF(AND(E43&gt;=3,F43&gt;=3),"Loyal",IF(AND(E43&gt;=4,F43&lt;=2),"New customers",IF(AND(E43=3,F43&lt;=2),"Potential",IF(AND(E43&lt;=2,F43&gt;=3),"At risk","Inactive")))))</f>
        <v/>
      </c>
    </row>
    <row r="44">
      <c r="A44" s="10" t="inlineStr">
        <is>
          <t>C1036</t>
        </is>
      </c>
      <c r="B44" s="19">
        <f>$B$4-_xlfn.MAXIFS('Clean Data'!$B$2:$B$1565,'Clean Data'!$C$2:$C$1565,$A44)</f>
        <v/>
      </c>
      <c r="C44" s="10">
        <f>COUNTIF('Clean Data'!$C$2:$C$1565,$A44)</f>
        <v/>
      </c>
      <c r="D44" s="20">
        <f>SUMIF('Clean Data'!$C$2:$C$1565,$A44,'Clean Data'!$K$2:$K$1565)</f>
        <v/>
      </c>
      <c r="E44" s="10">
        <f>IF(B44&lt;=$K$6,5,IF(B44&lt;=$K$7,4,IF(B44&lt;=$K$8,3,IF(B44&lt;=$K$9,2,1))))</f>
        <v/>
      </c>
      <c r="F44" s="10">
        <f>IF(C44&gt;=$L$9,5,IF(C44&gt;=$L$8,4,IF(C44&gt;=$L$7,3,IF(C44&gt;=$L$6,2,1))))</f>
        <v/>
      </c>
      <c r="G44" s="10">
        <f>IF(D44&gt;=$M$9,5,IF(D44&gt;=$M$8,4,IF(D44&gt;=$M$7,3,IF(D44&gt;=$M$6,2,1))))</f>
        <v/>
      </c>
      <c r="H44" s="10">
        <f>IF(AND(E44&gt;=4,F44&gt;=4),"Champions",IF(AND(E44&gt;=3,F44&gt;=3),"Loyal",IF(AND(E44&gt;=4,F44&lt;=2),"New customers",IF(AND(E44=3,F44&lt;=2),"Potential",IF(AND(E44&lt;=2,F44&gt;=3),"At risk","Inactive")))))</f>
        <v/>
      </c>
    </row>
    <row r="45">
      <c r="A45" s="10" t="inlineStr">
        <is>
          <t>C1037</t>
        </is>
      </c>
      <c r="B45" s="19">
        <f>$B$4-_xlfn.MAXIFS('Clean Data'!$B$2:$B$1565,'Clean Data'!$C$2:$C$1565,$A45)</f>
        <v/>
      </c>
      <c r="C45" s="10">
        <f>COUNTIF('Clean Data'!$C$2:$C$1565,$A45)</f>
        <v/>
      </c>
      <c r="D45" s="20">
        <f>SUMIF('Clean Data'!$C$2:$C$1565,$A45,'Clean Data'!$K$2:$K$1565)</f>
        <v/>
      </c>
      <c r="E45" s="10">
        <f>IF(B45&lt;=$K$6,5,IF(B45&lt;=$K$7,4,IF(B45&lt;=$K$8,3,IF(B45&lt;=$K$9,2,1))))</f>
        <v/>
      </c>
      <c r="F45" s="10">
        <f>IF(C45&gt;=$L$9,5,IF(C45&gt;=$L$8,4,IF(C45&gt;=$L$7,3,IF(C45&gt;=$L$6,2,1))))</f>
        <v/>
      </c>
      <c r="G45" s="10">
        <f>IF(D45&gt;=$M$9,5,IF(D45&gt;=$M$8,4,IF(D45&gt;=$M$7,3,IF(D45&gt;=$M$6,2,1))))</f>
        <v/>
      </c>
      <c r="H45" s="10">
        <f>IF(AND(E45&gt;=4,F45&gt;=4),"Champions",IF(AND(E45&gt;=3,F45&gt;=3),"Loyal",IF(AND(E45&gt;=4,F45&lt;=2),"New customers",IF(AND(E45=3,F45&lt;=2),"Potential",IF(AND(E45&lt;=2,F45&gt;=3),"At risk","Inactive")))))</f>
        <v/>
      </c>
    </row>
    <row r="46">
      <c r="A46" s="10" t="inlineStr">
        <is>
          <t>C1038</t>
        </is>
      </c>
      <c r="B46" s="19">
        <f>$B$4-_xlfn.MAXIFS('Clean Data'!$B$2:$B$1565,'Clean Data'!$C$2:$C$1565,$A46)</f>
        <v/>
      </c>
      <c r="C46" s="10">
        <f>COUNTIF('Clean Data'!$C$2:$C$1565,$A46)</f>
        <v/>
      </c>
      <c r="D46" s="20">
        <f>SUMIF('Clean Data'!$C$2:$C$1565,$A46,'Clean Data'!$K$2:$K$1565)</f>
        <v/>
      </c>
      <c r="E46" s="10">
        <f>IF(B46&lt;=$K$6,5,IF(B46&lt;=$K$7,4,IF(B46&lt;=$K$8,3,IF(B46&lt;=$K$9,2,1))))</f>
        <v/>
      </c>
      <c r="F46" s="10">
        <f>IF(C46&gt;=$L$9,5,IF(C46&gt;=$L$8,4,IF(C46&gt;=$L$7,3,IF(C46&gt;=$L$6,2,1))))</f>
        <v/>
      </c>
      <c r="G46" s="10">
        <f>IF(D46&gt;=$M$9,5,IF(D46&gt;=$M$8,4,IF(D46&gt;=$M$7,3,IF(D46&gt;=$M$6,2,1))))</f>
        <v/>
      </c>
      <c r="H46" s="10">
        <f>IF(AND(E46&gt;=4,F46&gt;=4),"Champions",IF(AND(E46&gt;=3,F46&gt;=3),"Loyal",IF(AND(E46&gt;=4,F46&lt;=2),"New customers",IF(AND(E46=3,F46&lt;=2),"Potential",IF(AND(E46&lt;=2,F46&gt;=3),"At risk","Inactive")))))</f>
        <v/>
      </c>
    </row>
    <row r="47">
      <c r="A47" s="10" t="inlineStr">
        <is>
          <t>C1039</t>
        </is>
      </c>
      <c r="B47" s="19">
        <f>$B$4-_xlfn.MAXIFS('Clean Data'!$B$2:$B$1565,'Clean Data'!$C$2:$C$1565,$A47)</f>
        <v/>
      </c>
      <c r="C47" s="10">
        <f>COUNTIF('Clean Data'!$C$2:$C$1565,$A47)</f>
        <v/>
      </c>
      <c r="D47" s="20">
        <f>SUMIF('Clean Data'!$C$2:$C$1565,$A47,'Clean Data'!$K$2:$K$1565)</f>
        <v/>
      </c>
      <c r="E47" s="10">
        <f>IF(B47&lt;=$K$6,5,IF(B47&lt;=$K$7,4,IF(B47&lt;=$K$8,3,IF(B47&lt;=$K$9,2,1))))</f>
        <v/>
      </c>
      <c r="F47" s="10">
        <f>IF(C47&gt;=$L$9,5,IF(C47&gt;=$L$8,4,IF(C47&gt;=$L$7,3,IF(C47&gt;=$L$6,2,1))))</f>
        <v/>
      </c>
      <c r="G47" s="10">
        <f>IF(D47&gt;=$M$9,5,IF(D47&gt;=$M$8,4,IF(D47&gt;=$M$7,3,IF(D47&gt;=$M$6,2,1))))</f>
        <v/>
      </c>
      <c r="H47" s="10">
        <f>IF(AND(E47&gt;=4,F47&gt;=4),"Champions",IF(AND(E47&gt;=3,F47&gt;=3),"Loyal",IF(AND(E47&gt;=4,F47&lt;=2),"New customers",IF(AND(E47=3,F47&lt;=2),"Potential",IF(AND(E47&lt;=2,F47&gt;=3),"At risk","Inactive")))))</f>
        <v/>
      </c>
    </row>
    <row r="48">
      <c r="A48" s="10" t="inlineStr">
        <is>
          <t>C1040</t>
        </is>
      </c>
      <c r="B48" s="19">
        <f>$B$4-_xlfn.MAXIFS('Clean Data'!$B$2:$B$1565,'Clean Data'!$C$2:$C$1565,$A48)</f>
        <v/>
      </c>
      <c r="C48" s="10">
        <f>COUNTIF('Clean Data'!$C$2:$C$1565,$A48)</f>
        <v/>
      </c>
      <c r="D48" s="20">
        <f>SUMIF('Clean Data'!$C$2:$C$1565,$A48,'Clean Data'!$K$2:$K$1565)</f>
        <v/>
      </c>
      <c r="E48" s="10">
        <f>IF(B48&lt;=$K$6,5,IF(B48&lt;=$K$7,4,IF(B48&lt;=$K$8,3,IF(B48&lt;=$K$9,2,1))))</f>
        <v/>
      </c>
      <c r="F48" s="10">
        <f>IF(C48&gt;=$L$9,5,IF(C48&gt;=$L$8,4,IF(C48&gt;=$L$7,3,IF(C48&gt;=$L$6,2,1))))</f>
        <v/>
      </c>
      <c r="G48" s="10">
        <f>IF(D48&gt;=$M$9,5,IF(D48&gt;=$M$8,4,IF(D48&gt;=$M$7,3,IF(D48&gt;=$M$6,2,1))))</f>
        <v/>
      </c>
      <c r="H48" s="10">
        <f>IF(AND(E48&gt;=4,F48&gt;=4),"Champions",IF(AND(E48&gt;=3,F48&gt;=3),"Loyal",IF(AND(E48&gt;=4,F48&lt;=2),"New customers",IF(AND(E48=3,F48&lt;=2),"Potential",IF(AND(E48&lt;=2,F48&gt;=3),"At risk","Inactive")))))</f>
        <v/>
      </c>
    </row>
    <row r="49">
      <c r="A49" s="10" t="inlineStr">
        <is>
          <t>C1041</t>
        </is>
      </c>
      <c r="B49" s="19">
        <f>$B$4-_xlfn.MAXIFS('Clean Data'!$B$2:$B$1565,'Clean Data'!$C$2:$C$1565,$A49)</f>
        <v/>
      </c>
      <c r="C49" s="10">
        <f>COUNTIF('Clean Data'!$C$2:$C$1565,$A49)</f>
        <v/>
      </c>
      <c r="D49" s="20">
        <f>SUMIF('Clean Data'!$C$2:$C$1565,$A49,'Clean Data'!$K$2:$K$1565)</f>
        <v/>
      </c>
      <c r="E49" s="10">
        <f>IF(B49&lt;=$K$6,5,IF(B49&lt;=$K$7,4,IF(B49&lt;=$K$8,3,IF(B49&lt;=$K$9,2,1))))</f>
        <v/>
      </c>
      <c r="F49" s="10">
        <f>IF(C49&gt;=$L$9,5,IF(C49&gt;=$L$8,4,IF(C49&gt;=$L$7,3,IF(C49&gt;=$L$6,2,1))))</f>
        <v/>
      </c>
      <c r="G49" s="10">
        <f>IF(D49&gt;=$M$9,5,IF(D49&gt;=$M$8,4,IF(D49&gt;=$M$7,3,IF(D49&gt;=$M$6,2,1))))</f>
        <v/>
      </c>
      <c r="H49" s="10">
        <f>IF(AND(E49&gt;=4,F49&gt;=4),"Champions",IF(AND(E49&gt;=3,F49&gt;=3),"Loyal",IF(AND(E49&gt;=4,F49&lt;=2),"New customers",IF(AND(E49=3,F49&lt;=2),"Potential",IF(AND(E49&lt;=2,F49&gt;=3),"At risk","Inactive")))))</f>
        <v/>
      </c>
    </row>
    <row r="50">
      <c r="A50" s="10" t="inlineStr">
        <is>
          <t>C1042</t>
        </is>
      </c>
      <c r="B50" s="19">
        <f>$B$4-_xlfn.MAXIFS('Clean Data'!$B$2:$B$1565,'Clean Data'!$C$2:$C$1565,$A50)</f>
        <v/>
      </c>
      <c r="C50" s="10">
        <f>COUNTIF('Clean Data'!$C$2:$C$1565,$A50)</f>
        <v/>
      </c>
      <c r="D50" s="20">
        <f>SUMIF('Clean Data'!$C$2:$C$1565,$A50,'Clean Data'!$K$2:$K$1565)</f>
        <v/>
      </c>
      <c r="E50" s="10">
        <f>IF(B50&lt;=$K$6,5,IF(B50&lt;=$K$7,4,IF(B50&lt;=$K$8,3,IF(B50&lt;=$K$9,2,1))))</f>
        <v/>
      </c>
      <c r="F50" s="10">
        <f>IF(C50&gt;=$L$9,5,IF(C50&gt;=$L$8,4,IF(C50&gt;=$L$7,3,IF(C50&gt;=$L$6,2,1))))</f>
        <v/>
      </c>
      <c r="G50" s="10">
        <f>IF(D50&gt;=$M$9,5,IF(D50&gt;=$M$8,4,IF(D50&gt;=$M$7,3,IF(D50&gt;=$M$6,2,1))))</f>
        <v/>
      </c>
      <c r="H50" s="10">
        <f>IF(AND(E50&gt;=4,F50&gt;=4),"Champions",IF(AND(E50&gt;=3,F50&gt;=3),"Loyal",IF(AND(E50&gt;=4,F50&lt;=2),"New customers",IF(AND(E50=3,F50&lt;=2),"Potential",IF(AND(E50&lt;=2,F50&gt;=3),"At risk","Inactive")))))</f>
        <v/>
      </c>
    </row>
    <row r="51">
      <c r="A51" s="10" t="inlineStr">
        <is>
          <t>C1043</t>
        </is>
      </c>
      <c r="B51" s="19">
        <f>$B$4-_xlfn.MAXIFS('Clean Data'!$B$2:$B$1565,'Clean Data'!$C$2:$C$1565,$A51)</f>
        <v/>
      </c>
      <c r="C51" s="10">
        <f>COUNTIF('Clean Data'!$C$2:$C$1565,$A51)</f>
        <v/>
      </c>
      <c r="D51" s="20">
        <f>SUMIF('Clean Data'!$C$2:$C$1565,$A51,'Clean Data'!$K$2:$K$1565)</f>
        <v/>
      </c>
      <c r="E51" s="10">
        <f>IF(B51&lt;=$K$6,5,IF(B51&lt;=$K$7,4,IF(B51&lt;=$K$8,3,IF(B51&lt;=$K$9,2,1))))</f>
        <v/>
      </c>
      <c r="F51" s="10">
        <f>IF(C51&gt;=$L$9,5,IF(C51&gt;=$L$8,4,IF(C51&gt;=$L$7,3,IF(C51&gt;=$L$6,2,1))))</f>
        <v/>
      </c>
      <c r="G51" s="10">
        <f>IF(D51&gt;=$M$9,5,IF(D51&gt;=$M$8,4,IF(D51&gt;=$M$7,3,IF(D51&gt;=$M$6,2,1))))</f>
        <v/>
      </c>
      <c r="H51" s="10">
        <f>IF(AND(E51&gt;=4,F51&gt;=4),"Champions",IF(AND(E51&gt;=3,F51&gt;=3),"Loyal",IF(AND(E51&gt;=4,F51&lt;=2),"New customers",IF(AND(E51=3,F51&lt;=2),"Potential",IF(AND(E51&lt;=2,F51&gt;=3),"At risk","Inactive")))))</f>
        <v/>
      </c>
    </row>
    <row r="52">
      <c r="A52" s="10" t="inlineStr">
        <is>
          <t>C1044</t>
        </is>
      </c>
      <c r="B52" s="19">
        <f>$B$4-_xlfn.MAXIFS('Clean Data'!$B$2:$B$1565,'Clean Data'!$C$2:$C$1565,$A52)</f>
        <v/>
      </c>
      <c r="C52" s="10">
        <f>COUNTIF('Clean Data'!$C$2:$C$1565,$A52)</f>
        <v/>
      </c>
      <c r="D52" s="20">
        <f>SUMIF('Clean Data'!$C$2:$C$1565,$A52,'Clean Data'!$K$2:$K$1565)</f>
        <v/>
      </c>
      <c r="E52" s="10">
        <f>IF(B52&lt;=$K$6,5,IF(B52&lt;=$K$7,4,IF(B52&lt;=$K$8,3,IF(B52&lt;=$K$9,2,1))))</f>
        <v/>
      </c>
      <c r="F52" s="10">
        <f>IF(C52&gt;=$L$9,5,IF(C52&gt;=$L$8,4,IF(C52&gt;=$L$7,3,IF(C52&gt;=$L$6,2,1))))</f>
        <v/>
      </c>
      <c r="G52" s="10">
        <f>IF(D52&gt;=$M$9,5,IF(D52&gt;=$M$8,4,IF(D52&gt;=$M$7,3,IF(D52&gt;=$M$6,2,1))))</f>
        <v/>
      </c>
      <c r="H52" s="10">
        <f>IF(AND(E52&gt;=4,F52&gt;=4),"Champions",IF(AND(E52&gt;=3,F52&gt;=3),"Loyal",IF(AND(E52&gt;=4,F52&lt;=2),"New customers",IF(AND(E52=3,F52&lt;=2),"Potential",IF(AND(E52&lt;=2,F52&gt;=3),"At risk","Inactive")))))</f>
        <v/>
      </c>
    </row>
    <row r="53">
      <c r="A53" s="10" t="inlineStr">
        <is>
          <t>C1045</t>
        </is>
      </c>
      <c r="B53" s="19">
        <f>$B$4-_xlfn.MAXIFS('Clean Data'!$B$2:$B$1565,'Clean Data'!$C$2:$C$1565,$A53)</f>
        <v/>
      </c>
      <c r="C53" s="10">
        <f>COUNTIF('Clean Data'!$C$2:$C$1565,$A53)</f>
        <v/>
      </c>
      <c r="D53" s="20">
        <f>SUMIF('Clean Data'!$C$2:$C$1565,$A53,'Clean Data'!$K$2:$K$1565)</f>
        <v/>
      </c>
      <c r="E53" s="10">
        <f>IF(B53&lt;=$K$6,5,IF(B53&lt;=$K$7,4,IF(B53&lt;=$K$8,3,IF(B53&lt;=$K$9,2,1))))</f>
        <v/>
      </c>
      <c r="F53" s="10">
        <f>IF(C53&gt;=$L$9,5,IF(C53&gt;=$L$8,4,IF(C53&gt;=$L$7,3,IF(C53&gt;=$L$6,2,1))))</f>
        <v/>
      </c>
      <c r="G53" s="10">
        <f>IF(D53&gt;=$M$9,5,IF(D53&gt;=$M$8,4,IF(D53&gt;=$M$7,3,IF(D53&gt;=$M$6,2,1))))</f>
        <v/>
      </c>
      <c r="H53" s="10">
        <f>IF(AND(E53&gt;=4,F53&gt;=4),"Champions",IF(AND(E53&gt;=3,F53&gt;=3),"Loyal",IF(AND(E53&gt;=4,F53&lt;=2),"New customers",IF(AND(E53=3,F53&lt;=2),"Potential",IF(AND(E53&lt;=2,F53&gt;=3),"At risk","Inactive")))))</f>
        <v/>
      </c>
    </row>
    <row r="54">
      <c r="A54" s="10" t="inlineStr">
        <is>
          <t>C1046</t>
        </is>
      </c>
      <c r="B54" s="19">
        <f>$B$4-_xlfn.MAXIFS('Clean Data'!$B$2:$B$1565,'Clean Data'!$C$2:$C$1565,$A54)</f>
        <v/>
      </c>
      <c r="C54" s="10">
        <f>COUNTIF('Clean Data'!$C$2:$C$1565,$A54)</f>
        <v/>
      </c>
      <c r="D54" s="20">
        <f>SUMIF('Clean Data'!$C$2:$C$1565,$A54,'Clean Data'!$K$2:$K$1565)</f>
        <v/>
      </c>
      <c r="E54" s="10">
        <f>IF(B54&lt;=$K$6,5,IF(B54&lt;=$K$7,4,IF(B54&lt;=$K$8,3,IF(B54&lt;=$K$9,2,1))))</f>
        <v/>
      </c>
      <c r="F54" s="10">
        <f>IF(C54&gt;=$L$9,5,IF(C54&gt;=$L$8,4,IF(C54&gt;=$L$7,3,IF(C54&gt;=$L$6,2,1))))</f>
        <v/>
      </c>
      <c r="G54" s="10">
        <f>IF(D54&gt;=$M$9,5,IF(D54&gt;=$M$8,4,IF(D54&gt;=$M$7,3,IF(D54&gt;=$M$6,2,1))))</f>
        <v/>
      </c>
      <c r="H54" s="10">
        <f>IF(AND(E54&gt;=4,F54&gt;=4),"Champions",IF(AND(E54&gt;=3,F54&gt;=3),"Loyal",IF(AND(E54&gt;=4,F54&lt;=2),"New customers",IF(AND(E54=3,F54&lt;=2),"Potential",IF(AND(E54&lt;=2,F54&gt;=3),"At risk","Inactive")))))</f>
        <v/>
      </c>
    </row>
    <row r="55">
      <c r="A55" s="10" t="inlineStr">
        <is>
          <t>C1047</t>
        </is>
      </c>
      <c r="B55" s="19">
        <f>$B$4-_xlfn.MAXIFS('Clean Data'!$B$2:$B$1565,'Clean Data'!$C$2:$C$1565,$A55)</f>
        <v/>
      </c>
      <c r="C55" s="10">
        <f>COUNTIF('Clean Data'!$C$2:$C$1565,$A55)</f>
        <v/>
      </c>
      <c r="D55" s="20">
        <f>SUMIF('Clean Data'!$C$2:$C$1565,$A55,'Clean Data'!$K$2:$K$1565)</f>
        <v/>
      </c>
      <c r="E55" s="10">
        <f>IF(B55&lt;=$K$6,5,IF(B55&lt;=$K$7,4,IF(B55&lt;=$K$8,3,IF(B55&lt;=$K$9,2,1))))</f>
        <v/>
      </c>
      <c r="F55" s="10">
        <f>IF(C55&gt;=$L$9,5,IF(C55&gt;=$L$8,4,IF(C55&gt;=$L$7,3,IF(C55&gt;=$L$6,2,1))))</f>
        <v/>
      </c>
      <c r="G55" s="10">
        <f>IF(D55&gt;=$M$9,5,IF(D55&gt;=$M$8,4,IF(D55&gt;=$M$7,3,IF(D55&gt;=$M$6,2,1))))</f>
        <v/>
      </c>
      <c r="H55" s="10">
        <f>IF(AND(E55&gt;=4,F55&gt;=4),"Champions",IF(AND(E55&gt;=3,F55&gt;=3),"Loyal",IF(AND(E55&gt;=4,F55&lt;=2),"New customers",IF(AND(E55=3,F55&lt;=2),"Potential",IF(AND(E55&lt;=2,F55&gt;=3),"At risk","Inactive")))))</f>
        <v/>
      </c>
    </row>
    <row r="56">
      <c r="A56" s="10" t="inlineStr">
        <is>
          <t>C1048</t>
        </is>
      </c>
      <c r="B56" s="19">
        <f>$B$4-_xlfn.MAXIFS('Clean Data'!$B$2:$B$1565,'Clean Data'!$C$2:$C$1565,$A56)</f>
        <v/>
      </c>
      <c r="C56" s="10">
        <f>COUNTIF('Clean Data'!$C$2:$C$1565,$A56)</f>
        <v/>
      </c>
      <c r="D56" s="20">
        <f>SUMIF('Clean Data'!$C$2:$C$1565,$A56,'Clean Data'!$K$2:$K$1565)</f>
        <v/>
      </c>
      <c r="E56" s="10">
        <f>IF(B56&lt;=$K$6,5,IF(B56&lt;=$K$7,4,IF(B56&lt;=$K$8,3,IF(B56&lt;=$K$9,2,1))))</f>
        <v/>
      </c>
      <c r="F56" s="10">
        <f>IF(C56&gt;=$L$9,5,IF(C56&gt;=$L$8,4,IF(C56&gt;=$L$7,3,IF(C56&gt;=$L$6,2,1))))</f>
        <v/>
      </c>
      <c r="G56" s="10">
        <f>IF(D56&gt;=$M$9,5,IF(D56&gt;=$M$8,4,IF(D56&gt;=$M$7,3,IF(D56&gt;=$M$6,2,1))))</f>
        <v/>
      </c>
      <c r="H56" s="10">
        <f>IF(AND(E56&gt;=4,F56&gt;=4),"Champions",IF(AND(E56&gt;=3,F56&gt;=3),"Loyal",IF(AND(E56&gt;=4,F56&lt;=2),"New customers",IF(AND(E56=3,F56&lt;=2),"Potential",IF(AND(E56&lt;=2,F56&gt;=3),"At risk","Inactive")))))</f>
        <v/>
      </c>
    </row>
    <row r="57">
      <c r="A57" s="10" t="inlineStr">
        <is>
          <t>C1049</t>
        </is>
      </c>
      <c r="B57" s="19">
        <f>$B$4-_xlfn.MAXIFS('Clean Data'!$B$2:$B$1565,'Clean Data'!$C$2:$C$1565,$A57)</f>
        <v/>
      </c>
      <c r="C57" s="10">
        <f>COUNTIF('Clean Data'!$C$2:$C$1565,$A57)</f>
        <v/>
      </c>
      <c r="D57" s="20">
        <f>SUMIF('Clean Data'!$C$2:$C$1565,$A57,'Clean Data'!$K$2:$K$1565)</f>
        <v/>
      </c>
      <c r="E57" s="10">
        <f>IF(B57&lt;=$K$6,5,IF(B57&lt;=$K$7,4,IF(B57&lt;=$K$8,3,IF(B57&lt;=$K$9,2,1))))</f>
        <v/>
      </c>
      <c r="F57" s="10">
        <f>IF(C57&gt;=$L$9,5,IF(C57&gt;=$L$8,4,IF(C57&gt;=$L$7,3,IF(C57&gt;=$L$6,2,1))))</f>
        <v/>
      </c>
      <c r="G57" s="10">
        <f>IF(D57&gt;=$M$9,5,IF(D57&gt;=$M$8,4,IF(D57&gt;=$M$7,3,IF(D57&gt;=$M$6,2,1))))</f>
        <v/>
      </c>
      <c r="H57" s="10">
        <f>IF(AND(E57&gt;=4,F57&gt;=4),"Champions",IF(AND(E57&gt;=3,F57&gt;=3),"Loyal",IF(AND(E57&gt;=4,F57&lt;=2),"New customers",IF(AND(E57=3,F57&lt;=2),"Potential",IF(AND(E57&lt;=2,F57&gt;=3),"At risk","Inactive")))))</f>
        <v/>
      </c>
    </row>
    <row r="58">
      <c r="A58" s="10" t="inlineStr">
        <is>
          <t>C1050</t>
        </is>
      </c>
      <c r="B58" s="19">
        <f>$B$4-_xlfn.MAXIFS('Clean Data'!$B$2:$B$1565,'Clean Data'!$C$2:$C$1565,$A58)</f>
        <v/>
      </c>
      <c r="C58" s="10">
        <f>COUNTIF('Clean Data'!$C$2:$C$1565,$A58)</f>
        <v/>
      </c>
      <c r="D58" s="20">
        <f>SUMIF('Clean Data'!$C$2:$C$1565,$A58,'Clean Data'!$K$2:$K$1565)</f>
        <v/>
      </c>
      <c r="E58" s="10">
        <f>IF(B58&lt;=$K$6,5,IF(B58&lt;=$K$7,4,IF(B58&lt;=$K$8,3,IF(B58&lt;=$K$9,2,1))))</f>
        <v/>
      </c>
      <c r="F58" s="10">
        <f>IF(C58&gt;=$L$9,5,IF(C58&gt;=$L$8,4,IF(C58&gt;=$L$7,3,IF(C58&gt;=$L$6,2,1))))</f>
        <v/>
      </c>
      <c r="G58" s="10">
        <f>IF(D58&gt;=$M$9,5,IF(D58&gt;=$M$8,4,IF(D58&gt;=$M$7,3,IF(D58&gt;=$M$6,2,1))))</f>
        <v/>
      </c>
      <c r="H58" s="10">
        <f>IF(AND(E58&gt;=4,F58&gt;=4),"Champions",IF(AND(E58&gt;=3,F58&gt;=3),"Loyal",IF(AND(E58&gt;=4,F58&lt;=2),"New customers",IF(AND(E58=3,F58&lt;=2),"Potential",IF(AND(E58&lt;=2,F58&gt;=3),"At risk","Inactive")))))</f>
        <v/>
      </c>
    </row>
    <row r="59">
      <c r="A59" s="10" t="inlineStr">
        <is>
          <t>C1051</t>
        </is>
      </c>
      <c r="B59" s="19">
        <f>$B$4-_xlfn.MAXIFS('Clean Data'!$B$2:$B$1565,'Clean Data'!$C$2:$C$1565,$A59)</f>
        <v/>
      </c>
      <c r="C59" s="10">
        <f>COUNTIF('Clean Data'!$C$2:$C$1565,$A59)</f>
        <v/>
      </c>
      <c r="D59" s="20">
        <f>SUMIF('Clean Data'!$C$2:$C$1565,$A59,'Clean Data'!$K$2:$K$1565)</f>
        <v/>
      </c>
      <c r="E59" s="10">
        <f>IF(B59&lt;=$K$6,5,IF(B59&lt;=$K$7,4,IF(B59&lt;=$K$8,3,IF(B59&lt;=$K$9,2,1))))</f>
        <v/>
      </c>
      <c r="F59" s="10">
        <f>IF(C59&gt;=$L$9,5,IF(C59&gt;=$L$8,4,IF(C59&gt;=$L$7,3,IF(C59&gt;=$L$6,2,1))))</f>
        <v/>
      </c>
      <c r="G59" s="10">
        <f>IF(D59&gt;=$M$9,5,IF(D59&gt;=$M$8,4,IF(D59&gt;=$M$7,3,IF(D59&gt;=$M$6,2,1))))</f>
        <v/>
      </c>
      <c r="H59" s="10">
        <f>IF(AND(E59&gt;=4,F59&gt;=4),"Champions",IF(AND(E59&gt;=3,F59&gt;=3),"Loyal",IF(AND(E59&gt;=4,F59&lt;=2),"New customers",IF(AND(E59=3,F59&lt;=2),"Potential",IF(AND(E59&lt;=2,F59&gt;=3),"At risk","Inactive")))))</f>
        <v/>
      </c>
    </row>
    <row r="60">
      <c r="A60" s="10" t="inlineStr">
        <is>
          <t>C1052</t>
        </is>
      </c>
      <c r="B60" s="19">
        <f>$B$4-_xlfn.MAXIFS('Clean Data'!$B$2:$B$1565,'Clean Data'!$C$2:$C$1565,$A60)</f>
        <v/>
      </c>
      <c r="C60" s="10">
        <f>COUNTIF('Clean Data'!$C$2:$C$1565,$A60)</f>
        <v/>
      </c>
      <c r="D60" s="20">
        <f>SUMIF('Clean Data'!$C$2:$C$1565,$A60,'Clean Data'!$K$2:$K$1565)</f>
        <v/>
      </c>
      <c r="E60" s="10">
        <f>IF(B60&lt;=$K$6,5,IF(B60&lt;=$K$7,4,IF(B60&lt;=$K$8,3,IF(B60&lt;=$K$9,2,1))))</f>
        <v/>
      </c>
      <c r="F60" s="10">
        <f>IF(C60&gt;=$L$9,5,IF(C60&gt;=$L$8,4,IF(C60&gt;=$L$7,3,IF(C60&gt;=$L$6,2,1))))</f>
        <v/>
      </c>
      <c r="G60" s="10">
        <f>IF(D60&gt;=$M$9,5,IF(D60&gt;=$M$8,4,IF(D60&gt;=$M$7,3,IF(D60&gt;=$M$6,2,1))))</f>
        <v/>
      </c>
      <c r="H60" s="10">
        <f>IF(AND(E60&gt;=4,F60&gt;=4),"Champions",IF(AND(E60&gt;=3,F60&gt;=3),"Loyal",IF(AND(E60&gt;=4,F60&lt;=2),"New customers",IF(AND(E60=3,F60&lt;=2),"Potential",IF(AND(E60&lt;=2,F60&gt;=3),"At risk","Inactive")))))</f>
        <v/>
      </c>
    </row>
    <row r="61">
      <c r="A61" s="10" t="inlineStr">
        <is>
          <t>C1053</t>
        </is>
      </c>
      <c r="B61" s="19">
        <f>$B$4-_xlfn.MAXIFS('Clean Data'!$B$2:$B$1565,'Clean Data'!$C$2:$C$1565,$A61)</f>
        <v/>
      </c>
      <c r="C61" s="10">
        <f>COUNTIF('Clean Data'!$C$2:$C$1565,$A61)</f>
        <v/>
      </c>
      <c r="D61" s="20">
        <f>SUMIF('Clean Data'!$C$2:$C$1565,$A61,'Clean Data'!$K$2:$K$1565)</f>
        <v/>
      </c>
      <c r="E61" s="10">
        <f>IF(B61&lt;=$K$6,5,IF(B61&lt;=$K$7,4,IF(B61&lt;=$K$8,3,IF(B61&lt;=$K$9,2,1))))</f>
        <v/>
      </c>
      <c r="F61" s="10">
        <f>IF(C61&gt;=$L$9,5,IF(C61&gt;=$L$8,4,IF(C61&gt;=$L$7,3,IF(C61&gt;=$L$6,2,1))))</f>
        <v/>
      </c>
      <c r="G61" s="10">
        <f>IF(D61&gt;=$M$9,5,IF(D61&gt;=$M$8,4,IF(D61&gt;=$M$7,3,IF(D61&gt;=$M$6,2,1))))</f>
        <v/>
      </c>
      <c r="H61" s="10">
        <f>IF(AND(E61&gt;=4,F61&gt;=4),"Champions",IF(AND(E61&gt;=3,F61&gt;=3),"Loyal",IF(AND(E61&gt;=4,F61&lt;=2),"New customers",IF(AND(E61=3,F61&lt;=2),"Potential",IF(AND(E61&lt;=2,F61&gt;=3),"At risk","Inactive")))))</f>
        <v/>
      </c>
    </row>
    <row r="62">
      <c r="A62" s="10" t="inlineStr">
        <is>
          <t>C1054</t>
        </is>
      </c>
      <c r="B62" s="19">
        <f>$B$4-_xlfn.MAXIFS('Clean Data'!$B$2:$B$1565,'Clean Data'!$C$2:$C$1565,$A62)</f>
        <v/>
      </c>
      <c r="C62" s="10">
        <f>COUNTIF('Clean Data'!$C$2:$C$1565,$A62)</f>
        <v/>
      </c>
      <c r="D62" s="20">
        <f>SUMIF('Clean Data'!$C$2:$C$1565,$A62,'Clean Data'!$K$2:$K$1565)</f>
        <v/>
      </c>
      <c r="E62" s="10">
        <f>IF(B62&lt;=$K$6,5,IF(B62&lt;=$K$7,4,IF(B62&lt;=$K$8,3,IF(B62&lt;=$K$9,2,1))))</f>
        <v/>
      </c>
      <c r="F62" s="10">
        <f>IF(C62&gt;=$L$9,5,IF(C62&gt;=$L$8,4,IF(C62&gt;=$L$7,3,IF(C62&gt;=$L$6,2,1))))</f>
        <v/>
      </c>
      <c r="G62" s="10">
        <f>IF(D62&gt;=$M$9,5,IF(D62&gt;=$M$8,4,IF(D62&gt;=$M$7,3,IF(D62&gt;=$M$6,2,1))))</f>
        <v/>
      </c>
      <c r="H62" s="10">
        <f>IF(AND(E62&gt;=4,F62&gt;=4),"Champions",IF(AND(E62&gt;=3,F62&gt;=3),"Loyal",IF(AND(E62&gt;=4,F62&lt;=2),"New customers",IF(AND(E62=3,F62&lt;=2),"Potential",IF(AND(E62&lt;=2,F62&gt;=3),"At risk","Inactive")))))</f>
        <v/>
      </c>
    </row>
    <row r="63">
      <c r="A63" s="10" t="inlineStr">
        <is>
          <t>C1055</t>
        </is>
      </c>
      <c r="B63" s="19">
        <f>$B$4-_xlfn.MAXIFS('Clean Data'!$B$2:$B$1565,'Clean Data'!$C$2:$C$1565,$A63)</f>
        <v/>
      </c>
      <c r="C63" s="10">
        <f>COUNTIF('Clean Data'!$C$2:$C$1565,$A63)</f>
        <v/>
      </c>
      <c r="D63" s="20">
        <f>SUMIF('Clean Data'!$C$2:$C$1565,$A63,'Clean Data'!$K$2:$K$1565)</f>
        <v/>
      </c>
      <c r="E63" s="10">
        <f>IF(B63&lt;=$K$6,5,IF(B63&lt;=$K$7,4,IF(B63&lt;=$K$8,3,IF(B63&lt;=$K$9,2,1))))</f>
        <v/>
      </c>
      <c r="F63" s="10">
        <f>IF(C63&gt;=$L$9,5,IF(C63&gt;=$L$8,4,IF(C63&gt;=$L$7,3,IF(C63&gt;=$L$6,2,1))))</f>
        <v/>
      </c>
      <c r="G63" s="10">
        <f>IF(D63&gt;=$M$9,5,IF(D63&gt;=$M$8,4,IF(D63&gt;=$M$7,3,IF(D63&gt;=$M$6,2,1))))</f>
        <v/>
      </c>
      <c r="H63" s="10">
        <f>IF(AND(E63&gt;=4,F63&gt;=4),"Champions",IF(AND(E63&gt;=3,F63&gt;=3),"Loyal",IF(AND(E63&gt;=4,F63&lt;=2),"New customers",IF(AND(E63=3,F63&lt;=2),"Potential",IF(AND(E63&lt;=2,F63&gt;=3),"At risk","Inactive")))))</f>
        <v/>
      </c>
    </row>
    <row r="64">
      <c r="A64" s="10" t="inlineStr">
        <is>
          <t>C1056</t>
        </is>
      </c>
      <c r="B64" s="19">
        <f>$B$4-_xlfn.MAXIFS('Clean Data'!$B$2:$B$1565,'Clean Data'!$C$2:$C$1565,$A64)</f>
        <v/>
      </c>
      <c r="C64" s="10">
        <f>COUNTIF('Clean Data'!$C$2:$C$1565,$A64)</f>
        <v/>
      </c>
      <c r="D64" s="20">
        <f>SUMIF('Clean Data'!$C$2:$C$1565,$A64,'Clean Data'!$K$2:$K$1565)</f>
        <v/>
      </c>
      <c r="E64" s="10">
        <f>IF(B64&lt;=$K$6,5,IF(B64&lt;=$K$7,4,IF(B64&lt;=$K$8,3,IF(B64&lt;=$K$9,2,1))))</f>
        <v/>
      </c>
      <c r="F64" s="10">
        <f>IF(C64&gt;=$L$9,5,IF(C64&gt;=$L$8,4,IF(C64&gt;=$L$7,3,IF(C64&gt;=$L$6,2,1))))</f>
        <v/>
      </c>
      <c r="G64" s="10">
        <f>IF(D64&gt;=$M$9,5,IF(D64&gt;=$M$8,4,IF(D64&gt;=$M$7,3,IF(D64&gt;=$M$6,2,1))))</f>
        <v/>
      </c>
      <c r="H64" s="10">
        <f>IF(AND(E64&gt;=4,F64&gt;=4),"Champions",IF(AND(E64&gt;=3,F64&gt;=3),"Loyal",IF(AND(E64&gt;=4,F64&lt;=2),"New customers",IF(AND(E64=3,F64&lt;=2),"Potential",IF(AND(E64&lt;=2,F64&gt;=3),"At risk","Inactive")))))</f>
        <v/>
      </c>
    </row>
    <row r="65">
      <c r="A65" s="10" t="inlineStr">
        <is>
          <t>C1057</t>
        </is>
      </c>
      <c r="B65" s="19">
        <f>$B$4-_xlfn.MAXIFS('Clean Data'!$B$2:$B$1565,'Clean Data'!$C$2:$C$1565,$A65)</f>
        <v/>
      </c>
      <c r="C65" s="10">
        <f>COUNTIF('Clean Data'!$C$2:$C$1565,$A65)</f>
        <v/>
      </c>
      <c r="D65" s="20">
        <f>SUMIF('Clean Data'!$C$2:$C$1565,$A65,'Clean Data'!$K$2:$K$1565)</f>
        <v/>
      </c>
      <c r="E65" s="10">
        <f>IF(B65&lt;=$K$6,5,IF(B65&lt;=$K$7,4,IF(B65&lt;=$K$8,3,IF(B65&lt;=$K$9,2,1))))</f>
        <v/>
      </c>
      <c r="F65" s="10">
        <f>IF(C65&gt;=$L$9,5,IF(C65&gt;=$L$8,4,IF(C65&gt;=$L$7,3,IF(C65&gt;=$L$6,2,1))))</f>
        <v/>
      </c>
      <c r="G65" s="10">
        <f>IF(D65&gt;=$M$9,5,IF(D65&gt;=$M$8,4,IF(D65&gt;=$M$7,3,IF(D65&gt;=$M$6,2,1))))</f>
        <v/>
      </c>
      <c r="H65" s="10">
        <f>IF(AND(E65&gt;=4,F65&gt;=4),"Champions",IF(AND(E65&gt;=3,F65&gt;=3),"Loyal",IF(AND(E65&gt;=4,F65&lt;=2),"New customers",IF(AND(E65=3,F65&lt;=2),"Potential",IF(AND(E65&lt;=2,F65&gt;=3),"At risk","Inactive")))))</f>
        <v/>
      </c>
    </row>
    <row r="66">
      <c r="A66" s="10" t="inlineStr">
        <is>
          <t>C1058</t>
        </is>
      </c>
      <c r="B66" s="19">
        <f>$B$4-_xlfn.MAXIFS('Clean Data'!$B$2:$B$1565,'Clean Data'!$C$2:$C$1565,$A66)</f>
        <v/>
      </c>
      <c r="C66" s="10">
        <f>COUNTIF('Clean Data'!$C$2:$C$1565,$A66)</f>
        <v/>
      </c>
      <c r="D66" s="20">
        <f>SUMIF('Clean Data'!$C$2:$C$1565,$A66,'Clean Data'!$K$2:$K$1565)</f>
        <v/>
      </c>
      <c r="E66" s="10">
        <f>IF(B66&lt;=$K$6,5,IF(B66&lt;=$K$7,4,IF(B66&lt;=$K$8,3,IF(B66&lt;=$K$9,2,1))))</f>
        <v/>
      </c>
      <c r="F66" s="10">
        <f>IF(C66&gt;=$L$9,5,IF(C66&gt;=$L$8,4,IF(C66&gt;=$L$7,3,IF(C66&gt;=$L$6,2,1))))</f>
        <v/>
      </c>
      <c r="G66" s="10">
        <f>IF(D66&gt;=$M$9,5,IF(D66&gt;=$M$8,4,IF(D66&gt;=$M$7,3,IF(D66&gt;=$M$6,2,1))))</f>
        <v/>
      </c>
      <c r="H66" s="10">
        <f>IF(AND(E66&gt;=4,F66&gt;=4),"Champions",IF(AND(E66&gt;=3,F66&gt;=3),"Loyal",IF(AND(E66&gt;=4,F66&lt;=2),"New customers",IF(AND(E66=3,F66&lt;=2),"Potential",IF(AND(E66&lt;=2,F66&gt;=3),"At risk","Inactive")))))</f>
        <v/>
      </c>
    </row>
    <row r="67">
      <c r="A67" s="10" t="inlineStr">
        <is>
          <t>C1059</t>
        </is>
      </c>
      <c r="B67" s="19">
        <f>$B$4-_xlfn.MAXIFS('Clean Data'!$B$2:$B$1565,'Clean Data'!$C$2:$C$1565,$A67)</f>
        <v/>
      </c>
      <c r="C67" s="10">
        <f>COUNTIF('Clean Data'!$C$2:$C$1565,$A67)</f>
        <v/>
      </c>
      <c r="D67" s="20">
        <f>SUMIF('Clean Data'!$C$2:$C$1565,$A67,'Clean Data'!$K$2:$K$1565)</f>
        <v/>
      </c>
      <c r="E67" s="10">
        <f>IF(B67&lt;=$K$6,5,IF(B67&lt;=$K$7,4,IF(B67&lt;=$K$8,3,IF(B67&lt;=$K$9,2,1))))</f>
        <v/>
      </c>
      <c r="F67" s="10">
        <f>IF(C67&gt;=$L$9,5,IF(C67&gt;=$L$8,4,IF(C67&gt;=$L$7,3,IF(C67&gt;=$L$6,2,1))))</f>
        <v/>
      </c>
      <c r="G67" s="10">
        <f>IF(D67&gt;=$M$9,5,IF(D67&gt;=$M$8,4,IF(D67&gt;=$M$7,3,IF(D67&gt;=$M$6,2,1))))</f>
        <v/>
      </c>
      <c r="H67" s="10">
        <f>IF(AND(E67&gt;=4,F67&gt;=4),"Champions",IF(AND(E67&gt;=3,F67&gt;=3),"Loyal",IF(AND(E67&gt;=4,F67&lt;=2),"New customers",IF(AND(E67=3,F67&lt;=2),"Potential",IF(AND(E67&lt;=2,F67&gt;=3),"At risk","Inactive")))))</f>
        <v/>
      </c>
    </row>
    <row r="68">
      <c r="A68" s="10" t="inlineStr">
        <is>
          <t>C1060</t>
        </is>
      </c>
      <c r="B68" s="19">
        <f>$B$4-_xlfn.MAXIFS('Clean Data'!$B$2:$B$1565,'Clean Data'!$C$2:$C$1565,$A68)</f>
        <v/>
      </c>
      <c r="C68" s="10">
        <f>COUNTIF('Clean Data'!$C$2:$C$1565,$A68)</f>
        <v/>
      </c>
      <c r="D68" s="20">
        <f>SUMIF('Clean Data'!$C$2:$C$1565,$A68,'Clean Data'!$K$2:$K$1565)</f>
        <v/>
      </c>
      <c r="E68" s="10">
        <f>IF(B68&lt;=$K$6,5,IF(B68&lt;=$K$7,4,IF(B68&lt;=$K$8,3,IF(B68&lt;=$K$9,2,1))))</f>
        <v/>
      </c>
      <c r="F68" s="10">
        <f>IF(C68&gt;=$L$9,5,IF(C68&gt;=$L$8,4,IF(C68&gt;=$L$7,3,IF(C68&gt;=$L$6,2,1))))</f>
        <v/>
      </c>
      <c r="G68" s="10">
        <f>IF(D68&gt;=$M$9,5,IF(D68&gt;=$M$8,4,IF(D68&gt;=$M$7,3,IF(D68&gt;=$M$6,2,1))))</f>
        <v/>
      </c>
      <c r="H68" s="10">
        <f>IF(AND(E68&gt;=4,F68&gt;=4),"Champions",IF(AND(E68&gt;=3,F68&gt;=3),"Loyal",IF(AND(E68&gt;=4,F68&lt;=2),"New customers",IF(AND(E68=3,F68&lt;=2),"Potential",IF(AND(E68&lt;=2,F68&gt;=3),"At risk","Inactive")))))</f>
        <v/>
      </c>
    </row>
    <row r="69">
      <c r="A69" s="10" t="inlineStr">
        <is>
          <t>C1061</t>
        </is>
      </c>
      <c r="B69" s="19">
        <f>$B$4-_xlfn.MAXIFS('Clean Data'!$B$2:$B$1565,'Clean Data'!$C$2:$C$1565,$A69)</f>
        <v/>
      </c>
      <c r="C69" s="10">
        <f>COUNTIF('Clean Data'!$C$2:$C$1565,$A69)</f>
        <v/>
      </c>
      <c r="D69" s="20">
        <f>SUMIF('Clean Data'!$C$2:$C$1565,$A69,'Clean Data'!$K$2:$K$1565)</f>
        <v/>
      </c>
      <c r="E69" s="10">
        <f>IF(B69&lt;=$K$6,5,IF(B69&lt;=$K$7,4,IF(B69&lt;=$K$8,3,IF(B69&lt;=$K$9,2,1))))</f>
        <v/>
      </c>
      <c r="F69" s="10">
        <f>IF(C69&gt;=$L$9,5,IF(C69&gt;=$L$8,4,IF(C69&gt;=$L$7,3,IF(C69&gt;=$L$6,2,1))))</f>
        <v/>
      </c>
      <c r="G69" s="10">
        <f>IF(D69&gt;=$M$9,5,IF(D69&gt;=$M$8,4,IF(D69&gt;=$M$7,3,IF(D69&gt;=$M$6,2,1))))</f>
        <v/>
      </c>
      <c r="H69" s="10">
        <f>IF(AND(E69&gt;=4,F69&gt;=4),"Champions",IF(AND(E69&gt;=3,F69&gt;=3),"Loyal",IF(AND(E69&gt;=4,F69&lt;=2),"New customers",IF(AND(E69=3,F69&lt;=2),"Potential",IF(AND(E69&lt;=2,F69&gt;=3),"At risk","Inactive")))))</f>
        <v/>
      </c>
    </row>
    <row r="70">
      <c r="A70" s="10" t="inlineStr">
        <is>
          <t>C1062</t>
        </is>
      </c>
      <c r="B70" s="19">
        <f>$B$4-_xlfn.MAXIFS('Clean Data'!$B$2:$B$1565,'Clean Data'!$C$2:$C$1565,$A70)</f>
        <v/>
      </c>
      <c r="C70" s="10">
        <f>COUNTIF('Clean Data'!$C$2:$C$1565,$A70)</f>
        <v/>
      </c>
      <c r="D70" s="20">
        <f>SUMIF('Clean Data'!$C$2:$C$1565,$A70,'Clean Data'!$K$2:$K$1565)</f>
        <v/>
      </c>
      <c r="E70" s="10">
        <f>IF(B70&lt;=$K$6,5,IF(B70&lt;=$K$7,4,IF(B70&lt;=$K$8,3,IF(B70&lt;=$K$9,2,1))))</f>
        <v/>
      </c>
      <c r="F70" s="10">
        <f>IF(C70&gt;=$L$9,5,IF(C70&gt;=$L$8,4,IF(C70&gt;=$L$7,3,IF(C70&gt;=$L$6,2,1))))</f>
        <v/>
      </c>
      <c r="G70" s="10">
        <f>IF(D70&gt;=$M$9,5,IF(D70&gt;=$M$8,4,IF(D70&gt;=$M$7,3,IF(D70&gt;=$M$6,2,1))))</f>
        <v/>
      </c>
      <c r="H70" s="10">
        <f>IF(AND(E70&gt;=4,F70&gt;=4),"Champions",IF(AND(E70&gt;=3,F70&gt;=3),"Loyal",IF(AND(E70&gt;=4,F70&lt;=2),"New customers",IF(AND(E70=3,F70&lt;=2),"Potential",IF(AND(E70&lt;=2,F70&gt;=3),"At risk","Inactive")))))</f>
        <v/>
      </c>
    </row>
    <row r="71">
      <c r="A71" s="10" t="inlineStr">
        <is>
          <t>C1063</t>
        </is>
      </c>
      <c r="B71" s="19">
        <f>$B$4-_xlfn.MAXIFS('Clean Data'!$B$2:$B$1565,'Clean Data'!$C$2:$C$1565,$A71)</f>
        <v/>
      </c>
      <c r="C71" s="10">
        <f>COUNTIF('Clean Data'!$C$2:$C$1565,$A71)</f>
        <v/>
      </c>
      <c r="D71" s="20">
        <f>SUMIF('Clean Data'!$C$2:$C$1565,$A71,'Clean Data'!$K$2:$K$1565)</f>
        <v/>
      </c>
      <c r="E71" s="10">
        <f>IF(B71&lt;=$K$6,5,IF(B71&lt;=$K$7,4,IF(B71&lt;=$K$8,3,IF(B71&lt;=$K$9,2,1))))</f>
        <v/>
      </c>
      <c r="F71" s="10">
        <f>IF(C71&gt;=$L$9,5,IF(C71&gt;=$L$8,4,IF(C71&gt;=$L$7,3,IF(C71&gt;=$L$6,2,1))))</f>
        <v/>
      </c>
      <c r="G71" s="10">
        <f>IF(D71&gt;=$M$9,5,IF(D71&gt;=$M$8,4,IF(D71&gt;=$M$7,3,IF(D71&gt;=$M$6,2,1))))</f>
        <v/>
      </c>
      <c r="H71" s="10">
        <f>IF(AND(E71&gt;=4,F71&gt;=4),"Champions",IF(AND(E71&gt;=3,F71&gt;=3),"Loyal",IF(AND(E71&gt;=4,F71&lt;=2),"New customers",IF(AND(E71=3,F71&lt;=2),"Potential",IF(AND(E71&lt;=2,F71&gt;=3),"At risk","Inactive")))))</f>
        <v/>
      </c>
    </row>
    <row r="72">
      <c r="A72" s="10" t="inlineStr">
        <is>
          <t>C1064</t>
        </is>
      </c>
      <c r="B72" s="19">
        <f>$B$4-_xlfn.MAXIFS('Clean Data'!$B$2:$B$1565,'Clean Data'!$C$2:$C$1565,$A72)</f>
        <v/>
      </c>
      <c r="C72" s="10">
        <f>COUNTIF('Clean Data'!$C$2:$C$1565,$A72)</f>
        <v/>
      </c>
      <c r="D72" s="20">
        <f>SUMIF('Clean Data'!$C$2:$C$1565,$A72,'Clean Data'!$K$2:$K$1565)</f>
        <v/>
      </c>
      <c r="E72" s="10">
        <f>IF(B72&lt;=$K$6,5,IF(B72&lt;=$K$7,4,IF(B72&lt;=$K$8,3,IF(B72&lt;=$K$9,2,1))))</f>
        <v/>
      </c>
      <c r="F72" s="10">
        <f>IF(C72&gt;=$L$9,5,IF(C72&gt;=$L$8,4,IF(C72&gt;=$L$7,3,IF(C72&gt;=$L$6,2,1))))</f>
        <v/>
      </c>
      <c r="G72" s="10">
        <f>IF(D72&gt;=$M$9,5,IF(D72&gt;=$M$8,4,IF(D72&gt;=$M$7,3,IF(D72&gt;=$M$6,2,1))))</f>
        <v/>
      </c>
      <c r="H72" s="10">
        <f>IF(AND(E72&gt;=4,F72&gt;=4),"Champions",IF(AND(E72&gt;=3,F72&gt;=3),"Loyal",IF(AND(E72&gt;=4,F72&lt;=2),"New customers",IF(AND(E72=3,F72&lt;=2),"Potential",IF(AND(E72&lt;=2,F72&gt;=3),"At risk","Inactive")))))</f>
        <v/>
      </c>
    </row>
    <row r="73">
      <c r="A73" s="10" t="inlineStr">
        <is>
          <t>C1065</t>
        </is>
      </c>
      <c r="B73" s="19">
        <f>$B$4-_xlfn.MAXIFS('Clean Data'!$B$2:$B$1565,'Clean Data'!$C$2:$C$1565,$A73)</f>
        <v/>
      </c>
      <c r="C73" s="10">
        <f>COUNTIF('Clean Data'!$C$2:$C$1565,$A73)</f>
        <v/>
      </c>
      <c r="D73" s="20">
        <f>SUMIF('Clean Data'!$C$2:$C$1565,$A73,'Clean Data'!$K$2:$K$1565)</f>
        <v/>
      </c>
      <c r="E73" s="10">
        <f>IF(B73&lt;=$K$6,5,IF(B73&lt;=$K$7,4,IF(B73&lt;=$K$8,3,IF(B73&lt;=$K$9,2,1))))</f>
        <v/>
      </c>
      <c r="F73" s="10">
        <f>IF(C73&gt;=$L$9,5,IF(C73&gt;=$L$8,4,IF(C73&gt;=$L$7,3,IF(C73&gt;=$L$6,2,1))))</f>
        <v/>
      </c>
      <c r="G73" s="10">
        <f>IF(D73&gt;=$M$9,5,IF(D73&gt;=$M$8,4,IF(D73&gt;=$M$7,3,IF(D73&gt;=$M$6,2,1))))</f>
        <v/>
      </c>
      <c r="H73" s="10">
        <f>IF(AND(E73&gt;=4,F73&gt;=4),"Champions",IF(AND(E73&gt;=3,F73&gt;=3),"Loyal",IF(AND(E73&gt;=4,F73&lt;=2),"New customers",IF(AND(E73=3,F73&lt;=2),"Potential",IF(AND(E73&lt;=2,F73&gt;=3),"At risk","Inactive")))))</f>
        <v/>
      </c>
    </row>
    <row r="74">
      <c r="A74" s="10" t="inlineStr">
        <is>
          <t>C1066</t>
        </is>
      </c>
      <c r="B74" s="19">
        <f>$B$4-_xlfn.MAXIFS('Clean Data'!$B$2:$B$1565,'Clean Data'!$C$2:$C$1565,$A74)</f>
        <v/>
      </c>
      <c r="C74" s="10">
        <f>COUNTIF('Clean Data'!$C$2:$C$1565,$A74)</f>
        <v/>
      </c>
      <c r="D74" s="20">
        <f>SUMIF('Clean Data'!$C$2:$C$1565,$A74,'Clean Data'!$K$2:$K$1565)</f>
        <v/>
      </c>
      <c r="E74" s="10">
        <f>IF(B74&lt;=$K$6,5,IF(B74&lt;=$K$7,4,IF(B74&lt;=$K$8,3,IF(B74&lt;=$K$9,2,1))))</f>
        <v/>
      </c>
      <c r="F74" s="10">
        <f>IF(C74&gt;=$L$9,5,IF(C74&gt;=$L$8,4,IF(C74&gt;=$L$7,3,IF(C74&gt;=$L$6,2,1))))</f>
        <v/>
      </c>
      <c r="G74" s="10">
        <f>IF(D74&gt;=$M$9,5,IF(D74&gt;=$M$8,4,IF(D74&gt;=$M$7,3,IF(D74&gt;=$M$6,2,1))))</f>
        <v/>
      </c>
      <c r="H74" s="10">
        <f>IF(AND(E74&gt;=4,F74&gt;=4),"Champions",IF(AND(E74&gt;=3,F74&gt;=3),"Loyal",IF(AND(E74&gt;=4,F74&lt;=2),"New customers",IF(AND(E74=3,F74&lt;=2),"Potential",IF(AND(E74&lt;=2,F74&gt;=3),"At risk","Inactive")))))</f>
        <v/>
      </c>
    </row>
    <row r="75">
      <c r="A75" s="10" t="inlineStr">
        <is>
          <t>C1067</t>
        </is>
      </c>
      <c r="B75" s="19">
        <f>$B$4-_xlfn.MAXIFS('Clean Data'!$B$2:$B$1565,'Clean Data'!$C$2:$C$1565,$A75)</f>
        <v/>
      </c>
      <c r="C75" s="10">
        <f>COUNTIF('Clean Data'!$C$2:$C$1565,$A75)</f>
        <v/>
      </c>
      <c r="D75" s="20">
        <f>SUMIF('Clean Data'!$C$2:$C$1565,$A75,'Clean Data'!$K$2:$K$1565)</f>
        <v/>
      </c>
      <c r="E75" s="10">
        <f>IF(B75&lt;=$K$6,5,IF(B75&lt;=$K$7,4,IF(B75&lt;=$K$8,3,IF(B75&lt;=$K$9,2,1))))</f>
        <v/>
      </c>
      <c r="F75" s="10">
        <f>IF(C75&gt;=$L$9,5,IF(C75&gt;=$L$8,4,IF(C75&gt;=$L$7,3,IF(C75&gt;=$L$6,2,1))))</f>
        <v/>
      </c>
      <c r="G75" s="10">
        <f>IF(D75&gt;=$M$9,5,IF(D75&gt;=$M$8,4,IF(D75&gt;=$M$7,3,IF(D75&gt;=$M$6,2,1))))</f>
        <v/>
      </c>
      <c r="H75" s="10">
        <f>IF(AND(E75&gt;=4,F75&gt;=4),"Champions",IF(AND(E75&gt;=3,F75&gt;=3),"Loyal",IF(AND(E75&gt;=4,F75&lt;=2),"New customers",IF(AND(E75=3,F75&lt;=2),"Potential",IF(AND(E75&lt;=2,F75&gt;=3),"At risk","Inactive")))))</f>
        <v/>
      </c>
    </row>
    <row r="76">
      <c r="A76" s="10" t="inlineStr">
        <is>
          <t>C1068</t>
        </is>
      </c>
      <c r="B76" s="19">
        <f>$B$4-_xlfn.MAXIFS('Clean Data'!$B$2:$B$1565,'Clean Data'!$C$2:$C$1565,$A76)</f>
        <v/>
      </c>
      <c r="C76" s="10">
        <f>COUNTIF('Clean Data'!$C$2:$C$1565,$A76)</f>
        <v/>
      </c>
      <c r="D76" s="20">
        <f>SUMIF('Clean Data'!$C$2:$C$1565,$A76,'Clean Data'!$K$2:$K$1565)</f>
        <v/>
      </c>
      <c r="E76" s="10">
        <f>IF(B76&lt;=$K$6,5,IF(B76&lt;=$K$7,4,IF(B76&lt;=$K$8,3,IF(B76&lt;=$K$9,2,1))))</f>
        <v/>
      </c>
      <c r="F76" s="10">
        <f>IF(C76&gt;=$L$9,5,IF(C76&gt;=$L$8,4,IF(C76&gt;=$L$7,3,IF(C76&gt;=$L$6,2,1))))</f>
        <v/>
      </c>
      <c r="G76" s="10">
        <f>IF(D76&gt;=$M$9,5,IF(D76&gt;=$M$8,4,IF(D76&gt;=$M$7,3,IF(D76&gt;=$M$6,2,1))))</f>
        <v/>
      </c>
      <c r="H76" s="10">
        <f>IF(AND(E76&gt;=4,F76&gt;=4),"Champions",IF(AND(E76&gt;=3,F76&gt;=3),"Loyal",IF(AND(E76&gt;=4,F76&lt;=2),"New customers",IF(AND(E76=3,F76&lt;=2),"Potential",IF(AND(E76&lt;=2,F76&gt;=3),"At risk","Inactive")))))</f>
        <v/>
      </c>
    </row>
    <row r="77">
      <c r="A77" s="10" t="inlineStr">
        <is>
          <t>C1069</t>
        </is>
      </c>
      <c r="B77" s="19">
        <f>$B$4-_xlfn.MAXIFS('Clean Data'!$B$2:$B$1565,'Clean Data'!$C$2:$C$1565,$A77)</f>
        <v/>
      </c>
      <c r="C77" s="10">
        <f>COUNTIF('Clean Data'!$C$2:$C$1565,$A77)</f>
        <v/>
      </c>
      <c r="D77" s="20">
        <f>SUMIF('Clean Data'!$C$2:$C$1565,$A77,'Clean Data'!$K$2:$K$1565)</f>
        <v/>
      </c>
      <c r="E77" s="10">
        <f>IF(B77&lt;=$K$6,5,IF(B77&lt;=$K$7,4,IF(B77&lt;=$K$8,3,IF(B77&lt;=$K$9,2,1))))</f>
        <v/>
      </c>
      <c r="F77" s="10">
        <f>IF(C77&gt;=$L$9,5,IF(C77&gt;=$L$8,4,IF(C77&gt;=$L$7,3,IF(C77&gt;=$L$6,2,1))))</f>
        <v/>
      </c>
      <c r="G77" s="10">
        <f>IF(D77&gt;=$M$9,5,IF(D77&gt;=$M$8,4,IF(D77&gt;=$M$7,3,IF(D77&gt;=$M$6,2,1))))</f>
        <v/>
      </c>
      <c r="H77" s="10">
        <f>IF(AND(E77&gt;=4,F77&gt;=4),"Champions",IF(AND(E77&gt;=3,F77&gt;=3),"Loyal",IF(AND(E77&gt;=4,F77&lt;=2),"New customers",IF(AND(E77=3,F77&lt;=2),"Potential",IF(AND(E77&lt;=2,F77&gt;=3),"At risk","Inactive")))))</f>
        <v/>
      </c>
    </row>
    <row r="78">
      <c r="A78" s="10" t="inlineStr">
        <is>
          <t>C1070</t>
        </is>
      </c>
      <c r="B78" s="19">
        <f>$B$4-_xlfn.MAXIFS('Clean Data'!$B$2:$B$1565,'Clean Data'!$C$2:$C$1565,$A78)</f>
        <v/>
      </c>
      <c r="C78" s="10">
        <f>COUNTIF('Clean Data'!$C$2:$C$1565,$A78)</f>
        <v/>
      </c>
      <c r="D78" s="20">
        <f>SUMIF('Clean Data'!$C$2:$C$1565,$A78,'Clean Data'!$K$2:$K$1565)</f>
        <v/>
      </c>
      <c r="E78" s="10">
        <f>IF(B78&lt;=$K$6,5,IF(B78&lt;=$K$7,4,IF(B78&lt;=$K$8,3,IF(B78&lt;=$K$9,2,1))))</f>
        <v/>
      </c>
      <c r="F78" s="10">
        <f>IF(C78&gt;=$L$9,5,IF(C78&gt;=$L$8,4,IF(C78&gt;=$L$7,3,IF(C78&gt;=$L$6,2,1))))</f>
        <v/>
      </c>
      <c r="G78" s="10">
        <f>IF(D78&gt;=$M$9,5,IF(D78&gt;=$M$8,4,IF(D78&gt;=$M$7,3,IF(D78&gt;=$M$6,2,1))))</f>
        <v/>
      </c>
      <c r="H78" s="10">
        <f>IF(AND(E78&gt;=4,F78&gt;=4),"Champions",IF(AND(E78&gt;=3,F78&gt;=3),"Loyal",IF(AND(E78&gt;=4,F78&lt;=2),"New customers",IF(AND(E78=3,F78&lt;=2),"Potential",IF(AND(E78&lt;=2,F78&gt;=3),"At risk","Inactive")))))</f>
        <v/>
      </c>
    </row>
    <row r="79">
      <c r="A79" s="10" t="inlineStr">
        <is>
          <t>C1071</t>
        </is>
      </c>
      <c r="B79" s="19">
        <f>$B$4-_xlfn.MAXIFS('Clean Data'!$B$2:$B$1565,'Clean Data'!$C$2:$C$1565,$A79)</f>
        <v/>
      </c>
      <c r="C79" s="10">
        <f>COUNTIF('Clean Data'!$C$2:$C$1565,$A79)</f>
        <v/>
      </c>
      <c r="D79" s="20">
        <f>SUMIF('Clean Data'!$C$2:$C$1565,$A79,'Clean Data'!$K$2:$K$1565)</f>
        <v/>
      </c>
      <c r="E79" s="10">
        <f>IF(B79&lt;=$K$6,5,IF(B79&lt;=$K$7,4,IF(B79&lt;=$K$8,3,IF(B79&lt;=$K$9,2,1))))</f>
        <v/>
      </c>
      <c r="F79" s="10">
        <f>IF(C79&gt;=$L$9,5,IF(C79&gt;=$L$8,4,IF(C79&gt;=$L$7,3,IF(C79&gt;=$L$6,2,1))))</f>
        <v/>
      </c>
      <c r="G79" s="10">
        <f>IF(D79&gt;=$M$9,5,IF(D79&gt;=$M$8,4,IF(D79&gt;=$M$7,3,IF(D79&gt;=$M$6,2,1))))</f>
        <v/>
      </c>
      <c r="H79" s="10">
        <f>IF(AND(E79&gt;=4,F79&gt;=4),"Champions",IF(AND(E79&gt;=3,F79&gt;=3),"Loyal",IF(AND(E79&gt;=4,F79&lt;=2),"New customers",IF(AND(E79=3,F79&lt;=2),"Potential",IF(AND(E79&lt;=2,F79&gt;=3),"At risk","Inactive")))))</f>
        <v/>
      </c>
    </row>
    <row r="80">
      <c r="A80" s="10" t="inlineStr">
        <is>
          <t>C1072</t>
        </is>
      </c>
      <c r="B80" s="19">
        <f>$B$4-_xlfn.MAXIFS('Clean Data'!$B$2:$B$1565,'Clean Data'!$C$2:$C$1565,$A80)</f>
        <v/>
      </c>
      <c r="C80" s="10">
        <f>COUNTIF('Clean Data'!$C$2:$C$1565,$A80)</f>
        <v/>
      </c>
      <c r="D80" s="20">
        <f>SUMIF('Clean Data'!$C$2:$C$1565,$A80,'Clean Data'!$K$2:$K$1565)</f>
        <v/>
      </c>
      <c r="E80" s="10">
        <f>IF(B80&lt;=$K$6,5,IF(B80&lt;=$K$7,4,IF(B80&lt;=$K$8,3,IF(B80&lt;=$K$9,2,1))))</f>
        <v/>
      </c>
      <c r="F80" s="10">
        <f>IF(C80&gt;=$L$9,5,IF(C80&gt;=$L$8,4,IF(C80&gt;=$L$7,3,IF(C80&gt;=$L$6,2,1))))</f>
        <v/>
      </c>
      <c r="G80" s="10">
        <f>IF(D80&gt;=$M$9,5,IF(D80&gt;=$M$8,4,IF(D80&gt;=$M$7,3,IF(D80&gt;=$M$6,2,1))))</f>
        <v/>
      </c>
      <c r="H80" s="10">
        <f>IF(AND(E80&gt;=4,F80&gt;=4),"Champions",IF(AND(E80&gt;=3,F80&gt;=3),"Loyal",IF(AND(E80&gt;=4,F80&lt;=2),"New customers",IF(AND(E80=3,F80&lt;=2),"Potential",IF(AND(E80&lt;=2,F80&gt;=3),"At risk","Inactive")))))</f>
        <v/>
      </c>
    </row>
    <row r="81">
      <c r="A81" s="10" t="inlineStr">
        <is>
          <t>C1073</t>
        </is>
      </c>
      <c r="B81" s="19">
        <f>$B$4-_xlfn.MAXIFS('Clean Data'!$B$2:$B$1565,'Clean Data'!$C$2:$C$1565,$A81)</f>
        <v/>
      </c>
      <c r="C81" s="10">
        <f>COUNTIF('Clean Data'!$C$2:$C$1565,$A81)</f>
        <v/>
      </c>
      <c r="D81" s="20">
        <f>SUMIF('Clean Data'!$C$2:$C$1565,$A81,'Clean Data'!$K$2:$K$1565)</f>
        <v/>
      </c>
      <c r="E81" s="10">
        <f>IF(B81&lt;=$K$6,5,IF(B81&lt;=$K$7,4,IF(B81&lt;=$K$8,3,IF(B81&lt;=$K$9,2,1))))</f>
        <v/>
      </c>
      <c r="F81" s="10">
        <f>IF(C81&gt;=$L$9,5,IF(C81&gt;=$L$8,4,IF(C81&gt;=$L$7,3,IF(C81&gt;=$L$6,2,1))))</f>
        <v/>
      </c>
      <c r="G81" s="10">
        <f>IF(D81&gt;=$M$9,5,IF(D81&gt;=$M$8,4,IF(D81&gt;=$M$7,3,IF(D81&gt;=$M$6,2,1))))</f>
        <v/>
      </c>
      <c r="H81" s="10">
        <f>IF(AND(E81&gt;=4,F81&gt;=4),"Champions",IF(AND(E81&gt;=3,F81&gt;=3),"Loyal",IF(AND(E81&gt;=4,F81&lt;=2),"New customers",IF(AND(E81=3,F81&lt;=2),"Potential",IF(AND(E81&lt;=2,F81&gt;=3),"At risk","Inactive")))))</f>
        <v/>
      </c>
    </row>
    <row r="82">
      <c r="A82" s="10" t="inlineStr">
        <is>
          <t>C1074</t>
        </is>
      </c>
      <c r="B82" s="19">
        <f>$B$4-_xlfn.MAXIFS('Clean Data'!$B$2:$B$1565,'Clean Data'!$C$2:$C$1565,$A82)</f>
        <v/>
      </c>
      <c r="C82" s="10">
        <f>COUNTIF('Clean Data'!$C$2:$C$1565,$A82)</f>
        <v/>
      </c>
      <c r="D82" s="20">
        <f>SUMIF('Clean Data'!$C$2:$C$1565,$A82,'Clean Data'!$K$2:$K$1565)</f>
        <v/>
      </c>
      <c r="E82" s="10">
        <f>IF(B82&lt;=$K$6,5,IF(B82&lt;=$K$7,4,IF(B82&lt;=$K$8,3,IF(B82&lt;=$K$9,2,1))))</f>
        <v/>
      </c>
      <c r="F82" s="10">
        <f>IF(C82&gt;=$L$9,5,IF(C82&gt;=$L$8,4,IF(C82&gt;=$L$7,3,IF(C82&gt;=$L$6,2,1))))</f>
        <v/>
      </c>
      <c r="G82" s="10">
        <f>IF(D82&gt;=$M$9,5,IF(D82&gt;=$M$8,4,IF(D82&gt;=$M$7,3,IF(D82&gt;=$M$6,2,1))))</f>
        <v/>
      </c>
      <c r="H82" s="10">
        <f>IF(AND(E82&gt;=4,F82&gt;=4),"Champions",IF(AND(E82&gt;=3,F82&gt;=3),"Loyal",IF(AND(E82&gt;=4,F82&lt;=2),"New customers",IF(AND(E82=3,F82&lt;=2),"Potential",IF(AND(E82&lt;=2,F82&gt;=3),"At risk","Inactive")))))</f>
        <v/>
      </c>
    </row>
    <row r="83">
      <c r="A83" s="10" t="inlineStr">
        <is>
          <t>C1075</t>
        </is>
      </c>
      <c r="B83" s="19">
        <f>$B$4-_xlfn.MAXIFS('Clean Data'!$B$2:$B$1565,'Clean Data'!$C$2:$C$1565,$A83)</f>
        <v/>
      </c>
      <c r="C83" s="10">
        <f>COUNTIF('Clean Data'!$C$2:$C$1565,$A83)</f>
        <v/>
      </c>
      <c r="D83" s="20">
        <f>SUMIF('Clean Data'!$C$2:$C$1565,$A83,'Clean Data'!$K$2:$K$1565)</f>
        <v/>
      </c>
      <c r="E83" s="10">
        <f>IF(B83&lt;=$K$6,5,IF(B83&lt;=$K$7,4,IF(B83&lt;=$K$8,3,IF(B83&lt;=$K$9,2,1))))</f>
        <v/>
      </c>
      <c r="F83" s="10">
        <f>IF(C83&gt;=$L$9,5,IF(C83&gt;=$L$8,4,IF(C83&gt;=$L$7,3,IF(C83&gt;=$L$6,2,1))))</f>
        <v/>
      </c>
      <c r="G83" s="10">
        <f>IF(D83&gt;=$M$9,5,IF(D83&gt;=$M$8,4,IF(D83&gt;=$M$7,3,IF(D83&gt;=$M$6,2,1))))</f>
        <v/>
      </c>
      <c r="H83" s="10">
        <f>IF(AND(E83&gt;=4,F83&gt;=4),"Champions",IF(AND(E83&gt;=3,F83&gt;=3),"Loyal",IF(AND(E83&gt;=4,F83&lt;=2),"New customers",IF(AND(E83=3,F83&lt;=2),"Potential",IF(AND(E83&lt;=2,F83&gt;=3),"At risk","Inactive")))))</f>
        <v/>
      </c>
    </row>
    <row r="84">
      <c r="A84" s="10" t="inlineStr">
        <is>
          <t>C1076</t>
        </is>
      </c>
      <c r="B84" s="19">
        <f>$B$4-_xlfn.MAXIFS('Clean Data'!$B$2:$B$1565,'Clean Data'!$C$2:$C$1565,$A84)</f>
        <v/>
      </c>
      <c r="C84" s="10">
        <f>COUNTIF('Clean Data'!$C$2:$C$1565,$A84)</f>
        <v/>
      </c>
      <c r="D84" s="20">
        <f>SUMIF('Clean Data'!$C$2:$C$1565,$A84,'Clean Data'!$K$2:$K$1565)</f>
        <v/>
      </c>
      <c r="E84" s="10">
        <f>IF(B84&lt;=$K$6,5,IF(B84&lt;=$K$7,4,IF(B84&lt;=$K$8,3,IF(B84&lt;=$K$9,2,1))))</f>
        <v/>
      </c>
      <c r="F84" s="10">
        <f>IF(C84&gt;=$L$9,5,IF(C84&gt;=$L$8,4,IF(C84&gt;=$L$7,3,IF(C84&gt;=$L$6,2,1))))</f>
        <v/>
      </c>
      <c r="G84" s="10">
        <f>IF(D84&gt;=$M$9,5,IF(D84&gt;=$M$8,4,IF(D84&gt;=$M$7,3,IF(D84&gt;=$M$6,2,1))))</f>
        <v/>
      </c>
      <c r="H84" s="10">
        <f>IF(AND(E84&gt;=4,F84&gt;=4),"Champions",IF(AND(E84&gt;=3,F84&gt;=3),"Loyal",IF(AND(E84&gt;=4,F84&lt;=2),"New customers",IF(AND(E84=3,F84&lt;=2),"Potential",IF(AND(E84&lt;=2,F84&gt;=3),"At risk","Inactive")))))</f>
        <v/>
      </c>
    </row>
    <row r="85">
      <c r="A85" s="10" t="inlineStr">
        <is>
          <t>C1077</t>
        </is>
      </c>
      <c r="B85" s="19">
        <f>$B$4-_xlfn.MAXIFS('Clean Data'!$B$2:$B$1565,'Clean Data'!$C$2:$C$1565,$A85)</f>
        <v/>
      </c>
      <c r="C85" s="10">
        <f>COUNTIF('Clean Data'!$C$2:$C$1565,$A85)</f>
        <v/>
      </c>
      <c r="D85" s="20">
        <f>SUMIF('Clean Data'!$C$2:$C$1565,$A85,'Clean Data'!$K$2:$K$1565)</f>
        <v/>
      </c>
      <c r="E85" s="10">
        <f>IF(B85&lt;=$K$6,5,IF(B85&lt;=$K$7,4,IF(B85&lt;=$K$8,3,IF(B85&lt;=$K$9,2,1))))</f>
        <v/>
      </c>
      <c r="F85" s="10">
        <f>IF(C85&gt;=$L$9,5,IF(C85&gt;=$L$8,4,IF(C85&gt;=$L$7,3,IF(C85&gt;=$L$6,2,1))))</f>
        <v/>
      </c>
      <c r="G85" s="10">
        <f>IF(D85&gt;=$M$9,5,IF(D85&gt;=$M$8,4,IF(D85&gt;=$M$7,3,IF(D85&gt;=$M$6,2,1))))</f>
        <v/>
      </c>
      <c r="H85" s="10">
        <f>IF(AND(E85&gt;=4,F85&gt;=4),"Champions",IF(AND(E85&gt;=3,F85&gt;=3),"Loyal",IF(AND(E85&gt;=4,F85&lt;=2),"New customers",IF(AND(E85=3,F85&lt;=2),"Potential",IF(AND(E85&lt;=2,F85&gt;=3),"At risk","Inactive")))))</f>
        <v/>
      </c>
    </row>
    <row r="86">
      <c r="A86" s="10" t="inlineStr">
        <is>
          <t>C1078</t>
        </is>
      </c>
      <c r="B86" s="19">
        <f>$B$4-_xlfn.MAXIFS('Clean Data'!$B$2:$B$1565,'Clean Data'!$C$2:$C$1565,$A86)</f>
        <v/>
      </c>
      <c r="C86" s="10">
        <f>COUNTIF('Clean Data'!$C$2:$C$1565,$A86)</f>
        <v/>
      </c>
      <c r="D86" s="20">
        <f>SUMIF('Clean Data'!$C$2:$C$1565,$A86,'Clean Data'!$K$2:$K$1565)</f>
        <v/>
      </c>
      <c r="E86" s="10">
        <f>IF(B86&lt;=$K$6,5,IF(B86&lt;=$K$7,4,IF(B86&lt;=$K$8,3,IF(B86&lt;=$K$9,2,1))))</f>
        <v/>
      </c>
      <c r="F86" s="10">
        <f>IF(C86&gt;=$L$9,5,IF(C86&gt;=$L$8,4,IF(C86&gt;=$L$7,3,IF(C86&gt;=$L$6,2,1))))</f>
        <v/>
      </c>
      <c r="G86" s="10">
        <f>IF(D86&gt;=$M$9,5,IF(D86&gt;=$M$8,4,IF(D86&gt;=$M$7,3,IF(D86&gt;=$M$6,2,1))))</f>
        <v/>
      </c>
      <c r="H86" s="10">
        <f>IF(AND(E86&gt;=4,F86&gt;=4),"Champions",IF(AND(E86&gt;=3,F86&gt;=3),"Loyal",IF(AND(E86&gt;=4,F86&lt;=2),"New customers",IF(AND(E86=3,F86&lt;=2),"Potential",IF(AND(E86&lt;=2,F86&gt;=3),"At risk","Inactive")))))</f>
        <v/>
      </c>
    </row>
    <row r="87">
      <c r="A87" s="10" t="inlineStr">
        <is>
          <t>C1079</t>
        </is>
      </c>
      <c r="B87" s="19">
        <f>$B$4-_xlfn.MAXIFS('Clean Data'!$B$2:$B$1565,'Clean Data'!$C$2:$C$1565,$A87)</f>
        <v/>
      </c>
      <c r="C87" s="10">
        <f>COUNTIF('Clean Data'!$C$2:$C$1565,$A87)</f>
        <v/>
      </c>
      <c r="D87" s="20">
        <f>SUMIF('Clean Data'!$C$2:$C$1565,$A87,'Clean Data'!$K$2:$K$1565)</f>
        <v/>
      </c>
      <c r="E87" s="10">
        <f>IF(B87&lt;=$K$6,5,IF(B87&lt;=$K$7,4,IF(B87&lt;=$K$8,3,IF(B87&lt;=$K$9,2,1))))</f>
        <v/>
      </c>
      <c r="F87" s="10">
        <f>IF(C87&gt;=$L$9,5,IF(C87&gt;=$L$8,4,IF(C87&gt;=$L$7,3,IF(C87&gt;=$L$6,2,1))))</f>
        <v/>
      </c>
      <c r="G87" s="10">
        <f>IF(D87&gt;=$M$9,5,IF(D87&gt;=$M$8,4,IF(D87&gt;=$M$7,3,IF(D87&gt;=$M$6,2,1))))</f>
        <v/>
      </c>
      <c r="H87" s="10">
        <f>IF(AND(E87&gt;=4,F87&gt;=4),"Champions",IF(AND(E87&gt;=3,F87&gt;=3),"Loyal",IF(AND(E87&gt;=4,F87&lt;=2),"New customers",IF(AND(E87=3,F87&lt;=2),"Potential",IF(AND(E87&lt;=2,F87&gt;=3),"At risk","Inactive")))))</f>
        <v/>
      </c>
    </row>
    <row r="88">
      <c r="A88" s="10" t="inlineStr">
        <is>
          <t>C1080</t>
        </is>
      </c>
      <c r="B88" s="19">
        <f>$B$4-_xlfn.MAXIFS('Clean Data'!$B$2:$B$1565,'Clean Data'!$C$2:$C$1565,$A88)</f>
        <v/>
      </c>
      <c r="C88" s="10">
        <f>COUNTIF('Clean Data'!$C$2:$C$1565,$A88)</f>
        <v/>
      </c>
      <c r="D88" s="20">
        <f>SUMIF('Clean Data'!$C$2:$C$1565,$A88,'Clean Data'!$K$2:$K$1565)</f>
        <v/>
      </c>
      <c r="E88" s="10">
        <f>IF(B88&lt;=$K$6,5,IF(B88&lt;=$K$7,4,IF(B88&lt;=$K$8,3,IF(B88&lt;=$K$9,2,1))))</f>
        <v/>
      </c>
      <c r="F88" s="10">
        <f>IF(C88&gt;=$L$9,5,IF(C88&gt;=$L$8,4,IF(C88&gt;=$L$7,3,IF(C88&gt;=$L$6,2,1))))</f>
        <v/>
      </c>
      <c r="G88" s="10">
        <f>IF(D88&gt;=$M$9,5,IF(D88&gt;=$M$8,4,IF(D88&gt;=$M$7,3,IF(D88&gt;=$M$6,2,1))))</f>
        <v/>
      </c>
      <c r="H88" s="10">
        <f>IF(AND(E88&gt;=4,F88&gt;=4),"Champions",IF(AND(E88&gt;=3,F88&gt;=3),"Loyal",IF(AND(E88&gt;=4,F88&lt;=2),"New customers",IF(AND(E88=3,F88&lt;=2),"Potential",IF(AND(E88&lt;=2,F88&gt;=3),"At risk","Inactive")))))</f>
        <v/>
      </c>
    </row>
    <row r="89">
      <c r="A89" s="10" t="inlineStr">
        <is>
          <t>C1081</t>
        </is>
      </c>
      <c r="B89" s="19">
        <f>$B$4-_xlfn.MAXIFS('Clean Data'!$B$2:$B$1565,'Clean Data'!$C$2:$C$1565,$A89)</f>
        <v/>
      </c>
      <c r="C89" s="10">
        <f>COUNTIF('Clean Data'!$C$2:$C$1565,$A89)</f>
        <v/>
      </c>
      <c r="D89" s="20">
        <f>SUMIF('Clean Data'!$C$2:$C$1565,$A89,'Clean Data'!$K$2:$K$1565)</f>
        <v/>
      </c>
      <c r="E89" s="10">
        <f>IF(B89&lt;=$K$6,5,IF(B89&lt;=$K$7,4,IF(B89&lt;=$K$8,3,IF(B89&lt;=$K$9,2,1))))</f>
        <v/>
      </c>
      <c r="F89" s="10">
        <f>IF(C89&gt;=$L$9,5,IF(C89&gt;=$L$8,4,IF(C89&gt;=$L$7,3,IF(C89&gt;=$L$6,2,1))))</f>
        <v/>
      </c>
      <c r="G89" s="10">
        <f>IF(D89&gt;=$M$9,5,IF(D89&gt;=$M$8,4,IF(D89&gt;=$M$7,3,IF(D89&gt;=$M$6,2,1))))</f>
        <v/>
      </c>
      <c r="H89" s="10">
        <f>IF(AND(E89&gt;=4,F89&gt;=4),"Champions",IF(AND(E89&gt;=3,F89&gt;=3),"Loyal",IF(AND(E89&gt;=4,F89&lt;=2),"New customers",IF(AND(E89=3,F89&lt;=2),"Potential",IF(AND(E89&lt;=2,F89&gt;=3),"At risk","Inactive")))))</f>
        <v/>
      </c>
    </row>
    <row r="90">
      <c r="A90" s="10" t="inlineStr">
        <is>
          <t>C1082</t>
        </is>
      </c>
      <c r="B90" s="19">
        <f>$B$4-_xlfn.MAXIFS('Clean Data'!$B$2:$B$1565,'Clean Data'!$C$2:$C$1565,$A90)</f>
        <v/>
      </c>
      <c r="C90" s="10">
        <f>COUNTIF('Clean Data'!$C$2:$C$1565,$A90)</f>
        <v/>
      </c>
      <c r="D90" s="20">
        <f>SUMIF('Clean Data'!$C$2:$C$1565,$A90,'Clean Data'!$K$2:$K$1565)</f>
        <v/>
      </c>
      <c r="E90" s="10">
        <f>IF(B90&lt;=$K$6,5,IF(B90&lt;=$K$7,4,IF(B90&lt;=$K$8,3,IF(B90&lt;=$K$9,2,1))))</f>
        <v/>
      </c>
      <c r="F90" s="10">
        <f>IF(C90&gt;=$L$9,5,IF(C90&gt;=$L$8,4,IF(C90&gt;=$L$7,3,IF(C90&gt;=$L$6,2,1))))</f>
        <v/>
      </c>
      <c r="G90" s="10">
        <f>IF(D90&gt;=$M$9,5,IF(D90&gt;=$M$8,4,IF(D90&gt;=$M$7,3,IF(D90&gt;=$M$6,2,1))))</f>
        <v/>
      </c>
      <c r="H90" s="10">
        <f>IF(AND(E90&gt;=4,F90&gt;=4),"Champions",IF(AND(E90&gt;=3,F90&gt;=3),"Loyal",IF(AND(E90&gt;=4,F90&lt;=2),"New customers",IF(AND(E90=3,F90&lt;=2),"Potential",IF(AND(E90&lt;=2,F90&gt;=3),"At risk","Inactive")))))</f>
        <v/>
      </c>
    </row>
    <row r="91">
      <c r="A91" s="10" t="inlineStr">
        <is>
          <t>C1083</t>
        </is>
      </c>
      <c r="B91" s="19">
        <f>$B$4-_xlfn.MAXIFS('Clean Data'!$B$2:$B$1565,'Clean Data'!$C$2:$C$1565,$A91)</f>
        <v/>
      </c>
      <c r="C91" s="10">
        <f>COUNTIF('Clean Data'!$C$2:$C$1565,$A91)</f>
        <v/>
      </c>
      <c r="D91" s="20">
        <f>SUMIF('Clean Data'!$C$2:$C$1565,$A91,'Clean Data'!$K$2:$K$1565)</f>
        <v/>
      </c>
      <c r="E91" s="10">
        <f>IF(B91&lt;=$K$6,5,IF(B91&lt;=$K$7,4,IF(B91&lt;=$K$8,3,IF(B91&lt;=$K$9,2,1))))</f>
        <v/>
      </c>
      <c r="F91" s="10">
        <f>IF(C91&gt;=$L$9,5,IF(C91&gt;=$L$8,4,IF(C91&gt;=$L$7,3,IF(C91&gt;=$L$6,2,1))))</f>
        <v/>
      </c>
      <c r="G91" s="10">
        <f>IF(D91&gt;=$M$9,5,IF(D91&gt;=$M$8,4,IF(D91&gt;=$M$7,3,IF(D91&gt;=$M$6,2,1))))</f>
        <v/>
      </c>
      <c r="H91" s="10">
        <f>IF(AND(E91&gt;=4,F91&gt;=4),"Champions",IF(AND(E91&gt;=3,F91&gt;=3),"Loyal",IF(AND(E91&gt;=4,F91&lt;=2),"New customers",IF(AND(E91=3,F91&lt;=2),"Potential",IF(AND(E91&lt;=2,F91&gt;=3),"At risk","Inactive")))))</f>
        <v/>
      </c>
    </row>
    <row r="92">
      <c r="A92" s="10" t="inlineStr">
        <is>
          <t>C1084</t>
        </is>
      </c>
      <c r="B92" s="19">
        <f>$B$4-_xlfn.MAXIFS('Clean Data'!$B$2:$B$1565,'Clean Data'!$C$2:$C$1565,$A92)</f>
        <v/>
      </c>
      <c r="C92" s="10">
        <f>COUNTIF('Clean Data'!$C$2:$C$1565,$A92)</f>
        <v/>
      </c>
      <c r="D92" s="20">
        <f>SUMIF('Clean Data'!$C$2:$C$1565,$A92,'Clean Data'!$K$2:$K$1565)</f>
        <v/>
      </c>
      <c r="E92" s="10">
        <f>IF(B92&lt;=$K$6,5,IF(B92&lt;=$K$7,4,IF(B92&lt;=$K$8,3,IF(B92&lt;=$K$9,2,1))))</f>
        <v/>
      </c>
      <c r="F92" s="10">
        <f>IF(C92&gt;=$L$9,5,IF(C92&gt;=$L$8,4,IF(C92&gt;=$L$7,3,IF(C92&gt;=$L$6,2,1))))</f>
        <v/>
      </c>
      <c r="G92" s="10">
        <f>IF(D92&gt;=$M$9,5,IF(D92&gt;=$M$8,4,IF(D92&gt;=$M$7,3,IF(D92&gt;=$M$6,2,1))))</f>
        <v/>
      </c>
      <c r="H92" s="10">
        <f>IF(AND(E92&gt;=4,F92&gt;=4),"Champions",IF(AND(E92&gt;=3,F92&gt;=3),"Loyal",IF(AND(E92&gt;=4,F92&lt;=2),"New customers",IF(AND(E92=3,F92&lt;=2),"Potential",IF(AND(E92&lt;=2,F92&gt;=3),"At risk","Inactive")))))</f>
        <v/>
      </c>
    </row>
    <row r="93">
      <c r="A93" s="10" t="inlineStr">
        <is>
          <t>C1085</t>
        </is>
      </c>
      <c r="B93" s="19">
        <f>$B$4-_xlfn.MAXIFS('Clean Data'!$B$2:$B$1565,'Clean Data'!$C$2:$C$1565,$A93)</f>
        <v/>
      </c>
      <c r="C93" s="10">
        <f>COUNTIF('Clean Data'!$C$2:$C$1565,$A93)</f>
        <v/>
      </c>
      <c r="D93" s="20">
        <f>SUMIF('Clean Data'!$C$2:$C$1565,$A93,'Clean Data'!$K$2:$K$1565)</f>
        <v/>
      </c>
      <c r="E93" s="10">
        <f>IF(B93&lt;=$K$6,5,IF(B93&lt;=$K$7,4,IF(B93&lt;=$K$8,3,IF(B93&lt;=$K$9,2,1))))</f>
        <v/>
      </c>
      <c r="F93" s="10">
        <f>IF(C93&gt;=$L$9,5,IF(C93&gt;=$L$8,4,IF(C93&gt;=$L$7,3,IF(C93&gt;=$L$6,2,1))))</f>
        <v/>
      </c>
      <c r="G93" s="10">
        <f>IF(D93&gt;=$M$9,5,IF(D93&gt;=$M$8,4,IF(D93&gt;=$M$7,3,IF(D93&gt;=$M$6,2,1))))</f>
        <v/>
      </c>
      <c r="H93" s="10">
        <f>IF(AND(E93&gt;=4,F93&gt;=4),"Champions",IF(AND(E93&gt;=3,F93&gt;=3),"Loyal",IF(AND(E93&gt;=4,F93&lt;=2),"New customers",IF(AND(E93=3,F93&lt;=2),"Potential",IF(AND(E93&lt;=2,F93&gt;=3),"At risk","Inactive")))))</f>
        <v/>
      </c>
    </row>
    <row r="94">
      <c r="A94" s="10" t="inlineStr">
        <is>
          <t>C1086</t>
        </is>
      </c>
      <c r="B94" s="19">
        <f>$B$4-_xlfn.MAXIFS('Clean Data'!$B$2:$B$1565,'Clean Data'!$C$2:$C$1565,$A94)</f>
        <v/>
      </c>
      <c r="C94" s="10">
        <f>COUNTIF('Clean Data'!$C$2:$C$1565,$A94)</f>
        <v/>
      </c>
      <c r="D94" s="20">
        <f>SUMIF('Clean Data'!$C$2:$C$1565,$A94,'Clean Data'!$K$2:$K$1565)</f>
        <v/>
      </c>
      <c r="E94" s="10">
        <f>IF(B94&lt;=$K$6,5,IF(B94&lt;=$K$7,4,IF(B94&lt;=$K$8,3,IF(B94&lt;=$K$9,2,1))))</f>
        <v/>
      </c>
      <c r="F94" s="10">
        <f>IF(C94&gt;=$L$9,5,IF(C94&gt;=$L$8,4,IF(C94&gt;=$L$7,3,IF(C94&gt;=$L$6,2,1))))</f>
        <v/>
      </c>
      <c r="G94" s="10">
        <f>IF(D94&gt;=$M$9,5,IF(D94&gt;=$M$8,4,IF(D94&gt;=$M$7,3,IF(D94&gt;=$M$6,2,1))))</f>
        <v/>
      </c>
      <c r="H94" s="10">
        <f>IF(AND(E94&gt;=4,F94&gt;=4),"Champions",IF(AND(E94&gt;=3,F94&gt;=3),"Loyal",IF(AND(E94&gt;=4,F94&lt;=2),"New customers",IF(AND(E94=3,F94&lt;=2),"Potential",IF(AND(E94&lt;=2,F94&gt;=3),"At risk","Inactive")))))</f>
        <v/>
      </c>
    </row>
    <row r="95">
      <c r="A95" s="10" t="inlineStr">
        <is>
          <t>C1087</t>
        </is>
      </c>
      <c r="B95" s="19">
        <f>$B$4-_xlfn.MAXIFS('Clean Data'!$B$2:$B$1565,'Clean Data'!$C$2:$C$1565,$A95)</f>
        <v/>
      </c>
      <c r="C95" s="10">
        <f>COUNTIF('Clean Data'!$C$2:$C$1565,$A95)</f>
        <v/>
      </c>
      <c r="D95" s="20">
        <f>SUMIF('Clean Data'!$C$2:$C$1565,$A95,'Clean Data'!$K$2:$K$1565)</f>
        <v/>
      </c>
      <c r="E95" s="10">
        <f>IF(B95&lt;=$K$6,5,IF(B95&lt;=$K$7,4,IF(B95&lt;=$K$8,3,IF(B95&lt;=$K$9,2,1))))</f>
        <v/>
      </c>
      <c r="F95" s="10">
        <f>IF(C95&gt;=$L$9,5,IF(C95&gt;=$L$8,4,IF(C95&gt;=$L$7,3,IF(C95&gt;=$L$6,2,1))))</f>
        <v/>
      </c>
      <c r="G95" s="10">
        <f>IF(D95&gt;=$M$9,5,IF(D95&gt;=$M$8,4,IF(D95&gt;=$M$7,3,IF(D95&gt;=$M$6,2,1))))</f>
        <v/>
      </c>
      <c r="H95" s="10">
        <f>IF(AND(E95&gt;=4,F95&gt;=4),"Champions",IF(AND(E95&gt;=3,F95&gt;=3),"Loyal",IF(AND(E95&gt;=4,F95&lt;=2),"New customers",IF(AND(E95=3,F95&lt;=2),"Potential",IF(AND(E95&lt;=2,F95&gt;=3),"At risk","Inactive")))))</f>
        <v/>
      </c>
    </row>
    <row r="96">
      <c r="A96" s="10" t="inlineStr">
        <is>
          <t>C1088</t>
        </is>
      </c>
      <c r="B96" s="19">
        <f>$B$4-_xlfn.MAXIFS('Clean Data'!$B$2:$B$1565,'Clean Data'!$C$2:$C$1565,$A96)</f>
        <v/>
      </c>
      <c r="C96" s="10">
        <f>COUNTIF('Clean Data'!$C$2:$C$1565,$A96)</f>
        <v/>
      </c>
      <c r="D96" s="20">
        <f>SUMIF('Clean Data'!$C$2:$C$1565,$A96,'Clean Data'!$K$2:$K$1565)</f>
        <v/>
      </c>
      <c r="E96" s="10">
        <f>IF(B96&lt;=$K$6,5,IF(B96&lt;=$K$7,4,IF(B96&lt;=$K$8,3,IF(B96&lt;=$K$9,2,1))))</f>
        <v/>
      </c>
      <c r="F96" s="10">
        <f>IF(C96&gt;=$L$9,5,IF(C96&gt;=$L$8,4,IF(C96&gt;=$L$7,3,IF(C96&gt;=$L$6,2,1))))</f>
        <v/>
      </c>
      <c r="G96" s="10">
        <f>IF(D96&gt;=$M$9,5,IF(D96&gt;=$M$8,4,IF(D96&gt;=$M$7,3,IF(D96&gt;=$M$6,2,1))))</f>
        <v/>
      </c>
      <c r="H96" s="10">
        <f>IF(AND(E96&gt;=4,F96&gt;=4),"Champions",IF(AND(E96&gt;=3,F96&gt;=3),"Loyal",IF(AND(E96&gt;=4,F96&lt;=2),"New customers",IF(AND(E96=3,F96&lt;=2),"Potential",IF(AND(E96&lt;=2,F96&gt;=3),"At risk","Inactive")))))</f>
        <v/>
      </c>
    </row>
    <row r="97">
      <c r="A97" s="10" t="inlineStr">
        <is>
          <t>C1089</t>
        </is>
      </c>
      <c r="B97" s="19">
        <f>$B$4-_xlfn.MAXIFS('Clean Data'!$B$2:$B$1565,'Clean Data'!$C$2:$C$1565,$A97)</f>
        <v/>
      </c>
      <c r="C97" s="10">
        <f>COUNTIF('Clean Data'!$C$2:$C$1565,$A97)</f>
        <v/>
      </c>
      <c r="D97" s="20">
        <f>SUMIF('Clean Data'!$C$2:$C$1565,$A97,'Clean Data'!$K$2:$K$1565)</f>
        <v/>
      </c>
      <c r="E97" s="10">
        <f>IF(B97&lt;=$K$6,5,IF(B97&lt;=$K$7,4,IF(B97&lt;=$K$8,3,IF(B97&lt;=$K$9,2,1))))</f>
        <v/>
      </c>
      <c r="F97" s="10">
        <f>IF(C97&gt;=$L$9,5,IF(C97&gt;=$L$8,4,IF(C97&gt;=$L$7,3,IF(C97&gt;=$L$6,2,1))))</f>
        <v/>
      </c>
      <c r="G97" s="10">
        <f>IF(D97&gt;=$M$9,5,IF(D97&gt;=$M$8,4,IF(D97&gt;=$M$7,3,IF(D97&gt;=$M$6,2,1))))</f>
        <v/>
      </c>
      <c r="H97" s="10">
        <f>IF(AND(E97&gt;=4,F97&gt;=4),"Champions",IF(AND(E97&gt;=3,F97&gt;=3),"Loyal",IF(AND(E97&gt;=4,F97&lt;=2),"New customers",IF(AND(E97=3,F97&lt;=2),"Potential",IF(AND(E97&lt;=2,F97&gt;=3),"At risk","Inactive")))))</f>
        <v/>
      </c>
    </row>
    <row r="98">
      <c r="A98" s="10" t="inlineStr">
        <is>
          <t>C1090</t>
        </is>
      </c>
      <c r="B98" s="19">
        <f>$B$4-_xlfn.MAXIFS('Clean Data'!$B$2:$B$1565,'Clean Data'!$C$2:$C$1565,$A98)</f>
        <v/>
      </c>
      <c r="C98" s="10">
        <f>COUNTIF('Clean Data'!$C$2:$C$1565,$A98)</f>
        <v/>
      </c>
      <c r="D98" s="20">
        <f>SUMIF('Clean Data'!$C$2:$C$1565,$A98,'Clean Data'!$K$2:$K$1565)</f>
        <v/>
      </c>
      <c r="E98" s="10">
        <f>IF(B98&lt;=$K$6,5,IF(B98&lt;=$K$7,4,IF(B98&lt;=$K$8,3,IF(B98&lt;=$K$9,2,1))))</f>
        <v/>
      </c>
      <c r="F98" s="10">
        <f>IF(C98&gt;=$L$9,5,IF(C98&gt;=$L$8,4,IF(C98&gt;=$L$7,3,IF(C98&gt;=$L$6,2,1))))</f>
        <v/>
      </c>
      <c r="G98" s="10">
        <f>IF(D98&gt;=$M$9,5,IF(D98&gt;=$M$8,4,IF(D98&gt;=$M$7,3,IF(D98&gt;=$M$6,2,1))))</f>
        <v/>
      </c>
      <c r="H98" s="10">
        <f>IF(AND(E98&gt;=4,F98&gt;=4),"Champions",IF(AND(E98&gt;=3,F98&gt;=3),"Loyal",IF(AND(E98&gt;=4,F98&lt;=2),"New customers",IF(AND(E98=3,F98&lt;=2),"Potential",IF(AND(E98&lt;=2,F98&gt;=3),"At risk","Inactive")))))</f>
        <v/>
      </c>
    </row>
    <row r="99">
      <c r="A99" s="10" t="inlineStr">
        <is>
          <t>C1091</t>
        </is>
      </c>
      <c r="B99" s="19">
        <f>$B$4-_xlfn.MAXIFS('Clean Data'!$B$2:$B$1565,'Clean Data'!$C$2:$C$1565,$A99)</f>
        <v/>
      </c>
      <c r="C99" s="10">
        <f>COUNTIF('Clean Data'!$C$2:$C$1565,$A99)</f>
        <v/>
      </c>
      <c r="D99" s="20">
        <f>SUMIF('Clean Data'!$C$2:$C$1565,$A99,'Clean Data'!$K$2:$K$1565)</f>
        <v/>
      </c>
      <c r="E99" s="10">
        <f>IF(B99&lt;=$K$6,5,IF(B99&lt;=$K$7,4,IF(B99&lt;=$K$8,3,IF(B99&lt;=$K$9,2,1))))</f>
        <v/>
      </c>
      <c r="F99" s="10">
        <f>IF(C99&gt;=$L$9,5,IF(C99&gt;=$L$8,4,IF(C99&gt;=$L$7,3,IF(C99&gt;=$L$6,2,1))))</f>
        <v/>
      </c>
      <c r="G99" s="10">
        <f>IF(D99&gt;=$M$9,5,IF(D99&gt;=$M$8,4,IF(D99&gt;=$M$7,3,IF(D99&gt;=$M$6,2,1))))</f>
        <v/>
      </c>
      <c r="H99" s="10">
        <f>IF(AND(E99&gt;=4,F99&gt;=4),"Champions",IF(AND(E99&gt;=3,F99&gt;=3),"Loyal",IF(AND(E99&gt;=4,F99&lt;=2),"New customers",IF(AND(E99=3,F99&lt;=2),"Potential",IF(AND(E99&lt;=2,F99&gt;=3),"At risk","Inactive")))))</f>
        <v/>
      </c>
    </row>
    <row r="100">
      <c r="A100" s="10" t="inlineStr">
        <is>
          <t>C1092</t>
        </is>
      </c>
      <c r="B100" s="19">
        <f>$B$4-_xlfn.MAXIFS('Clean Data'!$B$2:$B$1565,'Clean Data'!$C$2:$C$1565,$A100)</f>
        <v/>
      </c>
      <c r="C100" s="10">
        <f>COUNTIF('Clean Data'!$C$2:$C$1565,$A100)</f>
        <v/>
      </c>
      <c r="D100" s="20">
        <f>SUMIF('Clean Data'!$C$2:$C$1565,$A100,'Clean Data'!$K$2:$K$1565)</f>
        <v/>
      </c>
      <c r="E100" s="10">
        <f>IF(B100&lt;=$K$6,5,IF(B100&lt;=$K$7,4,IF(B100&lt;=$K$8,3,IF(B100&lt;=$K$9,2,1))))</f>
        <v/>
      </c>
      <c r="F100" s="10">
        <f>IF(C100&gt;=$L$9,5,IF(C100&gt;=$L$8,4,IF(C100&gt;=$L$7,3,IF(C100&gt;=$L$6,2,1))))</f>
        <v/>
      </c>
      <c r="G100" s="10">
        <f>IF(D100&gt;=$M$9,5,IF(D100&gt;=$M$8,4,IF(D100&gt;=$M$7,3,IF(D100&gt;=$M$6,2,1))))</f>
        <v/>
      </c>
      <c r="H100" s="10">
        <f>IF(AND(E100&gt;=4,F100&gt;=4),"Champions",IF(AND(E100&gt;=3,F100&gt;=3),"Loyal",IF(AND(E100&gt;=4,F100&lt;=2),"New customers",IF(AND(E100=3,F100&lt;=2),"Potential",IF(AND(E100&lt;=2,F100&gt;=3),"At risk","Inactive")))))</f>
        <v/>
      </c>
    </row>
    <row r="101">
      <c r="A101" s="10" t="inlineStr">
        <is>
          <t>C1093</t>
        </is>
      </c>
      <c r="B101" s="19">
        <f>$B$4-_xlfn.MAXIFS('Clean Data'!$B$2:$B$1565,'Clean Data'!$C$2:$C$1565,$A101)</f>
        <v/>
      </c>
      <c r="C101" s="10">
        <f>COUNTIF('Clean Data'!$C$2:$C$1565,$A101)</f>
        <v/>
      </c>
      <c r="D101" s="20">
        <f>SUMIF('Clean Data'!$C$2:$C$1565,$A101,'Clean Data'!$K$2:$K$1565)</f>
        <v/>
      </c>
      <c r="E101" s="10">
        <f>IF(B101&lt;=$K$6,5,IF(B101&lt;=$K$7,4,IF(B101&lt;=$K$8,3,IF(B101&lt;=$K$9,2,1))))</f>
        <v/>
      </c>
      <c r="F101" s="10">
        <f>IF(C101&gt;=$L$9,5,IF(C101&gt;=$L$8,4,IF(C101&gt;=$L$7,3,IF(C101&gt;=$L$6,2,1))))</f>
        <v/>
      </c>
      <c r="G101" s="10">
        <f>IF(D101&gt;=$M$9,5,IF(D101&gt;=$M$8,4,IF(D101&gt;=$M$7,3,IF(D101&gt;=$M$6,2,1))))</f>
        <v/>
      </c>
      <c r="H101" s="10">
        <f>IF(AND(E101&gt;=4,F101&gt;=4),"Champions",IF(AND(E101&gt;=3,F101&gt;=3),"Loyal",IF(AND(E101&gt;=4,F101&lt;=2),"New customers",IF(AND(E101=3,F101&lt;=2),"Potential",IF(AND(E101&lt;=2,F101&gt;=3),"At risk","Inactive")))))</f>
        <v/>
      </c>
    </row>
    <row r="102">
      <c r="A102" s="10" t="inlineStr">
        <is>
          <t>C1094</t>
        </is>
      </c>
      <c r="B102" s="19">
        <f>$B$4-_xlfn.MAXIFS('Clean Data'!$B$2:$B$1565,'Clean Data'!$C$2:$C$1565,$A102)</f>
        <v/>
      </c>
      <c r="C102" s="10">
        <f>COUNTIF('Clean Data'!$C$2:$C$1565,$A102)</f>
        <v/>
      </c>
      <c r="D102" s="20">
        <f>SUMIF('Clean Data'!$C$2:$C$1565,$A102,'Clean Data'!$K$2:$K$1565)</f>
        <v/>
      </c>
      <c r="E102" s="10">
        <f>IF(B102&lt;=$K$6,5,IF(B102&lt;=$K$7,4,IF(B102&lt;=$K$8,3,IF(B102&lt;=$K$9,2,1))))</f>
        <v/>
      </c>
      <c r="F102" s="10">
        <f>IF(C102&gt;=$L$9,5,IF(C102&gt;=$L$8,4,IF(C102&gt;=$L$7,3,IF(C102&gt;=$L$6,2,1))))</f>
        <v/>
      </c>
      <c r="G102" s="10">
        <f>IF(D102&gt;=$M$9,5,IF(D102&gt;=$M$8,4,IF(D102&gt;=$M$7,3,IF(D102&gt;=$M$6,2,1))))</f>
        <v/>
      </c>
      <c r="H102" s="10">
        <f>IF(AND(E102&gt;=4,F102&gt;=4),"Champions",IF(AND(E102&gt;=3,F102&gt;=3),"Loyal",IF(AND(E102&gt;=4,F102&lt;=2),"New customers",IF(AND(E102=3,F102&lt;=2),"Potential",IF(AND(E102&lt;=2,F102&gt;=3),"At risk","Inactive")))))</f>
        <v/>
      </c>
    </row>
    <row r="103">
      <c r="A103" s="10" t="inlineStr">
        <is>
          <t>C1095</t>
        </is>
      </c>
      <c r="B103" s="19">
        <f>$B$4-_xlfn.MAXIFS('Clean Data'!$B$2:$B$1565,'Clean Data'!$C$2:$C$1565,$A103)</f>
        <v/>
      </c>
      <c r="C103" s="10">
        <f>COUNTIF('Clean Data'!$C$2:$C$1565,$A103)</f>
        <v/>
      </c>
      <c r="D103" s="20">
        <f>SUMIF('Clean Data'!$C$2:$C$1565,$A103,'Clean Data'!$K$2:$K$1565)</f>
        <v/>
      </c>
      <c r="E103" s="10">
        <f>IF(B103&lt;=$K$6,5,IF(B103&lt;=$K$7,4,IF(B103&lt;=$K$8,3,IF(B103&lt;=$K$9,2,1))))</f>
        <v/>
      </c>
      <c r="F103" s="10">
        <f>IF(C103&gt;=$L$9,5,IF(C103&gt;=$L$8,4,IF(C103&gt;=$L$7,3,IF(C103&gt;=$L$6,2,1))))</f>
        <v/>
      </c>
      <c r="G103" s="10">
        <f>IF(D103&gt;=$M$9,5,IF(D103&gt;=$M$8,4,IF(D103&gt;=$M$7,3,IF(D103&gt;=$M$6,2,1))))</f>
        <v/>
      </c>
      <c r="H103" s="10">
        <f>IF(AND(E103&gt;=4,F103&gt;=4),"Champions",IF(AND(E103&gt;=3,F103&gt;=3),"Loyal",IF(AND(E103&gt;=4,F103&lt;=2),"New customers",IF(AND(E103=3,F103&lt;=2),"Potential",IF(AND(E103&lt;=2,F103&gt;=3),"At risk","Inactive")))))</f>
        <v/>
      </c>
    </row>
    <row r="104">
      <c r="A104" s="10" t="inlineStr">
        <is>
          <t>C1096</t>
        </is>
      </c>
      <c r="B104" s="19">
        <f>$B$4-_xlfn.MAXIFS('Clean Data'!$B$2:$B$1565,'Clean Data'!$C$2:$C$1565,$A104)</f>
        <v/>
      </c>
      <c r="C104" s="10">
        <f>COUNTIF('Clean Data'!$C$2:$C$1565,$A104)</f>
        <v/>
      </c>
      <c r="D104" s="20">
        <f>SUMIF('Clean Data'!$C$2:$C$1565,$A104,'Clean Data'!$K$2:$K$1565)</f>
        <v/>
      </c>
      <c r="E104" s="10">
        <f>IF(B104&lt;=$K$6,5,IF(B104&lt;=$K$7,4,IF(B104&lt;=$K$8,3,IF(B104&lt;=$K$9,2,1))))</f>
        <v/>
      </c>
      <c r="F104" s="10">
        <f>IF(C104&gt;=$L$9,5,IF(C104&gt;=$L$8,4,IF(C104&gt;=$L$7,3,IF(C104&gt;=$L$6,2,1))))</f>
        <v/>
      </c>
      <c r="G104" s="10">
        <f>IF(D104&gt;=$M$9,5,IF(D104&gt;=$M$8,4,IF(D104&gt;=$M$7,3,IF(D104&gt;=$M$6,2,1))))</f>
        <v/>
      </c>
      <c r="H104" s="10">
        <f>IF(AND(E104&gt;=4,F104&gt;=4),"Champions",IF(AND(E104&gt;=3,F104&gt;=3),"Loyal",IF(AND(E104&gt;=4,F104&lt;=2),"New customers",IF(AND(E104=3,F104&lt;=2),"Potential",IF(AND(E104&lt;=2,F104&gt;=3),"At risk","Inactive")))))</f>
        <v/>
      </c>
    </row>
    <row r="105">
      <c r="A105" s="10" t="inlineStr">
        <is>
          <t>C1097</t>
        </is>
      </c>
      <c r="B105" s="19">
        <f>$B$4-_xlfn.MAXIFS('Clean Data'!$B$2:$B$1565,'Clean Data'!$C$2:$C$1565,$A105)</f>
        <v/>
      </c>
      <c r="C105" s="10">
        <f>COUNTIF('Clean Data'!$C$2:$C$1565,$A105)</f>
        <v/>
      </c>
      <c r="D105" s="20">
        <f>SUMIF('Clean Data'!$C$2:$C$1565,$A105,'Clean Data'!$K$2:$K$1565)</f>
        <v/>
      </c>
      <c r="E105" s="10">
        <f>IF(B105&lt;=$K$6,5,IF(B105&lt;=$K$7,4,IF(B105&lt;=$K$8,3,IF(B105&lt;=$K$9,2,1))))</f>
        <v/>
      </c>
      <c r="F105" s="10">
        <f>IF(C105&gt;=$L$9,5,IF(C105&gt;=$L$8,4,IF(C105&gt;=$L$7,3,IF(C105&gt;=$L$6,2,1))))</f>
        <v/>
      </c>
      <c r="G105" s="10">
        <f>IF(D105&gt;=$M$9,5,IF(D105&gt;=$M$8,4,IF(D105&gt;=$M$7,3,IF(D105&gt;=$M$6,2,1))))</f>
        <v/>
      </c>
      <c r="H105" s="10">
        <f>IF(AND(E105&gt;=4,F105&gt;=4),"Champions",IF(AND(E105&gt;=3,F105&gt;=3),"Loyal",IF(AND(E105&gt;=4,F105&lt;=2),"New customers",IF(AND(E105=3,F105&lt;=2),"Potential",IF(AND(E105&lt;=2,F105&gt;=3),"At risk","Inactive")))))</f>
        <v/>
      </c>
    </row>
    <row r="106">
      <c r="A106" s="10" t="inlineStr">
        <is>
          <t>C1098</t>
        </is>
      </c>
      <c r="B106" s="19">
        <f>$B$4-_xlfn.MAXIFS('Clean Data'!$B$2:$B$1565,'Clean Data'!$C$2:$C$1565,$A106)</f>
        <v/>
      </c>
      <c r="C106" s="10">
        <f>COUNTIF('Clean Data'!$C$2:$C$1565,$A106)</f>
        <v/>
      </c>
      <c r="D106" s="20">
        <f>SUMIF('Clean Data'!$C$2:$C$1565,$A106,'Clean Data'!$K$2:$K$1565)</f>
        <v/>
      </c>
      <c r="E106" s="10">
        <f>IF(B106&lt;=$K$6,5,IF(B106&lt;=$K$7,4,IF(B106&lt;=$K$8,3,IF(B106&lt;=$K$9,2,1))))</f>
        <v/>
      </c>
      <c r="F106" s="10">
        <f>IF(C106&gt;=$L$9,5,IF(C106&gt;=$L$8,4,IF(C106&gt;=$L$7,3,IF(C106&gt;=$L$6,2,1))))</f>
        <v/>
      </c>
      <c r="G106" s="10">
        <f>IF(D106&gt;=$M$9,5,IF(D106&gt;=$M$8,4,IF(D106&gt;=$M$7,3,IF(D106&gt;=$M$6,2,1))))</f>
        <v/>
      </c>
      <c r="H106" s="10">
        <f>IF(AND(E106&gt;=4,F106&gt;=4),"Champions",IF(AND(E106&gt;=3,F106&gt;=3),"Loyal",IF(AND(E106&gt;=4,F106&lt;=2),"New customers",IF(AND(E106=3,F106&lt;=2),"Potential",IF(AND(E106&lt;=2,F106&gt;=3),"At risk","Inactive")))))</f>
        <v/>
      </c>
    </row>
    <row r="107">
      <c r="A107" s="10" t="inlineStr">
        <is>
          <t>C1099</t>
        </is>
      </c>
      <c r="B107" s="19">
        <f>$B$4-_xlfn.MAXIFS('Clean Data'!$B$2:$B$1565,'Clean Data'!$C$2:$C$1565,$A107)</f>
        <v/>
      </c>
      <c r="C107" s="10">
        <f>COUNTIF('Clean Data'!$C$2:$C$1565,$A107)</f>
        <v/>
      </c>
      <c r="D107" s="20">
        <f>SUMIF('Clean Data'!$C$2:$C$1565,$A107,'Clean Data'!$K$2:$K$1565)</f>
        <v/>
      </c>
      <c r="E107" s="10">
        <f>IF(B107&lt;=$K$6,5,IF(B107&lt;=$K$7,4,IF(B107&lt;=$K$8,3,IF(B107&lt;=$K$9,2,1))))</f>
        <v/>
      </c>
      <c r="F107" s="10">
        <f>IF(C107&gt;=$L$9,5,IF(C107&gt;=$L$8,4,IF(C107&gt;=$L$7,3,IF(C107&gt;=$L$6,2,1))))</f>
        <v/>
      </c>
      <c r="G107" s="10">
        <f>IF(D107&gt;=$M$9,5,IF(D107&gt;=$M$8,4,IF(D107&gt;=$M$7,3,IF(D107&gt;=$M$6,2,1))))</f>
        <v/>
      </c>
      <c r="H107" s="10">
        <f>IF(AND(E107&gt;=4,F107&gt;=4),"Champions",IF(AND(E107&gt;=3,F107&gt;=3),"Loyal",IF(AND(E107&gt;=4,F107&lt;=2),"New customers",IF(AND(E107=3,F107&lt;=2),"Potential",IF(AND(E107&lt;=2,F107&gt;=3),"At risk","Inactive")))))</f>
        <v/>
      </c>
    </row>
    <row r="108">
      <c r="A108" s="10" t="inlineStr">
        <is>
          <t>C1100</t>
        </is>
      </c>
      <c r="B108" s="19">
        <f>$B$4-_xlfn.MAXIFS('Clean Data'!$B$2:$B$1565,'Clean Data'!$C$2:$C$1565,$A108)</f>
        <v/>
      </c>
      <c r="C108" s="10">
        <f>COUNTIF('Clean Data'!$C$2:$C$1565,$A108)</f>
        <v/>
      </c>
      <c r="D108" s="20">
        <f>SUMIF('Clean Data'!$C$2:$C$1565,$A108,'Clean Data'!$K$2:$K$1565)</f>
        <v/>
      </c>
      <c r="E108" s="10">
        <f>IF(B108&lt;=$K$6,5,IF(B108&lt;=$K$7,4,IF(B108&lt;=$K$8,3,IF(B108&lt;=$K$9,2,1))))</f>
        <v/>
      </c>
      <c r="F108" s="10">
        <f>IF(C108&gt;=$L$9,5,IF(C108&gt;=$L$8,4,IF(C108&gt;=$L$7,3,IF(C108&gt;=$L$6,2,1))))</f>
        <v/>
      </c>
      <c r="G108" s="10">
        <f>IF(D108&gt;=$M$9,5,IF(D108&gt;=$M$8,4,IF(D108&gt;=$M$7,3,IF(D108&gt;=$M$6,2,1))))</f>
        <v/>
      </c>
      <c r="H108" s="10">
        <f>IF(AND(E108&gt;=4,F108&gt;=4),"Champions",IF(AND(E108&gt;=3,F108&gt;=3),"Loyal",IF(AND(E108&gt;=4,F108&lt;=2),"New customers",IF(AND(E108=3,F108&lt;=2),"Potential",IF(AND(E108&lt;=2,F108&gt;=3),"At risk","Inactive")))))</f>
        <v/>
      </c>
    </row>
    <row r="109">
      <c r="A109" s="10" t="inlineStr">
        <is>
          <t>C1101</t>
        </is>
      </c>
      <c r="B109" s="19">
        <f>$B$4-_xlfn.MAXIFS('Clean Data'!$B$2:$B$1565,'Clean Data'!$C$2:$C$1565,$A109)</f>
        <v/>
      </c>
      <c r="C109" s="10">
        <f>COUNTIF('Clean Data'!$C$2:$C$1565,$A109)</f>
        <v/>
      </c>
      <c r="D109" s="20">
        <f>SUMIF('Clean Data'!$C$2:$C$1565,$A109,'Clean Data'!$K$2:$K$1565)</f>
        <v/>
      </c>
      <c r="E109" s="10">
        <f>IF(B109&lt;=$K$6,5,IF(B109&lt;=$K$7,4,IF(B109&lt;=$K$8,3,IF(B109&lt;=$K$9,2,1))))</f>
        <v/>
      </c>
      <c r="F109" s="10">
        <f>IF(C109&gt;=$L$9,5,IF(C109&gt;=$L$8,4,IF(C109&gt;=$L$7,3,IF(C109&gt;=$L$6,2,1))))</f>
        <v/>
      </c>
      <c r="G109" s="10">
        <f>IF(D109&gt;=$M$9,5,IF(D109&gt;=$M$8,4,IF(D109&gt;=$M$7,3,IF(D109&gt;=$M$6,2,1))))</f>
        <v/>
      </c>
      <c r="H109" s="10">
        <f>IF(AND(E109&gt;=4,F109&gt;=4),"Champions",IF(AND(E109&gt;=3,F109&gt;=3),"Loyal",IF(AND(E109&gt;=4,F109&lt;=2),"New customers",IF(AND(E109=3,F109&lt;=2),"Potential",IF(AND(E109&lt;=2,F109&gt;=3),"At risk","Inactive")))))</f>
        <v/>
      </c>
    </row>
    <row r="110">
      <c r="A110" s="10" t="inlineStr">
        <is>
          <t>C1102</t>
        </is>
      </c>
      <c r="B110" s="19">
        <f>$B$4-_xlfn.MAXIFS('Clean Data'!$B$2:$B$1565,'Clean Data'!$C$2:$C$1565,$A110)</f>
        <v/>
      </c>
      <c r="C110" s="10">
        <f>COUNTIF('Clean Data'!$C$2:$C$1565,$A110)</f>
        <v/>
      </c>
      <c r="D110" s="20">
        <f>SUMIF('Clean Data'!$C$2:$C$1565,$A110,'Clean Data'!$K$2:$K$1565)</f>
        <v/>
      </c>
      <c r="E110" s="10">
        <f>IF(B110&lt;=$K$6,5,IF(B110&lt;=$K$7,4,IF(B110&lt;=$K$8,3,IF(B110&lt;=$K$9,2,1))))</f>
        <v/>
      </c>
      <c r="F110" s="10">
        <f>IF(C110&gt;=$L$9,5,IF(C110&gt;=$L$8,4,IF(C110&gt;=$L$7,3,IF(C110&gt;=$L$6,2,1))))</f>
        <v/>
      </c>
      <c r="G110" s="10">
        <f>IF(D110&gt;=$M$9,5,IF(D110&gt;=$M$8,4,IF(D110&gt;=$M$7,3,IF(D110&gt;=$M$6,2,1))))</f>
        <v/>
      </c>
      <c r="H110" s="10">
        <f>IF(AND(E110&gt;=4,F110&gt;=4),"Champions",IF(AND(E110&gt;=3,F110&gt;=3),"Loyal",IF(AND(E110&gt;=4,F110&lt;=2),"New customers",IF(AND(E110=3,F110&lt;=2),"Potential",IF(AND(E110&lt;=2,F110&gt;=3),"At risk","Inactive")))))</f>
        <v/>
      </c>
    </row>
    <row r="111">
      <c r="A111" s="10" t="inlineStr">
        <is>
          <t>C1103</t>
        </is>
      </c>
      <c r="B111" s="19">
        <f>$B$4-_xlfn.MAXIFS('Clean Data'!$B$2:$B$1565,'Clean Data'!$C$2:$C$1565,$A111)</f>
        <v/>
      </c>
      <c r="C111" s="10">
        <f>COUNTIF('Clean Data'!$C$2:$C$1565,$A111)</f>
        <v/>
      </c>
      <c r="D111" s="20">
        <f>SUMIF('Clean Data'!$C$2:$C$1565,$A111,'Clean Data'!$K$2:$K$1565)</f>
        <v/>
      </c>
      <c r="E111" s="10">
        <f>IF(B111&lt;=$K$6,5,IF(B111&lt;=$K$7,4,IF(B111&lt;=$K$8,3,IF(B111&lt;=$K$9,2,1))))</f>
        <v/>
      </c>
      <c r="F111" s="10">
        <f>IF(C111&gt;=$L$9,5,IF(C111&gt;=$L$8,4,IF(C111&gt;=$L$7,3,IF(C111&gt;=$L$6,2,1))))</f>
        <v/>
      </c>
      <c r="G111" s="10">
        <f>IF(D111&gt;=$M$9,5,IF(D111&gt;=$M$8,4,IF(D111&gt;=$M$7,3,IF(D111&gt;=$M$6,2,1))))</f>
        <v/>
      </c>
      <c r="H111" s="10">
        <f>IF(AND(E111&gt;=4,F111&gt;=4),"Champions",IF(AND(E111&gt;=3,F111&gt;=3),"Loyal",IF(AND(E111&gt;=4,F111&lt;=2),"New customers",IF(AND(E111=3,F111&lt;=2),"Potential",IF(AND(E111&lt;=2,F111&gt;=3),"At risk","Inactive")))))</f>
        <v/>
      </c>
    </row>
    <row r="112">
      <c r="A112" s="10" t="inlineStr">
        <is>
          <t>C1104</t>
        </is>
      </c>
      <c r="B112" s="19">
        <f>$B$4-_xlfn.MAXIFS('Clean Data'!$B$2:$B$1565,'Clean Data'!$C$2:$C$1565,$A112)</f>
        <v/>
      </c>
      <c r="C112" s="10">
        <f>COUNTIF('Clean Data'!$C$2:$C$1565,$A112)</f>
        <v/>
      </c>
      <c r="D112" s="20">
        <f>SUMIF('Clean Data'!$C$2:$C$1565,$A112,'Clean Data'!$K$2:$K$1565)</f>
        <v/>
      </c>
      <c r="E112" s="10">
        <f>IF(B112&lt;=$K$6,5,IF(B112&lt;=$K$7,4,IF(B112&lt;=$K$8,3,IF(B112&lt;=$K$9,2,1))))</f>
        <v/>
      </c>
      <c r="F112" s="10">
        <f>IF(C112&gt;=$L$9,5,IF(C112&gt;=$L$8,4,IF(C112&gt;=$L$7,3,IF(C112&gt;=$L$6,2,1))))</f>
        <v/>
      </c>
      <c r="G112" s="10">
        <f>IF(D112&gt;=$M$9,5,IF(D112&gt;=$M$8,4,IF(D112&gt;=$M$7,3,IF(D112&gt;=$M$6,2,1))))</f>
        <v/>
      </c>
      <c r="H112" s="10">
        <f>IF(AND(E112&gt;=4,F112&gt;=4),"Champions",IF(AND(E112&gt;=3,F112&gt;=3),"Loyal",IF(AND(E112&gt;=4,F112&lt;=2),"New customers",IF(AND(E112=3,F112&lt;=2),"Potential",IF(AND(E112&lt;=2,F112&gt;=3),"At risk","Inactive")))))</f>
        <v/>
      </c>
    </row>
    <row r="113">
      <c r="A113" s="10" t="inlineStr">
        <is>
          <t>C1105</t>
        </is>
      </c>
      <c r="B113" s="19">
        <f>$B$4-_xlfn.MAXIFS('Clean Data'!$B$2:$B$1565,'Clean Data'!$C$2:$C$1565,$A113)</f>
        <v/>
      </c>
      <c r="C113" s="10">
        <f>COUNTIF('Clean Data'!$C$2:$C$1565,$A113)</f>
        <v/>
      </c>
      <c r="D113" s="20">
        <f>SUMIF('Clean Data'!$C$2:$C$1565,$A113,'Clean Data'!$K$2:$K$1565)</f>
        <v/>
      </c>
      <c r="E113" s="10">
        <f>IF(B113&lt;=$K$6,5,IF(B113&lt;=$K$7,4,IF(B113&lt;=$K$8,3,IF(B113&lt;=$K$9,2,1))))</f>
        <v/>
      </c>
      <c r="F113" s="10">
        <f>IF(C113&gt;=$L$9,5,IF(C113&gt;=$L$8,4,IF(C113&gt;=$L$7,3,IF(C113&gt;=$L$6,2,1))))</f>
        <v/>
      </c>
      <c r="G113" s="10">
        <f>IF(D113&gt;=$M$9,5,IF(D113&gt;=$M$8,4,IF(D113&gt;=$M$7,3,IF(D113&gt;=$M$6,2,1))))</f>
        <v/>
      </c>
      <c r="H113" s="10">
        <f>IF(AND(E113&gt;=4,F113&gt;=4),"Champions",IF(AND(E113&gt;=3,F113&gt;=3),"Loyal",IF(AND(E113&gt;=4,F113&lt;=2),"New customers",IF(AND(E113=3,F113&lt;=2),"Potential",IF(AND(E113&lt;=2,F113&gt;=3),"At risk","Inactive")))))</f>
        <v/>
      </c>
    </row>
    <row r="114">
      <c r="A114" s="10" t="inlineStr">
        <is>
          <t>C1106</t>
        </is>
      </c>
      <c r="B114" s="19">
        <f>$B$4-_xlfn.MAXIFS('Clean Data'!$B$2:$B$1565,'Clean Data'!$C$2:$C$1565,$A114)</f>
        <v/>
      </c>
      <c r="C114" s="10">
        <f>COUNTIF('Clean Data'!$C$2:$C$1565,$A114)</f>
        <v/>
      </c>
      <c r="D114" s="20">
        <f>SUMIF('Clean Data'!$C$2:$C$1565,$A114,'Clean Data'!$K$2:$K$1565)</f>
        <v/>
      </c>
      <c r="E114" s="10">
        <f>IF(B114&lt;=$K$6,5,IF(B114&lt;=$K$7,4,IF(B114&lt;=$K$8,3,IF(B114&lt;=$K$9,2,1))))</f>
        <v/>
      </c>
      <c r="F114" s="10">
        <f>IF(C114&gt;=$L$9,5,IF(C114&gt;=$L$8,4,IF(C114&gt;=$L$7,3,IF(C114&gt;=$L$6,2,1))))</f>
        <v/>
      </c>
      <c r="G114" s="10">
        <f>IF(D114&gt;=$M$9,5,IF(D114&gt;=$M$8,4,IF(D114&gt;=$M$7,3,IF(D114&gt;=$M$6,2,1))))</f>
        <v/>
      </c>
      <c r="H114" s="10">
        <f>IF(AND(E114&gt;=4,F114&gt;=4),"Champions",IF(AND(E114&gt;=3,F114&gt;=3),"Loyal",IF(AND(E114&gt;=4,F114&lt;=2),"New customers",IF(AND(E114=3,F114&lt;=2),"Potential",IF(AND(E114&lt;=2,F114&gt;=3),"At risk","Inactive")))))</f>
        <v/>
      </c>
    </row>
    <row r="115">
      <c r="A115" s="10" t="inlineStr">
        <is>
          <t>C1107</t>
        </is>
      </c>
      <c r="B115" s="19">
        <f>$B$4-_xlfn.MAXIFS('Clean Data'!$B$2:$B$1565,'Clean Data'!$C$2:$C$1565,$A115)</f>
        <v/>
      </c>
      <c r="C115" s="10">
        <f>COUNTIF('Clean Data'!$C$2:$C$1565,$A115)</f>
        <v/>
      </c>
      <c r="D115" s="20">
        <f>SUMIF('Clean Data'!$C$2:$C$1565,$A115,'Clean Data'!$K$2:$K$1565)</f>
        <v/>
      </c>
      <c r="E115" s="10">
        <f>IF(B115&lt;=$K$6,5,IF(B115&lt;=$K$7,4,IF(B115&lt;=$K$8,3,IF(B115&lt;=$K$9,2,1))))</f>
        <v/>
      </c>
      <c r="F115" s="10">
        <f>IF(C115&gt;=$L$9,5,IF(C115&gt;=$L$8,4,IF(C115&gt;=$L$7,3,IF(C115&gt;=$L$6,2,1))))</f>
        <v/>
      </c>
      <c r="G115" s="10">
        <f>IF(D115&gt;=$M$9,5,IF(D115&gt;=$M$8,4,IF(D115&gt;=$M$7,3,IF(D115&gt;=$M$6,2,1))))</f>
        <v/>
      </c>
      <c r="H115" s="10">
        <f>IF(AND(E115&gt;=4,F115&gt;=4),"Champions",IF(AND(E115&gt;=3,F115&gt;=3),"Loyal",IF(AND(E115&gt;=4,F115&lt;=2),"New customers",IF(AND(E115=3,F115&lt;=2),"Potential",IF(AND(E115&lt;=2,F115&gt;=3),"At risk","Inactive")))))</f>
        <v/>
      </c>
    </row>
    <row r="116">
      <c r="A116" s="10" t="inlineStr">
        <is>
          <t>C1108</t>
        </is>
      </c>
      <c r="B116" s="19">
        <f>$B$4-_xlfn.MAXIFS('Clean Data'!$B$2:$B$1565,'Clean Data'!$C$2:$C$1565,$A116)</f>
        <v/>
      </c>
      <c r="C116" s="10">
        <f>COUNTIF('Clean Data'!$C$2:$C$1565,$A116)</f>
        <v/>
      </c>
      <c r="D116" s="20">
        <f>SUMIF('Clean Data'!$C$2:$C$1565,$A116,'Clean Data'!$K$2:$K$1565)</f>
        <v/>
      </c>
      <c r="E116" s="10">
        <f>IF(B116&lt;=$K$6,5,IF(B116&lt;=$K$7,4,IF(B116&lt;=$K$8,3,IF(B116&lt;=$K$9,2,1))))</f>
        <v/>
      </c>
      <c r="F116" s="10">
        <f>IF(C116&gt;=$L$9,5,IF(C116&gt;=$L$8,4,IF(C116&gt;=$L$7,3,IF(C116&gt;=$L$6,2,1))))</f>
        <v/>
      </c>
      <c r="G116" s="10">
        <f>IF(D116&gt;=$M$9,5,IF(D116&gt;=$M$8,4,IF(D116&gt;=$M$7,3,IF(D116&gt;=$M$6,2,1))))</f>
        <v/>
      </c>
      <c r="H116" s="10">
        <f>IF(AND(E116&gt;=4,F116&gt;=4),"Champions",IF(AND(E116&gt;=3,F116&gt;=3),"Loyal",IF(AND(E116&gt;=4,F116&lt;=2),"New customers",IF(AND(E116=3,F116&lt;=2),"Potential",IF(AND(E116&lt;=2,F116&gt;=3),"At risk","Inactive")))))</f>
        <v/>
      </c>
    </row>
    <row r="117">
      <c r="A117" s="10" t="inlineStr">
        <is>
          <t>C1109</t>
        </is>
      </c>
      <c r="B117" s="19">
        <f>$B$4-_xlfn.MAXIFS('Clean Data'!$B$2:$B$1565,'Clean Data'!$C$2:$C$1565,$A117)</f>
        <v/>
      </c>
      <c r="C117" s="10">
        <f>COUNTIF('Clean Data'!$C$2:$C$1565,$A117)</f>
        <v/>
      </c>
      <c r="D117" s="20">
        <f>SUMIF('Clean Data'!$C$2:$C$1565,$A117,'Clean Data'!$K$2:$K$1565)</f>
        <v/>
      </c>
      <c r="E117" s="10">
        <f>IF(B117&lt;=$K$6,5,IF(B117&lt;=$K$7,4,IF(B117&lt;=$K$8,3,IF(B117&lt;=$K$9,2,1))))</f>
        <v/>
      </c>
      <c r="F117" s="10">
        <f>IF(C117&gt;=$L$9,5,IF(C117&gt;=$L$8,4,IF(C117&gt;=$L$7,3,IF(C117&gt;=$L$6,2,1))))</f>
        <v/>
      </c>
      <c r="G117" s="10">
        <f>IF(D117&gt;=$M$9,5,IF(D117&gt;=$M$8,4,IF(D117&gt;=$M$7,3,IF(D117&gt;=$M$6,2,1))))</f>
        <v/>
      </c>
      <c r="H117" s="10">
        <f>IF(AND(E117&gt;=4,F117&gt;=4),"Champions",IF(AND(E117&gt;=3,F117&gt;=3),"Loyal",IF(AND(E117&gt;=4,F117&lt;=2),"New customers",IF(AND(E117=3,F117&lt;=2),"Potential",IF(AND(E117&lt;=2,F117&gt;=3),"At risk","Inactive")))))</f>
        <v/>
      </c>
    </row>
    <row r="118">
      <c r="A118" s="10" t="inlineStr">
        <is>
          <t>C1110</t>
        </is>
      </c>
      <c r="B118" s="19">
        <f>$B$4-_xlfn.MAXIFS('Clean Data'!$B$2:$B$1565,'Clean Data'!$C$2:$C$1565,$A118)</f>
        <v/>
      </c>
      <c r="C118" s="10">
        <f>COUNTIF('Clean Data'!$C$2:$C$1565,$A118)</f>
        <v/>
      </c>
      <c r="D118" s="20">
        <f>SUMIF('Clean Data'!$C$2:$C$1565,$A118,'Clean Data'!$K$2:$K$1565)</f>
        <v/>
      </c>
      <c r="E118" s="10">
        <f>IF(B118&lt;=$K$6,5,IF(B118&lt;=$K$7,4,IF(B118&lt;=$K$8,3,IF(B118&lt;=$K$9,2,1))))</f>
        <v/>
      </c>
      <c r="F118" s="10">
        <f>IF(C118&gt;=$L$9,5,IF(C118&gt;=$L$8,4,IF(C118&gt;=$L$7,3,IF(C118&gt;=$L$6,2,1))))</f>
        <v/>
      </c>
      <c r="G118" s="10">
        <f>IF(D118&gt;=$M$9,5,IF(D118&gt;=$M$8,4,IF(D118&gt;=$M$7,3,IF(D118&gt;=$M$6,2,1))))</f>
        <v/>
      </c>
      <c r="H118" s="10">
        <f>IF(AND(E118&gt;=4,F118&gt;=4),"Champions",IF(AND(E118&gt;=3,F118&gt;=3),"Loyal",IF(AND(E118&gt;=4,F118&lt;=2),"New customers",IF(AND(E118=3,F118&lt;=2),"Potential",IF(AND(E118&lt;=2,F118&gt;=3),"At risk","Inactive")))))</f>
        <v/>
      </c>
    </row>
    <row r="119">
      <c r="A119" s="10" t="inlineStr">
        <is>
          <t>C1111</t>
        </is>
      </c>
      <c r="B119" s="19">
        <f>$B$4-_xlfn.MAXIFS('Clean Data'!$B$2:$B$1565,'Clean Data'!$C$2:$C$1565,$A119)</f>
        <v/>
      </c>
      <c r="C119" s="10">
        <f>COUNTIF('Clean Data'!$C$2:$C$1565,$A119)</f>
        <v/>
      </c>
      <c r="D119" s="20">
        <f>SUMIF('Clean Data'!$C$2:$C$1565,$A119,'Clean Data'!$K$2:$K$1565)</f>
        <v/>
      </c>
      <c r="E119" s="10">
        <f>IF(B119&lt;=$K$6,5,IF(B119&lt;=$K$7,4,IF(B119&lt;=$K$8,3,IF(B119&lt;=$K$9,2,1))))</f>
        <v/>
      </c>
      <c r="F119" s="10">
        <f>IF(C119&gt;=$L$9,5,IF(C119&gt;=$L$8,4,IF(C119&gt;=$L$7,3,IF(C119&gt;=$L$6,2,1))))</f>
        <v/>
      </c>
      <c r="G119" s="10">
        <f>IF(D119&gt;=$M$9,5,IF(D119&gt;=$M$8,4,IF(D119&gt;=$M$7,3,IF(D119&gt;=$M$6,2,1))))</f>
        <v/>
      </c>
      <c r="H119" s="10">
        <f>IF(AND(E119&gt;=4,F119&gt;=4),"Champions",IF(AND(E119&gt;=3,F119&gt;=3),"Loyal",IF(AND(E119&gt;=4,F119&lt;=2),"New customers",IF(AND(E119=3,F119&lt;=2),"Potential",IF(AND(E119&lt;=2,F119&gt;=3),"At risk","Inactive")))))</f>
        <v/>
      </c>
    </row>
    <row r="120">
      <c r="A120" s="10" t="inlineStr">
        <is>
          <t>C1112</t>
        </is>
      </c>
      <c r="B120" s="19">
        <f>$B$4-_xlfn.MAXIFS('Clean Data'!$B$2:$B$1565,'Clean Data'!$C$2:$C$1565,$A120)</f>
        <v/>
      </c>
      <c r="C120" s="10">
        <f>COUNTIF('Clean Data'!$C$2:$C$1565,$A120)</f>
        <v/>
      </c>
      <c r="D120" s="20">
        <f>SUMIF('Clean Data'!$C$2:$C$1565,$A120,'Clean Data'!$K$2:$K$1565)</f>
        <v/>
      </c>
      <c r="E120" s="10">
        <f>IF(B120&lt;=$K$6,5,IF(B120&lt;=$K$7,4,IF(B120&lt;=$K$8,3,IF(B120&lt;=$K$9,2,1))))</f>
        <v/>
      </c>
      <c r="F120" s="10">
        <f>IF(C120&gt;=$L$9,5,IF(C120&gt;=$L$8,4,IF(C120&gt;=$L$7,3,IF(C120&gt;=$L$6,2,1))))</f>
        <v/>
      </c>
      <c r="G120" s="10">
        <f>IF(D120&gt;=$M$9,5,IF(D120&gt;=$M$8,4,IF(D120&gt;=$M$7,3,IF(D120&gt;=$M$6,2,1))))</f>
        <v/>
      </c>
      <c r="H120" s="10">
        <f>IF(AND(E120&gt;=4,F120&gt;=4),"Champions",IF(AND(E120&gt;=3,F120&gt;=3),"Loyal",IF(AND(E120&gt;=4,F120&lt;=2),"New customers",IF(AND(E120=3,F120&lt;=2),"Potential",IF(AND(E120&lt;=2,F120&gt;=3),"At risk","Inactive")))))</f>
        <v/>
      </c>
    </row>
    <row r="121">
      <c r="A121" s="10" t="inlineStr">
        <is>
          <t>C1113</t>
        </is>
      </c>
      <c r="B121" s="19">
        <f>$B$4-_xlfn.MAXIFS('Clean Data'!$B$2:$B$1565,'Clean Data'!$C$2:$C$1565,$A121)</f>
        <v/>
      </c>
      <c r="C121" s="10">
        <f>COUNTIF('Clean Data'!$C$2:$C$1565,$A121)</f>
        <v/>
      </c>
      <c r="D121" s="20">
        <f>SUMIF('Clean Data'!$C$2:$C$1565,$A121,'Clean Data'!$K$2:$K$1565)</f>
        <v/>
      </c>
      <c r="E121" s="10">
        <f>IF(B121&lt;=$K$6,5,IF(B121&lt;=$K$7,4,IF(B121&lt;=$K$8,3,IF(B121&lt;=$K$9,2,1))))</f>
        <v/>
      </c>
      <c r="F121" s="10">
        <f>IF(C121&gt;=$L$9,5,IF(C121&gt;=$L$8,4,IF(C121&gt;=$L$7,3,IF(C121&gt;=$L$6,2,1))))</f>
        <v/>
      </c>
      <c r="G121" s="10">
        <f>IF(D121&gt;=$M$9,5,IF(D121&gt;=$M$8,4,IF(D121&gt;=$M$7,3,IF(D121&gt;=$M$6,2,1))))</f>
        <v/>
      </c>
      <c r="H121" s="10">
        <f>IF(AND(E121&gt;=4,F121&gt;=4),"Champions",IF(AND(E121&gt;=3,F121&gt;=3),"Loyal",IF(AND(E121&gt;=4,F121&lt;=2),"New customers",IF(AND(E121=3,F121&lt;=2),"Potential",IF(AND(E121&lt;=2,F121&gt;=3),"At risk","Inactive")))))</f>
        <v/>
      </c>
    </row>
    <row r="122">
      <c r="A122" s="10" t="inlineStr">
        <is>
          <t>C1114</t>
        </is>
      </c>
      <c r="B122" s="19">
        <f>$B$4-_xlfn.MAXIFS('Clean Data'!$B$2:$B$1565,'Clean Data'!$C$2:$C$1565,$A122)</f>
        <v/>
      </c>
      <c r="C122" s="10">
        <f>COUNTIF('Clean Data'!$C$2:$C$1565,$A122)</f>
        <v/>
      </c>
      <c r="D122" s="20">
        <f>SUMIF('Clean Data'!$C$2:$C$1565,$A122,'Clean Data'!$K$2:$K$1565)</f>
        <v/>
      </c>
      <c r="E122" s="10">
        <f>IF(B122&lt;=$K$6,5,IF(B122&lt;=$K$7,4,IF(B122&lt;=$K$8,3,IF(B122&lt;=$K$9,2,1))))</f>
        <v/>
      </c>
      <c r="F122" s="10">
        <f>IF(C122&gt;=$L$9,5,IF(C122&gt;=$L$8,4,IF(C122&gt;=$L$7,3,IF(C122&gt;=$L$6,2,1))))</f>
        <v/>
      </c>
      <c r="G122" s="10">
        <f>IF(D122&gt;=$M$9,5,IF(D122&gt;=$M$8,4,IF(D122&gt;=$M$7,3,IF(D122&gt;=$M$6,2,1))))</f>
        <v/>
      </c>
      <c r="H122" s="10">
        <f>IF(AND(E122&gt;=4,F122&gt;=4),"Champions",IF(AND(E122&gt;=3,F122&gt;=3),"Loyal",IF(AND(E122&gt;=4,F122&lt;=2),"New customers",IF(AND(E122=3,F122&lt;=2),"Potential",IF(AND(E122&lt;=2,F122&gt;=3),"At risk","Inactive")))))</f>
        <v/>
      </c>
    </row>
    <row r="123">
      <c r="A123" s="10" t="inlineStr">
        <is>
          <t>C1115</t>
        </is>
      </c>
      <c r="B123" s="19">
        <f>$B$4-_xlfn.MAXIFS('Clean Data'!$B$2:$B$1565,'Clean Data'!$C$2:$C$1565,$A123)</f>
        <v/>
      </c>
      <c r="C123" s="10">
        <f>COUNTIF('Clean Data'!$C$2:$C$1565,$A123)</f>
        <v/>
      </c>
      <c r="D123" s="20">
        <f>SUMIF('Clean Data'!$C$2:$C$1565,$A123,'Clean Data'!$K$2:$K$1565)</f>
        <v/>
      </c>
      <c r="E123" s="10">
        <f>IF(B123&lt;=$K$6,5,IF(B123&lt;=$K$7,4,IF(B123&lt;=$K$8,3,IF(B123&lt;=$K$9,2,1))))</f>
        <v/>
      </c>
      <c r="F123" s="10">
        <f>IF(C123&gt;=$L$9,5,IF(C123&gt;=$L$8,4,IF(C123&gt;=$L$7,3,IF(C123&gt;=$L$6,2,1))))</f>
        <v/>
      </c>
      <c r="G123" s="10">
        <f>IF(D123&gt;=$M$9,5,IF(D123&gt;=$M$8,4,IF(D123&gt;=$M$7,3,IF(D123&gt;=$M$6,2,1))))</f>
        <v/>
      </c>
      <c r="H123" s="10">
        <f>IF(AND(E123&gt;=4,F123&gt;=4),"Champions",IF(AND(E123&gt;=3,F123&gt;=3),"Loyal",IF(AND(E123&gt;=4,F123&lt;=2),"New customers",IF(AND(E123=3,F123&lt;=2),"Potential",IF(AND(E123&lt;=2,F123&gt;=3),"At risk","Inactive")))))</f>
        <v/>
      </c>
    </row>
    <row r="124">
      <c r="A124" s="10" t="inlineStr">
        <is>
          <t>C1116</t>
        </is>
      </c>
      <c r="B124" s="19">
        <f>$B$4-_xlfn.MAXIFS('Clean Data'!$B$2:$B$1565,'Clean Data'!$C$2:$C$1565,$A124)</f>
        <v/>
      </c>
      <c r="C124" s="10">
        <f>COUNTIF('Clean Data'!$C$2:$C$1565,$A124)</f>
        <v/>
      </c>
      <c r="D124" s="20">
        <f>SUMIF('Clean Data'!$C$2:$C$1565,$A124,'Clean Data'!$K$2:$K$1565)</f>
        <v/>
      </c>
      <c r="E124" s="10">
        <f>IF(B124&lt;=$K$6,5,IF(B124&lt;=$K$7,4,IF(B124&lt;=$K$8,3,IF(B124&lt;=$K$9,2,1))))</f>
        <v/>
      </c>
      <c r="F124" s="10">
        <f>IF(C124&gt;=$L$9,5,IF(C124&gt;=$L$8,4,IF(C124&gt;=$L$7,3,IF(C124&gt;=$L$6,2,1))))</f>
        <v/>
      </c>
      <c r="G124" s="10">
        <f>IF(D124&gt;=$M$9,5,IF(D124&gt;=$M$8,4,IF(D124&gt;=$M$7,3,IF(D124&gt;=$M$6,2,1))))</f>
        <v/>
      </c>
      <c r="H124" s="10">
        <f>IF(AND(E124&gt;=4,F124&gt;=4),"Champions",IF(AND(E124&gt;=3,F124&gt;=3),"Loyal",IF(AND(E124&gt;=4,F124&lt;=2),"New customers",IF(AND(E124=3,F124&lt;=2),"Potential",IF(AND(E124&lt;=2,F124&gt;=3),"At risk","Inactive")))))</f>
        <v/>
      </c>
    </row>
    <row r="125">
      <c r="A125" s="10" t="inlineStr">
        <is>
          <t>C1117</t>
        </is>
      </c>
      <c r="B125" s="19">
        <f>$B$4-_xlfn.MAXIFS('Clean Data'!$B$2:$B$1565,'Clean Data'!$C$2:$C$1565,$A125)</f>
        <v/>
      </c>
      <c r="C125" s="10">
        <f>COUNTIF('Clean Data'!$C$2:$C$1565,$A125)</f>
        <v/>
      </c>
      <c r="D125" s="20">
        <f>SUMIF('Clean Data'!$C$2:$C$1565,$A125,'Clean Data'!$K$2:$K$1565)</f>
        <v/>
      </c>
      <c r="E125" s="10">
        <f>IF(B125&lt;=$K$6,5,IF(B125&lt;=$K$7,4,IF(B125&lt;=$K$8,3,IF(B125&lt;=$K$9,2,1))))</f>
        <v/>
      </c>
      <c r="F125" s="10">
        <f>IF(C125&gt;=$L$9,5,IF(C125&gt;=$L$8,4,IF(C125&gt;=$L$7,3,IF(C125&gt;=$L$6,2,1))))</f>
        <v/>
      </c>
      <c r="G125" s="10">
        <f>IF(D125&gt;=$M$9,5,IF(D125&gt;=$M$8,4,IF(D125&gt;=$M$7,3,IF(D125&gt;=$M$6,2,1))))</f>
        <v/>
      </c>
      <c r="H125" s="10">
        <f>IF(AND(E125&gt;=4,F125&gt;=4),"Champions",IF(AND(E125&gt;=3,F125&gt;=3),"Loyal",IF(AND(E125&gt;=4,F125&lt;=2),"New customers",IF(AND(E125=3,F125&lt;=2),"Potential",IF(AND(E125&lt;=2,F125&gt;=3),"At risk","Inactive")))))</f>
        <v/>
      </c>
    </row>
    <row r="126">
      <c r="A126" s="10" t="inlineStr">
        <is>
          <t>C1118</t>
        </is>
      </c>
      <c r="B126" s="19">
        <f>$B$4-_xlfn.MAXIFS('Clean Data'!$B$2:$B$1565,'Clean Data'!$C$2:$C$1565,$A126)</f>
        <v/>
      </c>
      <c r="C126" s="10">
        <f>COUNTIF('Clean Data'!$C$2:$C$1565,$A126)</f>
        <v/>
      </c>
      <c r="D126" s="20">
        <f>SUMIF('Clean Data'!$C$2:$C$1565,$A126,'Clean Data'!$K$2:$K$1565)</f>
        <v/>
      </c>
      <c r="E126" s="10">
        <f>IF(B126&lt;=$K$6,5,IF(B126&lt;=$K$7,4,IF(B126&lt;=$K$8,3,IF(B126&lt;=$K$9,2,1))))</f>
        <v/>
      </c>
      <c r="F126" s="10">
        <f>IF(C126&gt;=$L$9,5,IF(C126&gt;=$L$8,4,IF(C126&gt;=$L$7,3,IF(C126&gt;=$L$6,2,1))))</f>
        <v/>
      </c>
      <c r="G126" s="10">
        <f>IF(D126&gt;=$M$9,5,IF(D126&gt;=$M$8,4,IF(D126&gt;=$M$7,3,IF(D126&gt;=$M$6,2,1))))</f>
        <v/>
      </c>
      <c r="H126" s="10">
        <f>IF(AND(E126&gt;=4,F126&gt;=4),"Champions",IF(AND(E126&gt;=3,F126&gt;=3),"Loyal",IF(AND(E126&gt;=4,F126&lt;=2),"New customers",IF(AND(E126=3,F126&lt;=2),"Potential",IF(AND(E126&lt;=2,F126&gt;=3),"At risk","Inactive")))))</f>
        <v/>
      </c>
    </row>
    <row r="127">
      <c r="A127" s="10" t="inlineStr">
        <is>
          <t>C1119</t>
        </is>
      </c>
      <c r="B127" s="19">
        <f>$B$4-_xlfn.MAXIFS('Clean Data'!$B$2:$B$1565,'Clean Data'!$C$2:$C$1565,$A127)</f>
        <v/>
      </c>
      <c r="C127" s="10">
        <f>COUNTIF('Clean Data'!$C$2:$C$1565,$A127)</f>
        <v/>
      </c>
      <c r="D127" s="20">
        <f>SUMIF('Clean Data'!$C$2:$C$1565,$A127,'Clean Data'!$K$2:$K$1565)</f>
        <v/>
      </c>
      <c r="E127" s="10">
        <f>IF(B127&lt;=$K$6,5,IF(B127&lt;=$K$7,4,IF(B127&lt;=$K$8,3,IF(B127&lt;=$K$9,2,1))))</f>
        <v/>
      </c>
      <c r="F127" s="10">
        <f>IF(C127&gt;=$L$9,5,IF(C127&gt;=$L$8,4,IF(C127&gt;=$L$7,3,IF(C127&gt;=$L$6,2,1))))</f>
        <v/>
      </c>
      <c r="G127" s="10">
        <f>IF(D127&gt;=$M$9,5,IF(D127&gt;=$M$8,4,IF(D127&gt;=$M$7,3,IF(D127&gt;=$M$6,2,1))))</f>
        <v/>
      </c>
      <c r="H127" s="10">
        <f>IF(AND(E127&gt;=4,F127&gt;=4),"Champions",IF(AND(E127&gt;=3,F127&gt;=3),"Loyal",IF(AND(E127&gt;=4,F127&lt;=2),"New customers",IF(AND(E127=3,F127&lt;=2),"Potential",IF(AND(E127&lt;=2,F127&gt;=3),"At risk","Inactive")))))</f>
        <v/>
      </c>
    </row>
    <row r="128">
      <c r="A128" s="10" t="inlineStr">
        <is>
          <t>C1120</t>
        </is>
      </c>
      <c r="B128" s="19">
        <f>$B$4-_xlfn.MAXIFS('Clean Data'!$B$2:$B$1565,'Clean Data'!$C$2:$C$1565,$A128)</f>
        <v/>
      </c>
      <c r="C128" s="10">
        <f>COUNTIF('Clean Data'!$C$2:$C$1565,$A128)</f>
        <v/>
      </c>
      <c r="D128" s="20">
        <f>SUMIF('Clean Data'!$C$2:$C$1565,$A128,'Clean Data'!$K$2:$K$1565)</f>
        <v/>
      </c>
      <c r="E128" s="10">
        <f>IF(B128&lt;=$K$6,5,IF(B128&lt;=$K$7,4,IF(B128&lt;=$K$8,3,IF(B128&lt;=$K$9,2,1))))</f>
        <v/>
      </c>
      <c r="F128" s="10">
        <f>IF(C128&gt;=$L$9,5,IF(C128&gt;=$L$8,4,IF(C128&gt;=$L$7,3,IF(C128&gt;=$L$6,2,1))))</f>
        <v/>
      </c>
      <c r="G128" s="10">
        <f>IF(D128&gt;=$M$9,5,IF(D128&gt;=$M$8,4,IF(D128&gt;=$M$7,3,IF(D128&gt;=$M$6,2,1))))</f>
        <v/>
      </c>
      <c r="H128" s="10">
        <f>IF(AND(E128&gt;=4,F128&gt;=4),"Champions",IF(AND(E128&gt;=3,F128&gt;=3),"Loyal",IF(AND(E128&gt;=4,F128&lt;=2),"New customers",IF(AND(E128=3,F128&lt;=2),"Potential",IF(AND(E128&lt;=2,F128&gt;=3),"At risk","Inactive")))))</f>
        <v/>
      </c>
    </row>
    <row r="129">
      <c r="A129" s="10" t="inlineStr">
        <is>
          <t>C1121</t>
        </is>
      </c>
      <c r="B129" s="19">
        <f>$B$4-_xlfn.MAXIFS('Clean Data'!$B$2:$B$1565,'Clean Data'!$C$2:$C$1565,$A129)</f>
        <v/>
      </c>
      <c r="C129" s="10">
        <f>COUNTIF('Clean Data'!$C$2:$C$1565,$A129)</f>
        <v/>
      </c>
      <c r="D129" s="20">
        <f>SUMIF('Clean Data'!$C$2:$C$1565,$A129,'Clean Data'!$K$2:$K$1565)</f>
        <v/>
      </c>
      <c r="E129" s="10">
        <f>IF(B129&lt;=$K$6,5,IF(B129&lt;=$K$7,4,IF(B129&lt;=$K$8,3,IF(B129&lt;=$K$9,2,1))))</f>
        <v/>
      </c>
      <c r="F129" s="10">
        <f>IF(C129&gt;=$L$9,5,IF(C129&gt;=$L$8,4,IF(C129&gt;=$L$7,3,IF(C129&gt;=$L$6,2,1))))</f>
        <v/>
      </c>
      <c r="G129" s="10">
        <f>IF(D129&gt;=$M$9,5,IF(D129&gt;=$M$8,4,IF(D129&gt;=$M$7,3,IF(D129&gt;=$M$6,2,1))))</f>
        <v/>
      </c>
      <c r="H129" s="10">
        <f>IF(AND(E129&gt;=4,F129&gt;=4),"Champions",IF(AND(E129&gt;=3,F129&gt;=3),"Loyal",IF(AND(E129&gt;=4,F129&lt;=2),"New customers",IF(AND(E129=3,F129&lt;=2),"Potential",IF(AND(E129&lt;=2,F129&gt;=3),"At risk","Inactive")))))</f>
        <v/>
      </c>
    </row>
    <row r="130">
      <c r="A130" s="10" t="inlineStr">
        <is>
          <t>C1122</t>
        </is>
      </c>
      <c r="B130" s="19">
        <f>$B$4-_xlfn.MAXIFS('Clean Data'!$B$2:$B$1565,'Clean Data'!$C$2:$C$1565,$A130)</f>
        <v/>
      </c>
      <c r="C130" s="10">
        <f>COUNTIF('Clean Data'!$C$2:$C$1565,$A130)</f>
        <v/>
      </c>
      <c r="D130" s="20">
        <f>SUMIF('Clean Data'!$C$2:$C$1565,$A130,'Clean Data'!$K$2:$K$1565)</f>
        <v/>
      </c>
      <c r="E130" s="10">
        <f>IF(B130&lt;=$K$6,5,IF(B130&lt;=$K$7,4,IF(B130&lt;=$K$8,3,IF(B130&lt;=$K$9,2,1))))</f>
        <v/>
      </c>
      <c r="F130" s="10">
        <f>IF(C130&gt;=$L$9,5,IF(C130&gt;=$L$8,4,IF(C130&gt;=$L$7,3,IF(C130&gt;=$L$6,2,1))))</f>
        <v/>
      </c>
      <c r="G130" s="10">
        <f>IF(D130&gt;=$M$9,5,IF(D130&gt;=$M$8,4,IF(D130&gt;=$M$7,3,IF(D130&gt;=$M$6,2,1))))</f>
        <v/>
      </c>
      <c r="H130" s="10">
        <f>IF(AND(E130&gt;=4,F130&gt;=4),"Champions",IF(AND(E130&gt;=3,F130&gt;=3),"Loyal",IF(AND(E130&gt;=4,F130&lt;=2),"New customers",IF(AND(E130=3,F130&lt;=2),"Potential",IF(AND(E130&lt;=2,F130&gt;=3),"At risk","Inactive")))))</f>
        <v/>
      </c>
    </row>
    <row r="131">
      <c r="A131" s="10" t="inlineStr">
        <is>
          <t>C1123</t>
        </is>
      </c>
      <c r="B131" s="19">
        <f>$B$4-_xlfn.MAXIFS('Clean Data'!$B$2:$B$1565,'Clean Data'!$C$2:$C$1565,$A131)</f>
        <v/>
      </c>
      <c r="C131" s="10">
        <f>COUNTIF('Clean Data'!$C$2:$C$1565,$A131)</f>
        <v/>
      </c>
      <c r="D131" s="20">
        <f>SUMIF('Clean Data'!$C$2:$C$1565,$A131,'Clean Data'!$K$2:$K$1565)</f>
        <v/>
      </c>
      <c r="E131" s="10">
        <f>IF(B131&lt;=$K$6,5,IF(B131&lt;=$K$7,4,IF(B131&lt;=$K$8,3,IF(B131&lt;=$K$9,2,1))))</f>
        <v/>
      </c>
      <c r="F131" s="10">
        <f>IF(C131&gt;=$L$9,5,IF(C131&gt;=$L$8,4,IF(C131&gt;=$L$7,3,IF(C131&gt;=$L$6,2,1))))</f>
        <v/>
      </c>
      <c r="G131" s="10">
        <f>IF(D131&gt;=$M$9,5,IF(D131&gt;=$M$8,4,IF(D131&gt;=$M$7,3,IF(D131&gt;=$M$6,2,1))))</f>
        <v/>
      </c>
      <c r="H131" s="10">
        <f>IF(AND(E131&gt;=4,F131&gt;=4),"Champions",IF(AND(E131&gt;=3,F131&gt;=3),"Loyal",IF(AND(E131&gt;=4,F131&lt;=2),"New customers",IF(AND(E131=3,F131&lt;=2),"Potential",IF(AND(E131&lt;=2,F131&gt;=3),"At risk","Inactive")))))</f>
        <v/>
      </c>
    </row>
    <row r="132">
      <c r="A132" s="10" t="inlineStr">
        <is>
          <t>C1124</t>
        </is>
      </c>
      <c r="B132" s="19">
        <f>$B$4-_xlfn.MAXIFS('Clean Data'!$B$2:$B$1565,'Clean Data'!$C$2:$C$1565,$A132)</f>
        <v/>
      </c>
      <c r="C132" s="10">
        <f>COUNTIF('Clean Data'!$C$2:$C$1565,$A132)</f>
        <v/>
      </c>
      <c r="D132" s="20">
        <f>SUMIF('Clean Data'!$C$2:$C$1565,$A132,'Clean Data'!$K$2:$K$1565)</f>
        <v/>
      </c>
      <c r="E132" s="10">
        <f>IF(B132&lt;=$K$6,5,IF(B132&lt;=$K$7,4,IF(B132&lt;=$K$8,3,IF(B132&lt;=$K$9,2,1))))</f>
        <v/>
      </c>
      <c r="F132" s="10">
        <f>IF(C132&gt;=$L$9,5,IF(C132&gt;=$L$8,4,IF(C132&gt;=$L$7,3,IF(C132&gt;=$L$6,2,1))))</f>
        <v/>
      </c>
      <c r="G132" s="10">
        <f>IF(D132&gt;=$M$9,5,IF(D132&gt;=$M$8,4,IF(D132&gt;=$M$7,3,IF(D132&gt;=$M$6,2,1))))</f>
        <v/>
      </c>
      <c r="H132" s="10">
        <f>IF(AND(E132&gt;=4,F132&gt;=4),"Champions",IF(AND(E132&gt;=3,F132&gt;=3),"Loyal",IF(AND(E132&gt;=4,F132&lt;=2),"New customers",IF(AND(E132=3,F132&lt;=2),"Potential",IF(AND(E132&lt;=2,F132&gt;=3),"At risk","Inactive")))))</f>
        <v/>
      </c>
    </row>
    <row r="133">
      <c r="A133" s="10" t="inlineStr">
        <is>
          <t>C1125</t>
        </is>
      </c>
      <c r="B133" s="19">
        <f>$B$4-_xlfn.MAXIFS('Clean Data'!$B$2:$B$1565,'Clean Data'!$C$2:$C$1565,$A133)</f>
        <v/>
      </c>
      <c r="C133" s="10">
        <f>COUNTIF('Clean Data'!$C$2:$C$1565,$A133)</f>
        <v/>
      </c>
      <c r="D133" s="20">
        <f>SUMIF('Clean Data'!$C$2:$C$1565,$A133,'Clean Data'!$K$2:$K$1565)</f>
        <v/>
      </c>
      <c r="E133" s="10">
        <f>IF(B133&lt;=$K$6,5,IF(B133&lt;=$K$7,4,IF(B133&lt;=$K$8,3,IF(B133&lt;=$K$9,2,1))))</f>
        <v/>
      </c>
      <c r="F133" s="10">
        <f>IF(C133&gt;=$L$9,5,IF(C133&gt;=$L$8,4,IF(C133&gt;=$L$7,3,IF(C133&gt;=$L$6,2,1))))</f>
        <v/>
      </c>
      <c r="G133" s="10">
        <f>IF(D133&gt;=$M$9,5,IF(D133&gt;=$M$8,4,IF(D133&gt;=$M$7,3,IF(D133&gt;=$M$6,2,1))))</f>
        <v/>
      </c>
      <c r="H133" s="10">
        <f>IF(AND(E133&gt;=4,F133&gt;=4),"Champions",IF(AND(E133&gt;=3,F133&gt;=3),"Loyal",IF(AND(E133&gt;=4,F133&lt;=2),"New customers",IF(AND(E133=3,F133&lt;=2),"Potential",IF(AND(E133&lt;=2,F133&gt;=3),"At risk","Inactive")))))</f>
        <v/>
      </c>
    </row>
    <row r="134">
      <c r="A134" s="10" t="inlineStr">
        <is>
          <t>C1126</t>
        </is>
      </c>
      <c r="B134" s="19">
        <f>$B$4-_xlfn.MAXIFS('Clean Data'!$B$2:$B$1565,'Clean Data'!$C$2:$C$1565,$A134)</f>
        <v/>
      </c>
      <c r="C134" s="10">
        <f>COUNTIF('Clean Data'!$C$2:$C$1565,$A134)</f>
        <v/>
      </c>
      <c r="D134" s="20">
        <f>SUMIF('Clean Data'!$C$2:$C$1565,$A134,'Clean Data'!$K$2:$K$1565)</f>
        <v/>
      </c>
      <c r="E134" s="10">
        <f>IF(B134&lt;=$K$6,5,IF(B134&lt;=$K$7,4,IF(B134&lt;=$K$8,3,IF(B134&lt;=$K$9,2,1))))</f>
        <v/>
      </c>
      <c r="F134" s="10">
        <f>IF(C134&gt;=$L$9,5,IF(C134&gt;=$L$8,4,IF(C134&gt;=$L$7,3,IF(C134&gt;=$L$6,2,1))))</f>
        <v/>
      </c>
      <c r="G134" s="10">
        <f>IF(D134&gt;=$M$9,5,IF(D134&gt;=$M$8,4,IF(D134&gt;=$M$7,3,IF(D134&gt;=$M$6,2,1))))</f>
        <v/>
      </c>
      <c r="H134" s="10">
        <f>IF(AND(E134&gt;=4,F134&gt;=4),"Champions",IF(AND(E134&gt;=3,F134&gt;=3),"Loyal",IF(AND(E134&gt;=4,F134&lt;=2),"New customers",IF(AND(E134=3,F134&lt;=2),"Potential",IF(AND(E134&lt;=2,F134&gt;=3),"At risk","Inactive")))))</f>
        <v/>
      </c>
    </row>
    <row r="135">
      <c r="A135" s="10" t="inlineStr">
        <is>
          <t>C1127</t>
        </is>
      </c>
      <c r="B135" s="19">
        <f>$B$4-_xlfn.MAXIFS('Clean Data'!$B$2:$B$1565,'Clean Data'!$C$2:$C$1565,$A135)</f>
        <v/>
      </c>
      <c r="C135" s="10">
        <f>COUNTIF('Clean Data'!$C$2:$C$1565,$A135)</f>
        <v/>
      </c>
      <c r="D135" s="20">
        <f>SUMIF('Clean Data'!$C$2:$C$1565,$A135,'Clean Data'!$K$2:$K$1565)</f>
        <v/>
      </c>
      <c r="E135" s="10">
        <f>IF(B135&lt;=$K$6,5,IF(B135&lt;=$K$7,4,IF(B135&lt;=$K$8,3,IF(B135&lt;=$K$9,2,1))))</f>
        <v/>
      </c>
      <c r="F135" s="10">
        <f>IF(C135&gt;=$L$9,5,IF(C135&gt;=$L$8,4,IF(C135&gt;=$L$7,3,IF(C135&gt;=$L$6,2,1))))</f>
        <v/>
      </c>
      <c r="G135" s="10">
        <f>IF(D135&gt;=$M$9,5,IF(D135&gt;=$M$8,4,IF(D135&gt;=$M$7,3,IF(D135&gt;=$M$6,2,1))))</f>
        <v/>
      </c>
      <c r="H135" s="10">
        <f>IF(AND(E135&gt;=4,F135&gt;=4),"Champions",IF(AND(E135&gt;=3,F135&gt;=3),"Loyal",IF(AND(E135&gt;=4,F135&lt;=2),"New customers",IF(AND(E135=3,F135&lt;=2),"Potential",IF(AND(E135&lt;=2,F135&gt;=3),"At risk","Inactive")))))</f>
        <v/>
      </c>
    </row>
    <row r="136">
      <c r="A136" s="10" t="inlineStr">
        <is>
          <t>C1128</t>
        </is>
      </c>
      <c r="B136" s="19">
        <f>$B$4-_xlfn.MAXIFS('Clean Data'!$B$2:$B$1565,'Clean Data'!$C$2:$C$1565,$A136)</f>
        <v/>
      </c>
      <c r="C136" s="10">
        <f>COUNTIF('Clean Data'!$C$2:$C$1565,$A136)</f>
        <v/>
      </c>
      <c r="D136" s="20">
        <f>SUMIF('Clean Data'!$C$2:$C$1565,$A136,'Clean Data'!$K$2:$K$1565)</f>
        <v/>
      </c>
      <c r="E136" s="10">
        <f>IF(B136&lt;=$K$6,5,IF(B136&lt;=$K$7,4,IF(B136&lt;=$K$8,3,IF(B136&lt;=$K$9,2,1))))</f>
        <v/>
      </c>
      <c r="F136" s="10">
        <f>IF(C136&gt;=$L$9,5,IF(C136&gt;=$L$8,4,IF(C136&gt;=$L$7,3,IF(C136&gt;=$L$6,2,1))))</f>
        <v/>
      </c>
      <c r="G136" s="10">
        <f>IF(D136&gt;=$M$9,5,IF(D136&gt;=$M$8,4,IF(D136&gt;=$M$7,3,IF(D136&gt;=$M$6,2,1))))</f>
        <v/>
      </c>
      <c r="H136" s="10">
        <f>IF(AND(E136&gt;=4,F136&gt;=4),"Champions",IF(AND(E136&gt;=3,F136&gt;=3),"Loyal",IF(AND(E136&gt;=4,F136&lt;=2),"New customers",IF(AND(E136=3,F136&lt;=2),"Potential",IF(AND(E136&lt;=2,F136&gt;=3),"At risk","Inactive")))))</f>
        <v/>
      </c>
    </row>
    <row r="137">
      <c r="A137" s="10" t="inlineStr">
        <is>
          <t>C1129</t>
        </is>
      </c>
      <c r="B137" s="19">
        <f>$B$4-_xlfn.MAXIFS('Clean Data'!$B$2:$B$1565,'Clean Data'!$C$2:$C$1565,$A137)</f>
        <v/>
      </c>
      <c r="C137" s="10">
        <f>COUNTIF('Clean Data'!$C$2:$C$1565,$A137)</f>
        <v/>
      </c>
      <c r="D137" s="20">
        <f>SUMIF('Clean Data'!$C$2:$C$1565,$A137,'Clean Data'!$K$2:$K$1565)</f>
        <v/>
      </c>
      <c r="E137" s="10">
        <f>IF(B137&lt;=$K$6,5,IF(B137&lt;=$K$7,4,IF(B137&lt;=$K$8,3,IF(B137&lt;=$K$9,2,1))))</f>
        <v/>
      </c>
      <c r="F137" s="10">
        <f>IF(C137&gt;=$L$9,5,IF(C137&gt;=$L$8,4,IF(C137&gt;=$L$7,3,IF(C137&gt;=$L$6,2,1))))</f>
        <v/>
      </c>
      <c r="G137" s="10">
        <f>IF(D137&gt;=$M$9,5,IF(D137&gt;=$M$8,4,IF(D137&gt;=$M$7,3,IF(D137&gt;=$M$6,2,1))))</f>
        <v/>
      </c>
      <c r="H137" s="10">
        <f>IF(AND(E137&gt;=4,F137&gt;=4),"Champions",IF(AND(E137&gt;=3,F137&gt;=3),"Loyal",IF(AND(E137&gt;=4,F137&lt;=2),"New customers",IF(AND(E137=3,F137&lt;=2),"Potential",IF(AND(E137&lt;=2,F137&gt;=3),"At risk","Inactive")))))</f>
        <v/>
      </c>
    </row>
    <row r="138">
      <c r="A138" s="10" t="inlineStr">
        <is>
          <t>C1130</t>
        </is>
      </c>
      <c r="B138" s="19">
        <f>$B$4-_xlfn.MAXIFS('Clean Data'!$B$2:$B$1565,'Clean Data'!$C$2:$C$1565,$A138)</f>
        <v/>
      </c>
      <c r="C138" s="10">
        <f>COUNTIF('Clean Data'!$C$2:$C$1565,$A138)</f>
        <v/>
      </c>
      <c r="D138" s="20">
        <f>SUMIF('Clean Data'!$C$2:$C$1565,$A138,'Clean Data'!$K$2:$K$1565)</f>
        <v/>
      </c>
      <c r="E138" s="10">
        <f>IF(B138&lt;=$K$6,5,IF(B138&lt;=$K$7,4,IF(B138&lt;=$K$8,3,IF(B138&lt;=$K$9,2,1))))</f>
        <v/>
      </c>
      <c r="F138" s="10">
        <f>IF(C138&gt;=$L$9,5,IF(C138&gt;=$L$8,4,IF(C138&gt;=$L$7,3,IF(C138&gt;=$L$6,2,1))))</f>
        <v/>
      </c>
      <c r="G138" s="10">
        <f>IF(D138&gt;=$M$9,5,IF(D138&gt;=$M$8,4,IF(D138&gt;=$M$7,3,IF(D138&gt;=$M$6,2,1))))</f>
        <v/>
      </c>
      <c r="H138" s="10">
        <f>IF(AND(E138&gt;=4,F138&gt;=4),"Champions",IF(AND(E138&gt;=3,F138&gt;=3),"Loyal",IF(AND(E138&gt;=4,F138&lt;=2),"New customers",IF(AND(E138=3,F138&lt;=2),"Potential",IF(AND(E138&lt;=2,F138&gt;=3),"At risk","Inactive")))))</f>
        <v/>
      </c>
    </row>
    <row r="139">
      <c r="A139" s="10" t="inlineStr">
        <is>
          <t>C1131</t>
        </is>
      </c>
      <c r="B139" s="19">
        <f>$B$4-_xlfn.MAXIFS('Clean Data'!$B$2:$B$1565,'Clean Data'!$C$2:$C$1565,$A139)</f>
        <v/>
      </c>
      <c r="C139" s="10">
        <f>COUNTIF('Clean Data'!$C$2:$C$1565,$A139)</f>
        <v/>
      </c>
      <c r="D139" s="20">
        <f>SUMIF('Clean Data'!$C$2:$C$1565,$A139,'Clean Data'!$K$2:$K$1565)</f>
        <v/>
      </c>
      <c r="E139" s="10">
        <f>IF(B139&lt;=$K$6,5,IF(B139&lt;=$K$7,4,IF(B139&lt;=$K$8,3,IF(B139&lt;=$K$9,2,1))))</f>
        <v/>
      </c>
      <c r="F139" s="10">
        <f>IF(C139&gt;=$L$9,5,IF(C139&gt;=$L$8,4,IF(C139&gt;=$L$7,3,IF(C139&gt;=$L$6,2,1))))</f>
        <v/>
      </c>
      <c r="G139" s="10">
        <f>IF(D139&gt;=$M$9,5,IF(D139&gt;=$M$8,4,IF(D139&gt;=$M$7,3,IF(D139&gt;=$M$6,2,1))))</f>
        <v/>
      </c>
      <c r="H139" s="10">
        <f>IF(AND(E139&gt;=4,F139&gt;=4),"Champions",IF(AND(E139&gt;=3,F139&gt;=3),"Loyal",IF(AND(E139&gt;=4,F139&lt;=2),"New customers",IF(AND(E139=3,F139&lt;=2),"Potential",IF(AND(E139&lt;=2,F139&gt;=3),"At risk","Inactive")))))</f>
        <v/>
      </c>
    </row>
    <row r="140">
      <c r="A140" s="10" t="inlineStr">
        <is>
          <t>C1132</t>
        </is>
      </c>
      <c r="B140" s="19">
        <f>$B$4-_xlfn.MAXIFS('Clean Data'!$B$2:$B$1565,'Clean Data'!$C$2:$C$1565,$A140)</f>
        <v/>
      </c>
      <c r="C140" s="10">
        <f>COUNTIF('Clean Data'!$C$2:$C$1565,$A140)</f>
        <v/>
      </c>
      <c r="D140" s="20">
        <f>SUMIF('Clean Data'!$C$2:$C$1565,$A140,'Clean Data'!$K$2:$K$1565)</f>
        <v/>
      </c>
      <c r="E140" s="10">
        <f>IF(B140&lt;=$K$6,5,IF(B140&lt;=$K$7,4,IF(B140&lt;=$K$8,3,IF(B140&lt;=$K$9,2,1))))</f>
        <v/>
      </c>
      <c r="F140" s="10">
        <f>IF(C140&gt;=$L$9,5,IF(C140&gt;=$L$8,4,IF(C140&gt;=$L$7,3,IF(C140&gt;=$L$6,2,1))))</f>
        <v/>
      </c>
      <c r="G140" s="10">
        <f>IF(D140&gt;=$M$9,5,IF(D140&gt;=$M$8,4,IF(D140&gt;=$M$7,3,IF(D140&gt;=$M$6,2,1))))</f>
        <v/>
      </c>
      <c r="H140" s="10">
        <f>IF(AND(E140&gt;=4,F140&gt;=4),"Champions",IF(AND(E140&gt;=3,F140&gt;=3),"Loyal",IF(AND(E140&gt;=4,F140&lt;=2),"New customers",IF(AND(E140=3,F140&lt;=2),"Potential",IF(AND(E140&lt;=2,F140&gt;=3),"At risk","Inactive")))))</f>
        <v/>
      </c>
    </row>
    <row r="141">
      <c r="A141" s="10" t="inlineStr">
        <is>
          <t>C1133</t>
        </is>
      </c>
      <c r="B141" s="19">
        <f>$B$4-_xlfn.MAXIFS('Clean Data'!$B$2:$B$1565,'Clean Data'!$C$2:$C$1565,$A141)</f>
        <v/>
      </c>
      <c r="C141" s="10">
        <f>COUNTIF('Clean Data'!$C$2:$C$1565,$A141)</f>
        <v/>
      </c>
      <c r="D141" s="20">
        <f>SUMIF('Clean Data'!$C$2:$C$1565,$A141,'Clean Data'!$K$2:$K$1565)</f>
        <v/>
      </c>
      <c r="E141" s="10">
        <f>IF(B141&lt;=$K$6,5,IF(B141&lt;=$K$7,4,IF(B141&lt;=$K$8,3,IF(B141&lt;=$K$9,2,1))))</f>
        <v/>
      </c>
      <c r="F141" s="10">
        <f>IF(C141&gt;=$L$9,5,IF(C141&gt;=$L$8,4,IF(C141&gt;=$L$7,3,IF(C141&gt;=$L$6,2,1))))</f>
        <v/>
      </c>
      <c r="G141" s="10">
        <f>IF(D141&gt;=$M$9,5,IF(D141&gt;=$M$8,4,IF(D141&gt;=$M$7,3,IF(D141&gt;=$M$6,2,1))))</f>
        <v/>
      </c>
      <c r="H141" s="10">
        <f>IF(AND(E141&gt;=4,F141&gt;=4),"Champions",IF(AND(E141&gt;=3,F141&gt;=3),"Loyal",IF(AND(E141&gt;=4,F141&lt;=2),"New customers",IF(AND(E141=3,F141&lt;=2),"Potential",IF(AND(E141&lt;=2,F141&gt;=3),"At risk","Inactive")))))</f>
        <v/>
      </c>
    </row>
    <row r="142">
      <c r="A142" s="10" t="inlineStr">
        <is>
          <t>C1134</t>
        </is>
      </c>
      <c r="B142" s="19">
        <f>$B$4-_xlfn.MAXIFS('Clean Data'!$B$2:$B$1565,'Clean Data'!$C$2:$C$1565,$A142)</f>
        <v/>
      </c>
      <c r="C142" s="10">
        <f>COUNTIF('Clean Data'!$C$2:$C$1565,$A142)</f>
        <v/>
      </c>
      <c r="D142" s="20">
        <f>SUMIF('Clean Data'!$C$2:$C$1565,$A142,'Clean Data'!$K$2:$K$1565)</f>
        <v/>
      </c>
      <c r="E142" s="10">
        <f>IF(B142&lt;=$K$6,5,IF(B142&lt;=$K$7,4,IF(B142&lt;=$K$8,3,IF(B142&lt;=$K$9,2,1))))</f>
        <v/>
      </c>
      <c r="F142" s="10">
        <f>IF(C142&gt;=$L$9,5,IF(C142&gt;=$L$8,4,IF(C142&gt;=$L$7,3,IF(C142&gt;=$L$6,2,1))))</f>
        <v/>
      </c>
      <c r="G142" s="10">
        <f>IF(D142&gt;=$M$9,5,IF(D142&gt;=$M$8,4,IF(D142&gt;=$M$7,3,IF(D142&gt;=$M$6,2,1))))</f>
        <v/>
      </c>
      <c r="H142" s="10">
        <f>IF(AND(E142&gt;=4,F142&gt;=4),"Champions",IF(AND(E142&gt;=3,F142&gt;=3),"Loyal",IF(AND(E142&gt;=4,F142&lt;=2),"New customers",IF(AND(E142=3,F142&lt;=2),"Potential",IF(AND(E142&lt;=2,F142&gt;=3),"At risk","Inactive")))))</f>
        <v/>
      </c>
    </row>
    <row r="143">
      <c r="A143" s="10" t="inlineStr">
        <is>
          <t>C1135</t>
        </is>
      </c>
      <c r="B143" s="19">
        <f>$B$4-_xlfn.MAXIFS('Clean Data'!$B$2:$B$1565,'Clean Data'!$C$2:$C$1565,$A143)</f>
        <v/>
      </c>
      <c r="C143" s="10">
        <f>COUNTIF('Clean Data'!$C$2:$C$1565,$A143)</f>
        <v/>
      </c>
      <c r="D143" s="20">
        <f>SUMIF('Clean Data'!$C$2:$C$1565,$A143,'Clean Data'!$K$2:$K$1565)</f>
        <v/>
      </c>
      <c r="E143" s="10">
        <f>IF(B143&lt;=$K$6,5,IF(B143&lt;=$K$7,4,IF(B143&lt;=$K$8,3,IF(B143&lt;=$K$9,2,1))))</f>
        <v/>
      </c>
      <c r="F143" s="10">
        <f>IF(C143&gt;=$L$9,5,IF(C143&gt;=$L$8,4,IF(C143&gt;=$L$7,3,IF(C143&gt;=$L$6,2,1))))</f>
        <v/>
      </c>
      <c r="G143" s="10">
        <f>IF(D143&gt;=$M$9,5,IF(D143&gt;=$M$8,4,IF(D143&gt;=$M$7,3,IF(D143&gt;=$M$6,2,1))))</f>
        <v/>
      </c>
      <c r="H143" s="10">
        <f>IF(AND(E143&gt;=4,F143&gt;=4),"Champions",IF(AND(E143&gt;=3,F143&gt;=3),"Loyal",IF(AND(E143&gt;=4,F143&lt;=2),"New customers",IF(AND(E143=3,F143&lt;=2),"Potential",IF(AND(E143&lt;=2,F143&gt;=3),"At risk","Inactive")))))</f>
        <v/>
      </c>
    </row>
    <row r="144">
      <c r="A144" s="10" t="inlineStr">
        <is>
          <t>C1136</t>
        </is>
      </c>
      <c r="B144" s="19">
        <f>$B$4-_xlfn.MAXIFS('Clean Data'!$B$2:$B$1565,'Clean Data'!$C$2:$C$1565,$A144)</f>
        <v/>
      </c>
      <c r="C144" s="10">
        <f>COUNTIF('Clean Data'!$C$2:$C$1565,$A144)</f>
        <v/>
      </c>
      <c r="D144" s="20">
        <f>SUMIF('Clean Data'!$C$2:$C$1565,$A144,'Clean Data'!$K$2:$K$1565)</f>
        <v/>
      </c>
      <c r="E144" s="10">
        <f>IF(B144&lt;=$K$6,5,IF(B144&lt;=$K$7,4,IF(B144&lt;=$K$8,3,IF(B144&lt;=$K$9,2,1))))</f>
        <v/>
      </c>
      <c r="F144" s="10">
        <f>IF(C144&gt;=$L$9,5,IF(C144&gt;=$L$8,4,IF(C144&gt;=$L$7,3,IF(C144&gt;=$L$6,2,1))))</f>
        <v/>
      </c>
      <c r="G144" s="10">
        <f>IF(D144&gt;=$M$9,5,IF(D144&gt;=$M$8,4,IF(D144&gt;=$M$7,3,IF(D144&gt;=$M$6,2,1))))</f>
        <v/>
      </c>
      <c r="H144" s="10">
        <f>IF(AND(E144&gt;=4,F144&gt;=4),"Champions",IF(AND(E144&gt;=3,F144&gt;=3),"Loyal",IF(AND(E144&gt;=4,F144&lt;=2),"New customers",IF(AND(E144=3,F144&lt;=2),"Potential",IF(AND(E144&lt;=2,F144&gt;=3),"At risk","Inactive")))))</f>
        <v/>
      </c>
    </row>
    <row r="145">
      <c r="A145" s="10" t="inlineStr">
        <is>
          <t>C1137</t>
        </is>
      </c>
      <c r="B145" s="19">
        <f>$B$4-_xlfn.MAXIFS('Clean Data'!$B$2:$B$1565,'Clean Data'!$C$2:$C$1565,$A145)</f>
        <v/>
      </c>
      <c r="C145" s="10">
        <f>COUNTIF('Clean Data'!$C$2:$C$1565,$A145)</f>
        <v/>
      </c>
      <c r="D145" s="20">
        <f>SUMIF('Clean Data'!$C$2:$C$1565,$A145,'Clean Data'!$K$2:$K$1565)</f>
        <v/>
      </c>
      <c r="E145" s="10">
        <f>IF(B145&lt;=$K$6,5,IF(B145&lt;=$K$7,4,IF(B145&lt;=$K$8,3,IF(B145&lt;=$K$9,2,1))))</f>
        <v/>
      </c>
      <c r="F145" s="10">
        <f>IF(C145&gt;=$L$9,5,IF(C145&gt;=$L$8,4,IF(C145&gt;=$L$7,3,IF(C145&gt;=$L$6,2,1))))</f>
        <v/>
      </c>
      <c r="G145" s="10">
        <f>IF(D145&gt;=$M$9,5,IF(D145&gt;=$M$8,4,IF(D145&gt;=$M$7,3,IF(D145&gt;=$M$6,2,1))))</f>
        <v/>
      </c>
      <c r="H145" s="10">
        <f>IF(AND(E145&gt;=4,F145&gt;=4),"Champions",IF(AND(E145&gt;=3,F145&gt;=3),"Loyal",IF(AND(E145&gt;=4,F145&lt;=2),"New customers",IF(AND(E145=3,F145&lt;=2),"Potential",IF(AND(E145&lt;=2,F145&gt;=3),"At risk","Inactive")))))</f>
        <v/>
      </c>
    </row>
    <row r="146">
      <c r="A146" s="10" t="inlineStr">
        <is>
          <t>C1138</t>
        </is>
      </c>
      <c r="B146" s="19">
        <f>$B$4-_xlfn.MAXIFS('Clean Data'!$B$2:$B$1565,'Clean Data'!$C$2:$C$1565,$A146)</f>
        <v/>
      </c>
      <c r="C146" s="10">
        <f>COUNTIF('Clean Data'!$C$2:$C$1565,$A146)</f>
        <v/>
      </c>
      <c r="D146" s="20">
        <f>SUMIF('Clean Data'!$C$2:$C$1565,$A146,'Clean Data'!$K$2:$K$1565)</f>
        <v/>
      </c>
      <c r="E146" s="10">
        <f>IF(B146&lt;=$K$6,5,IF(B146&lt;=$K$7,4,IF(B146&lt;=$K$8,3,IF(B146&lt;=$K$9,2,1))))</f>
        <v/>
      </c>
      <c r="F146" s="10">
        <f>IF(C146&gt;=$L$9,5,IF(C146&gt;=$L$8,4,IF(C146&gt;=$L$7,3,IF(C146&gt;=$L$6,2,1))))</f>
        <v/>
      </c>
      <c r="G146" s="10">
        <f>IF(D146&gt;=$M$9,5,IF(D146&gt;=$M$8,4,IF(D146&gt;=$M$7,3,IF(D146&gt;=$M$6,2,1))))</f>
        <v/>
      </c>
      <c r="H146" s="10">
        <f>IF(AND(E146&gt;=4,F146&gt;=4),"Champions",IF(AND(E146&gt;=3,F146&gt;=3),"Loyal",IF(AND(E146&gt;=4,F146&lt;=2),"New customers",IF(AND(E146=3,F146&lt;=2),"Potential",IF(AND(E146&lt;=2,F146&gt;=3),"At risk","Inactive")))))</f>
        <v/>
      </c>
    </row>
    <row r="147">
      <c r="A147" s="10" t="inlineStr">
        <is>
          <t>C1139</t>
        </is>
      </c>
      <c r="B147" s="19">
        <f>$B$4-_xlfn.MAXIFS('Clean Data'!$B$2:$B$1565,'Clean Data'!$C$2:$C$1565,$A147)</f>
        <v/>
      </c>
      <c r="C147" s="10">
        <f>COUNTIF('Clean Data'!$C$2:$C$1565,$A147)</f>
        <v/>
      </c>
      <c r="D147" s="20">
        <f>SUMIF('Clean Data'!$C$2:$C$1565,$A147,'Clean Data'!$K$2:$K$1565)</f>
        <v/>
      </c>
      <c r="E147" s="10">
        <f>IF(B147&lt;=$K$6,5,IF(B147&lt;=$K$7,4,IF(B147&lt;=$K$8,3,IF(B147&lt;=$K$9,2,1))))</f>
        <v/>
      </c>
      <c r="F147" s="10">
        <f>IF(C147&gt;=$L$9,5,IF(C147&gt;=$L$8,4,IF(C147&gt;=$L$7,3,IF(C147&gt;=$L$6,2,1))))</f>
        <v/>
      </c>
      <c r="G147" s="10">
        <f>IF(D147&gt;=$M$9,5,IF(D147&gt;=$M$8,4,IF(D147&gt;=$M$7,3,IF(D147&gt;=$M$6,2,1))))</f>
        <v/>
      </c>
      <c r="H147" s="10">
        <f>IF(AND(E147&gt;=4,F147&gt;=4),"Champions",IF(AND(E147&gt;=3,F147&gt;=3),"Loyal",IF(AND(E147&gt;=4,F147&lt;=2),"New customers",IF(AND(E147=3,F147&lt;=2),"Potential",IF(AND(E147&lt;=2,F147&gt;=3),"At risk","Inactive")))))</f>
        <v/>
      </c>
    </row>
    <row r="148">
      <c r="A148" s="10" t="inlineStr">
        <is>
          <t>C1140</t>
        </is>
      </c>
      <c r="B148" s="19">
        <f>$B$4-_xlfn.MAXIFS('Clean Data'!$B$2:$B$1565,'Clean Data'!$C$2:$C$1565,$A148)</f>
        <v/>
      </c>
      <c r="C148" s="10">
        <f>COUNTIF('Clean Data'!$C$2:$C$1565,$A148)</f>
        <v/>
      </c>
      <c r="D148" s="20">
        <f>SUMIF('Clean Data'!$C$2:$C$1565,$A148,'Clean Data'!$K$2:$K$1565)</f>
        <v/>
      </c>
      <c r="E148" s="10">
        <f>IF(B148&lt;=$K$6,5,IF(B148&lt;=$K$7,4,IF(B148&lt;=$K$8,3,IF(B148&lt;=$K$9,2,1))))</f>
        <v/>
      </c>
      <c r="F148" s="10">
        <f>IF(C148&gt;=$L$9,5,IF(C148&gt;=$L$8,4,IF(C148&gt;=$L$7,3,IF(C148&gt;=$L$6,2,1))))</f>
        <v/>
      </c>
      <c r="G148" s="10">
        <f>IF(D148&gt;=$M$9,5,IF(D148&gt;=$M$8,4,IF(D148&gt;=$M$7,3,IF(D148&gt;=$M$6,2,1))))</f>
        <v/>
      </c>
      <c r="H148" s="10">
        <f>IF(AND(E148&gt;=4,F148&gt;=4),"Champions",IF(AND(E148&gt;=3,F148&gt;=3),"Loyal",IF(AND(E148&gt;=4,F148&lt;=2),"New customers",IF(AND(E148=3,F148&lt;=2),"Potential",IF(AND(E148&lt;=2,F148&gt;=3),"At risk","Inactive")))))</f>
        <v/>
      </c>
    </row>
    <row r="149">
      <c r="A149" s="10" t="inlineStr">
        <is>
          <t>C1141</t>
        </is>
      </c>
      <c r="B149" s="19">
        <f>$B$4-_xlfn.MAXIFS('Clean Data'!$B$2:$B$1565,'Clean Data'!$C$2:$C$1565,$A149)</f>
        <v/>
      </c>
      <c r="C149" s="10">
        <f>COUNTIF('Clean Data'!$C$2:$C$1565,$A149)</f>
        <v/>
      </c>
      <c r="D149" s="20">
        <f>SUMIF('Clean Data'!$C$2:$C$1565,$A149,'Clean Data'!$K$2:$K$1565)</f>
        <v/>
      </c>
      <c r="E149" s="10">
        <f>IF(B149&lt;=$K$6,5,IF(B149&lt;=$K$7,4,IF(B149&lt;=$K$8,3,IF(B149&lt;=$K$9,2,1))))</f>
        <v/>
      </c>
      <c r="F149" s="10">
        <f>IF(C149&gt;=$L$9,5,IF(C149&gt;=$L$8,4,IF(C149&gt;=$L$7,3,IF(C149&gt;=$L$6,2,1))))</f>
        <v/>
      </c>
      <c r="G149" s="10">
        <f>IF(D149&gt;=$M$9,5,IF(D149&gt;=$M$8,4,IF(D149&gt;=$M$7,3,IF(D149&gt;=$M$6,2,1))))</f>
        <v/>
      </c>
      <c r="H149" s="10">
        <f>IF(AND(E149&gt;=4,F149&gt;=4),"Champions",IF(AND(E149&gt;=3,F149&gt;=3),"Loyal",IF(AND(E149&gt;=4,F149&lt;=2),"New customers",IF(AND(E149=3,F149&lt;=2),"Potential",IF(AND(E149&lt;=2,F149&gt;=3),"At risk","Inactive")))))</f>
        <v/>
      </c>
    </row>
    <row r="150">
      <c r="A150" s="10" t="inlineStr">
        <is>
          <t>C1142</t>
        </is>
      </c>
      <c r="B150" s="19">
        <f>$B$4-_xlfn.MAXIFS('Clean Data'!$B$2:$B$1565,'Clean Data'!$C$2:$C$1565,$A150)</f>
        <v/>
      </c>
      <c r="C150" s="10">
        <f>COUNTIF('Clean Data'!$C$2:$C$1565,$A150)</f>
        <v/>
      </c>
      <c r="D150" s="20">
        <f>SUMIF('Clean Data'!$C$2:$C$1565,$A150,'Clean Data'!$K$2:$K$1565)</f>
        <v/>
      </c>
      <c r="E150" s="10">
        <f>IF(B150&lt;=$K$6,5,IF(B150&lt;=$K$7,4,IF(B150&lt;=$K$8,3,IF(B150&lt;=$K$9,2,1))))</f>
        <v/>
      </c>
      <c r="F150" s="10">
        <f>IF(C150&gt;=$L$9,5,IF(C150&gt;=$L$8,4,IF(C150&gt;=$L$7,3,IF(C150&gt;=$L$6,2,1))))</f>
        <v/>
      </c>
      <c r="G150" s="10">
        <f>IF(D150&gt;=$M$9,5,IF(D150&gt;=$M$8,4,IF(D150&gt;=$M$7,3,IF(D150&gt;=$M$6,2,1))))</f>
        <v/>
      </c>
      <c r="H150" s="10">
        <f>IF(AND(E150&gt;=4,F150&gt;=4),"Champions",IF(AND(E150&gt;=3,F150&gt;=3),"Loyal",IF(AND(E150&gt;=4,F150&lt;=2),"New customers",IF(AND(E150=3,F150&lt;=2),"Potential",IF(AND(E150&lt;=2,F150&gt;=3),"At risk","Inactive")))))</f>
        <v/>
      </c>
    </row>
    <row r="151">
      <c r="A151" s="10" t="inlineStr">
        <is>
          <t>C1143</t>
        </is>
      </c>
      <c r="B151" s="19">
        <f>$B$4-_xlfn.MAXIFS('Clean Data'!$B$2:$B$1565,'Clean Data'!$C$2:$C$1565,$A151)</f>
        <v/>
      </c>
      <c r="C151" s="10">
        <f>COUNTIF('Clean Data'!$C$2:$C$1565,$A151)</f>
        <v/>
      </c>
      <c r="D151" s="20">
        <f>SUMIF('Clean Data'!$C$2:$C$1565,$A151,'Clean Data'!$K$2:$K$1565)</f>
        <v/>
      </c>
      <c r="E151" s="10">
        <f>IF(B151&lt;=$K$6,5,IF(B151&lt;=$K$7,4,IF(B151&lt;=$K$8,3,IF(B151&lt;=$K$9,2,1))))</f>
        <v/>
      </c>
      <c r="F151" s="10">
        <f>IF(C151&gt;=$L$9,5,IF(C151&gt;=$L$8,4,IF(C151&gt;=$L$7,3,IF(C151&gt;=$L$6,2,1))))</f>
        <v/>
      </c>
      <c r="G151" s="10">
        <f>IF(D151&gt;=$M$9,5,IF(D151&gt;=$M$8,4,IF(D151&gt;=$M$7,3,IF(D151&gt;=$M$6,2,1))))</f>
        <v/>
      </c>
      <c r="H151" s="10">
        <f>IF(AND(E151&gt;=4,F151&gt;=4),"Champions",IF(AND(E151&gt;=3,F151&gt;=3),"Loyal",IF(AND(E151&gt;=4,F151&lt;=2),"New customers",IF(AND(E151=3,F151&lt;=2),"Potential",IF(AND(E151&lt;=2,F151&gt;=3),"At risk","Inactive")))))</f>
        <v/>
      </c>
    </row>
    <row r="152">
      <c r="A152" s="10" t="inlineStr">
        <is>
          <t>C1144</t>
        </is>
      </c>
      <c r="B152" s="19">
        <f>$B$4-_xlfn.MAXIFS('Clean Data'!$B$2:$B$1565,'Clean Data'!$C$2:$C$1565,$A152)</f>
        <v/>
      </c>
      <c r="C152" s="10">
        <f>COUNTIF('Clean Data'!$C$2:$C$1565,$A152)</f>
        <v/>
      </c>
      <c r="D152" s="20">
        <f>SUMIF('Clean Data'!$C$2:$C$1565,$A152,'Clean Data'!$K$2:$K$1565)</f>
        <v/>
      </c>
      <c r="E152" s="10">
        <f>IF(B152&lt;=$K$6,5,IF(B152&lt;=$K$7,4,IF(B152&lt;=$K$8,3,IF(B152&lt;=$K$9,2,1))))</f>
        <v/>
      </c>
      <c r="F152" s="10">
        <f>IF(C152&gt;=$L$9,5,IF(C152&gt;=$L$8,4,IF(C152&gt;=$L$7,3,IF(C152&gt;=$L$6,2,1))))</f>
        <v/>
      </c>
      <c r="G152" s="10">
        <f>IF(D152&gt;=$M$9,5,IF(D152&gt;=$M$8,4,IF(D152&gt;=$M$7,3,IF(D152&gt;=$M$6,2,1))))</f>
        <v/>
      </c>
      <c r="H152" s="10">
        <f>IF(AND(E152&gt;=4,F152&gt;=4),"Champions",IF(AND(E152&gt;=3,F152&gt;=3),"Loyal",IF(AND(E152&gt;=4,F152&lt;=2),"New customers",IF(AND(E152=3,F152&lt;=2),"Potential",IF(AND(E152&lt;=2,F152&gt;=3),"At risk","Inactive")))))</f>
        <v/>
      </c>
    </row>
    <row r="153">
      <c r="A153" s="10" t="inlineStr">
        <is>
          <t>C1145</t>
        </is>
      </c>
      <c r="B153" s="19">
        <f>$B$4-_xlfn.MAXIFS('Clean Data'!$B$2:$B$1565,'Clean Data'!$C$2:$C$1565,$A153)</f>
        <v/>
      </c>
      <c r="C153" s="10">
        <f>COUNTIF('Clean Data'!$C$2:$C$1565,$A153)</f>
        <v/>
      </c>
      <c r="D153" s="20">
        <f>SUMIF('Clean Data'!$C$2:$C$1565,$A153,'Clean Data'!$K$2:$K$1565)</f>
        <v/>
      </c>
      <c r="E153" s="10">
        <f>IF(B153&lt;=$K$6,5,IF(B153&lt;=$K$7,4,IF(B153&lt;=$K$8,3,IF(B153&lt;=$K$9,2,1))))</f>
        <v/>
      </c>
      <c r="F153" s="10">
        <f>IF(C153&gt;=$L$9,5,IF(C153&gt;=$L$8,4,IF(C153&gt;=$L$7,3,IF(C153&gt;=$L$6,2,1))))</f>
        <v/>
      </c>
      <c r="G153" s="10">
        <f>IF(D153&gt;=$M$9,5,IF(D153&gt;=$M$8,4,IF(D153&gt;=$M$7,3,IF(D153&gt;=$M$6,2,1))))</f>
        <v/>
      </c>
      <c r="H153" s="10">
        <f>IF(AND(E153&gt;=4,F153&gt;=4),"Champions",IF(AND(E153&gt;=3,F153&gt;=3),"Loyal",IF(AND(E153&gt;=4,F153&lt;=2),"New customers",IF(AND(E153=3,F153&lt;=2),"Potential",IF(AND(E153&lt;=2,F153&gt;=3),"At risk","Inactive")))))</f>
        <v/>
      </c>
    </row>
    <row r="154">
      <c r="A154" s="10" t="inlineStr">
        <is>
          <t>C1146</t>
        </is>
      </c>
      <c r="B154" s="19">
        <f>$B$4-_xlfn.MAXIFS('Clean Data'!$B$2:$B$1565,'Clean Data'!$C$2:$C$1565,$A154)</f>
        <v/>
      </c>
      <c r="C154" s="10">
        <f>COUNTIF('Clean Data'!$C$2:$C$1565,$A154)</f>
        <v/>
      </c>
      <c r="D154" s="20">
        <f>SUMIF('Clean Data'!$C$2:$C$1565,$A154,'Clean Data'!$K$2:$K$1565)</f>
        <v/>
      </c>
      <c r="E154" s="10">
        <f>IF(B154&lt;=$K$6,5,IF(B154&lt;=$K$7,4,IF(B154&lt;=$K$8,3,IF(B154&lt;=$K$9,2,1))))</f>
        <v/>
      </c>
      <c r="F154" s="10">
        <f>IF(C154&gt;=$L$9,5,IF(C154&gt;=$L$8,4,IF(C154&gt;=$L$7,3,IF(C154&gt;=$L$6,2,1))))</f>
        <v/>
      </c>
      <c r="G154" s="10">
        <f>IF(D154&gt;=$M$9,5,IF(D154&gt;=$M$8,4,IF(D154&gt;=$M$7,3,IF(D154&gt;=$M$6,2,1))))</f>
        <v/>
      </c>
      <c r="H154" s="10">
        <f>IF(AND(E154&gt;=4,F154&gt;=4),"Champions",IF(AND(E154&gt;=3,F154&gt;=3),"Loyal",IF(AND(E154&gt;=4,F154&lt;=2),"New customers",IF(AND(E154=3,F154&lt;=2),"Potential",IF(AND(E154&lt;=2,F154&gt;=3),"At risk","Inactive")))))</f>
        <v/>
      </c>
    </row>
    <row r="155">
      <c r="A155" s="10" t="inlineStr">
        <is>
          <t>C1147</t>
        </is>
      </c>
      <c r="B155" s="19">
        <f>$B$4-_xlfn.MAXIFS('Clean Data'!$B$2:$B$1565,'Clean Data'!$C$2:$C$1565,$A155)</f>
        <v/>
      </c>
      <c r="C155" s="10">
        <f>COUNTIF('Clean Data'!$C$2:$C$1565,$A155)</f>
        <v/>
      </c>
      <c r="D155" s="20">
        <f>SUMIF('Clean Data'!$C$2:$C$1565,$A155,'Clean Data'!$K$2:$K$1565)</f>
        <v/>
      </c>
      <c r="E155" s="10">
        <f>IF(B155&lt;=$K$6,5,IF(B155&lt;=$K$7,4,IF(B155&lt;=$K$8,3,IF(B155&lt;=$K$9,2,1))))</f>
        <v/>
      </c>
      <c r="F155" s="10">
        <f>IF(C155&gt;=$L$9,5,IF(C155&gt;=$L$8,4,IF(C155&gt;=$L$7,3,IF(C155&gt;=$L$6,2,1))))</f>
        <v/>
      </c>
      <c r="G155" s="10">
        <f>IF(D155&gt;=$M$9,5,IF(D155&gt;=$M$8,4,IF(D155&gt;=$M$7,3,IF(D155&gt;=$M$6,2,1))))</f>
        <v/>
      </c>
      <c r="H155" s="10">
        <f>IF(AND(E155&gt;=4,F155&gt;=4),"Champions",IF(AND(E155&gt;=3,F155&gt;=3),"Loyal",IF(AND(E155&gt;=4,F155&lt;=2),"New customers",IF(AND(E155=3,F155&lt;=2),"Potential",IF(AND(E155&lt;=2,F155&gt;=3),"At risk","Inactive")))))</f>
        <v/>
      </c>
    </row>
    <row r="156">
      <c r="A156" s="10" t="inlineStr">
        <is>
          <t>C1148</t>
        </is>
      </c>
      <c r="B156" s="19">
        <f>$B$4-_xlfn.MAXIFS('Clean Data'!$B$2:$B$1565,'Clean Data'!$C$2:$C$1565,$A156)</f>
        <v/>
      </c>
      <c r="C156" s="10">
        <f>COUNTIF('Clean Data'!$C$2:$C$1565,$A156)</f>
        <v/>
      </c>
      <c r="D156" s="20">
        <f>SUMIF('Clean Data'!$C$2:$C$1565,$A156,'Clean Data'!$K$2:$K$1565)</f>
        <v/>
      </c>
      <c r="E156" s="10">
        <f>IF(B156&lt;=$K$6,5,IF(B156&lt;=$K$7,4,IF(B156&lt;=$K$8,3,IF(B156&lt;=$K$9,2,1))))</f>
        <v/>
      </c>
      <c r="F156" s="10">
        <f>IF(C156&gt;=$L$9,5,IF(C156&gt;=$L$8,4,IF(C156&gt;=$L$7,3,IF(C156&gt;=$L$6,2,1))))</f>
        <v/>
      </c>
      <c r="G156" s="10">
        <f>IF(D156&gt;=$M$9,5,IF(D156&gt;=$M$8,4,IF(D156&gt;=$M$7,3,IF(D156&gt;=$M$6,2,1))))</f>
        <v/>
      </c>
      <c r="H156" s="10">
        <f>IF(AND(E156&gt;=4,F156&gt;=4),"Champions",IF(AND(E156&gt;=3,F156&gt;=3),"Loyal",IF(AND(E156&gt;=4,F156&lt;=2),"New customers",IF(AND(E156=3,F156&lt;=2),"Potential",IF(AND(E156&lt;=2,F156&gt;=3),"At risk","Inactive")))))</f>
        <v/>
      </c>
    </row>
    <row r="157">
      <c r="A157" s="10" t="inlineStr">
        <is>
          <t>C1149</t>
        </is>
      </c>
      <c r="B157" s="19">
        <f>$B$4-_xlfn.MAXIFS('Clean Data'!$B$2:$B$1565,'Clean Data'!$C$2:$C$1565,$A157)</f>
        <v/>
      </c>
      <c r="C157" s="10">
        <f>COUNTIF('Clean Data'!$C$2:$C$1565,$A157)</f>
        <v/>
      </c>
      <c r="D157" s="20">
        <f>SUMIF('Clean Data'!$C$2:$C$1565,$A157,'Clean Data'!$K$2:$K$1565)</f>
        <v/>
      </c>
      <c r="E157" s="10">
        <f>IF(B157&lt;=$K$6,5,IF(B157&lt;=$K$7,4,IF(B157&lt;=$K$8,3,IF(B157&lt;=$K$9,2,1))))</f>
        <v/>
      </c>
      <c r="F157" s="10">
        <f>IF(C157&gt;=$L$9,5,IF(C157&gt;=$L$8,4,IF(C157&gt;=$L$7,3,IF(C157&gt;=$L$6,2,1))))</f>
        <v/>
      </c>
      <c r="G157" s="10">
        <f>IF(D157&gt;=$M$9,5,IF(D157&gt;=$M$8,4,IF(D157&gt;=$M$7,3,IF(D157&gt;=$M$6,2,1))))</f>
        <v/>
      </c>
      <c r="H157" s="10">
        <f>IF(AND(E157&gt;=4,F157&gt;=4),"Champions",IF(AND(E157&gt;=3,F157&gt;=3),"Loyal",IF(AND(E157&gt;=4,F157&lt;=2),"New customers",IF(AND(E157=3,F157&lt;=2),"Potential",IF(AND(E157&lt;=2,F157&gt;=3),"At risk","Inactive")))))</f>
        <v/>
      </c>
    </row>
    <row r="158">
      <c r="A158" s="10" t="inlineStr">
        <is>
          <t>C1150</t>
        </is>
      </c>
      <c r="B158" s="19">
        <f>$B$4-_xlfn.MAXIFS('Clean Data'!$B$2:$B$1565,'Clean Data'!$C$2:$C$1565,$A158)</f>
        <v/>
      </c>
      <c r="C158" s="10">
        <f>COUNTIF('Clean Data'!$C$2:$C$1565,$A158)</f>
        <v/>
      </c>
      <c r="D158" s="20">
        <f>SUMIF('Clean Data'!$C$2:$C$1565,$A158,'Clean Data'!$K$2:$K$1565)</f>
        <v/>
      </c>
      <c r="E158" s="10">
        <f>IF(B158&lt;=$K$6,5,IF(B158&lt;=$K$7,4,IF(B158&lt;=$K$8,3,IF(B158&lt;=$K$9,2,1))))</f>
        <v/>
      </c>
      <c r="F158" s="10">
        <f>IF(C158&gt;=$L$9,5,IF(C158&gt;=$L$8,4,IF(C158&gt;=$L$7,3,IF(C158&gt;=$L$6,2,1))))</f>
        <v/>
      </c>
      <c r="G158" s="10">
        <f>IF(D158&gt;=$M$9,5,IF(D158&gt;=$M$8,4,IF(D158&gt;=$M$7,3,IF(D158&gt;=$M$6,2,1))))</f>
        <v/>
      </c>
      <c r="H158" s="10">
        <f>IF(AND(E158&gt;=4,F158&gt;=4),"Champions",IF(AND(E158&gt;=3,F158&gt;=3),"Loyal",IF(AND(E158&gt;=4,F158&lt;=2),"New customers",IF(AND(E158=3,F158&lt;=2),"Potential",IF(AND(E158&lt;=2,F158&gt;=3),"At risk","Inactive")))))</f>
        <v/>
      </c>
    </row>
    <row r="159">
      <c r="A159" s="10" t="inlineStr">
        <is>
          <t>C1151</t>
        </is>
      </c>
      <c r="B159" s="19">
        <f>$B$4-_xlfn.MAXIFS('Clean Data'!$B$2:$B$1565,'Clean Data'!$C$2:$C$1565,$A159)</f>
        <v/>
      </c>
      <c r="C159" s="10">
        <f>COUNTIF('Clean Data'!$C$2:$C$1565,$A159)</f>
        <v/>
      </c>
      <c r="D159" s="20">
        <f>SUMIF('Clean Data'!$C$2:$C$1565,$A159,'Clean Data'!$K$2:$K$1565)</f>
        <v/>
      </c>
      <c r="E159" s="10">
        <f>IF(B159&lt;=$K$6,5,IF(B159&lt;=$K$7,4,IF(B159&lt;=$K$8,3,IF(B159&lt;=$K$9,2,1))))</f>
        <v/>
      </c>
      <c r="F159" s="10">
        <f>IF(C159&gt;=$L$9,5,IF(C159&gt;=$L$8,4,IF(C159&gt;=$L$7,3,IF(C159&gt;=$L$6,2,1))))</f>
        <v/>
      </c>
      <c r="G159" s="10">
        <f>IF(D159&gt;=$M$9,5,IF(D159&gt;=$M$8,4,IF(D159&gt;=$M$7,3,IF(D159&gt;=$M$6,2,1))))</f>
        <v/>
      </c>
      <c r="H159" s="10">
        <f>IF(AND(E159&gt;=4,F159&gt;=4),"Champions",IF(AND(E159&gt;=3,F159&gt;=3),"Loyal",IF(AND(E159&gt;=4,F159&lt;=2),"New customers",IF(AND(E159=3,F159&lt;=2),"Potential",IF(AND(E159&lt;=2,F159&gt;=3),"At risk","Inactive")))))</f>
        <v/>
      </c>
    </row>
    <row r="160">
      <c r="A160" s="10" t="inlineStr">
        <is>
          <t>C1152</t>
        </is>
      </c>
      <c r="B160" s="19">
        <f>$B$4-_xlfn.MAXIFS('Clean Data'!$B$2:$B$1565,'Clean Data'!$C$2:$C$1565,$A160)</f>
        <v/>
      </c>
      <c r="C160" s="10">
        <f>COUNTIF('Clean Data'!$C$2:$C$1565,$A160)</f>
        <v/>
      </c>
      <c r="D160" s="20">
        <f>SUMIF('Clean Data'!$C$2:$C$1565,$A160,'Clean Data'!$K$2:$K$1565)</f>
        <v/>
      </c>
      <c r="E160" s="10">
        <f>IF(B160&lt;=$K$6,5,IF(B160&lt;=$K$7,4,IF(B160&lt;=$K$8,3,IF(B160&lt;=$K$9,2,1))))</f>
        <v/>
      </c>
      <c r="F160" s="10">
        <f>IF(C160&gt;=$L$9,5,IF(C160&gt;=$L$8,4,IF(C160&gt;=$L$7,3,IF(C160&gt;=$L$6,2,1))))</f>
        <v/>
      </c>
      <c r="G160" s="10">
        <f>IF(D160&gt;=$M$9,5,IF(D160&gt;=$M$8,4,IF(D160&gt;=$M$7,3,IF(D160&gt;=$M$6,2,1))))</f>
        <v/>
      </c>
      <c r="H160" s="10">
        <f>IF(AND(E160&gt;=4,F160&gt;=4),"Champions",IF(AND(E160&gt;=3,F160&gt;=3),"Loyal",IF(AND(E160&gt;=4,F160&lt;=2),"New customers",IF(AND(E160=3,F160&lt;=2),"Potential",IF(AND(E160&lt;=2,F160&gt;=3),"At risk","Inactive")))))</f>
        <v/>
      </c>
    </row>
    <row r="161">
      <c r="A161" s="10" t="inlineStr">
        <is>
          <t>C1153</t>
        </is>
      </c>
      <c r="B161" s="19">
        <f>$B$4-_xlfn.MAXIFS('Clean Data'!$B$2:$B$1565,'Clean Data'!$C$2:$C$1565,$A161)</f>
        <v/>
      </c>
      <c r="C161" s="10">
        <f>COUNTIF('Clean Data'!$C$2:$C$1565,$A161)</f>
        <v/>
      </c>
      <c r="D161" s="20">
        <f>SUMIF('Clean Data'!$C$2:$C$1565,$A161,'Clean Data'!$K$2:$K$1565)</f>
        <v/>
      </c>
      <c r="E161" s="10">
        <f>IF(B161&lt;=$K$6,5,IF(B161&lt;=$K$7,4,IF(B161&lt;=$K$8,3,IF(B161&lt;=$K$9,2,1))))</f>
        <v/>
      </c>
      <c r="F161" s="10">
        <f>IF(C161&gt;=$L$9,5,IF(C161&gt;=$L$8,4,IF(C161&gt;=$L$7,3,IF(C161&gt;=$L$6,2,1))))</f>
        <v/>
      </c>
      <c r="G161" s="10">
        <f>IF(D161&gt;=$M$9,5,IF(D161&gt;=$M$8,4,IF(D161&gt;=$M$7,3,IF(D161&gt;=$M$6,2,1))))</f>
        <v/>
      </c>
      <c r="H161" s="10">
        <f>IF(AND(E161&gt;=4,F161&gt;=4),"Champions",IF(AND(E161&gt;=3,F161&gt;=3),"Loyal",IF(AND(E161&gt;=4,F161&lt;=2),"New customers",IF(AND(E161=3,F161&lt;=2),"Potential",IF(AND(E161&lt;=2,F161&gt;=3),"At risk","Inactive")))))</f>
        <v/>
      </c>
    </row>
    <row r="162">
      <c r="A162" s="10" t="inlineStr">
        <is>
          <t>C1154</t>
        </is>
      </c>
      <c r="B162" s="19">
        <f>$B$4-_xlfn.MAXIFS('Clean Data'!$B$2:$B$1565,'Clean Data'!$C$2:$C$1565,$A162)</f>
        <v/>
      </c>
      <c r="C162" s="10">
        <f>COUNTIF('Clean Data'!$C$2:$C$1565,$A162)</f>
        <v/>
      </c>
      <c r="D162" s="20">
        <f>SUMIF('Clean Data'!$C$2:$C$1565,$A162,'Clean Data'!$K$2:$K$1565)</f>
        <v/>
      </c>
      <c r="E162" s="10">
        <f>IF(B162&lt;=$K$6,5,IF(B162&lt;=$K$7,4,IF(B162&lt;=$K$8,3,IF(B162&lt;=$K$9,2,1))))</f>
        <v/>
      </c>
      <c r="F162" s="10">
        <f>IF(C162&gt;=$L$9,5,IF(C162&gt;=$L$8,4,IF(C162&gt;=$L$7,3,IF(C162&gt;=$L$6,2,1))))</f>
        <v/>
      </c>
      <c r="G162" s="10">
        <f>IF(D162&gt;=$M$9,5,IF(D162&gt;=$M$8,4,IF(D162&gt;=$M$7,3,IF(D162&gt;=$M$6,2,1))))</f>
        <v/>
      </c>
      <c r="H162" s="10">
        <f>IF(AND(E162&gt;=4,F162&gt;=4),"Champions",IF(AND(E162&gt;=3,F162&gt;=3),"Loyal",IF(AND(E162&gt;=4,F162&lt;=2),"New customers",IF(AND(E162=3,F162&lt;=2),"Potential",IF(AND(E162&lt;=2,F162&gt;=3),"At risk","Inactive")))))</f>
        <v/>
      </c>
    </row>
    <row r="163">
      <c r="A163" s="10" t="inlineStr">
        <is>
          <t>C1155</t>
        </is>
      </c>
      <c r="B163" s="19">
        <f>$B$4-_xlfn.MAXIFS('Clean Data'!$B$2:$B$1565,'Clean Data'!$C$2:$C$1565,$A163)</f>
        <v/>
      </c>
      <c r="C163" s="10">
        <f>COUNTIF('Clean Data'!$C$2:$C$1565,$A163)</f>
        <v/>
      </c>
      <c r="D163" s="20">
        <f>SUMIF('Clean Data'!$C$2:$C$1565,$A163,'Clean Data'!$K$2:$K$1565)</f>
        <v/>
      </c>
      <c r="E163" s="10">
        <f>IF(B163&lt;=$K$6,5,IF(B163&lt;=$K$7,4,IF(B163&lt;=$K$8,3,IF(B163&lt;=$K$9,2,1))))</f>
        <v/>
      </c>
      <c r="F163" s="10">
        <f>IF(C163&gt;=$L$9,5,IF(C163&gt;=$L$8,4,IF(C163&gt;=$L$7,3,IF(C163&gt;=$L$6,2,1))))</f>
        <v/>
      </c>
      <c r="G163" s="10">
        <f>IF(D163&gt;=$M$9,5,IF(D163&gt;=$M$8,4,IF(D163&gt;=$M$7,3,IF(D163&gt;=$M$6,2,1))))</f>
        <v/>
      </c>
      <c r="H163" s="10">
        <f>IF(AND(E163&gt;=4,F163&gt;=4),"Champions",IF(AND(E163&gt;=3,F163&gt;=3),"Loyal",IF(AND(E163&gt;=4,F163&lt;=2),"New customers",IF(AND(E163=3,F163&lt;=2),"Potential",IF(AND(E163&lt;=2,F163&gt;=3),"At risk","Inactive")))))</f>
        <v/>
      </c>
    </row>
    <row r="164">
      <c r="A164" s="10" t="inlineStr">
        <is>
          <t>C1156</t>
        </is>
      </c>
      <c r="B164" s="19">
        <f>$B$4-_xlfn.MAXIFS('Clean Data'!$B$2:$B$1565,'Clean Data'!$C$2:$C$1565,$A164)</f>
        <v/>
      </c>
      <c r="C164" s="10">
        <f>COUNTIF('Clean Data'!$C$2:$C$1565,$A164)</f>
        <v/>
      </c>
      <c r="D164" s="20">
        <f>SUMIF('Clean Data'!$C$2:$C$1565,$A164,'Clean Data'!$K$2:$K$1565)</f>
        <v/>
      </c>
      <c r="E164" s="10">
        <f>IF(B164&lt;=$K$6,5,IF(B164&lt;=$K$7,4,IF(B164&lt;=$K$8,3,IF(B164&lt;=$K$9,2,1))))</f>
        <v/>
      </c>
      <c r="F164" s="10">
        <f>IF(C164&gt;=$L$9,5,IF(C164&gt;=$L$8,4,IF(C164&gt;=$L$7,3,IF(C164&gt;=$L$6,2,1))))</f>
        <v/>
      </c>
      <c r="G164" s="10">
        <f>IF(D164&gt;=$M$9,5,IF(D164&gt;=$M$8,4,IF(D164&gt;=$M$7,3,IF(D164&gt;=$M$6,2,1))))</f>
        <v/>
      </c>
      <c r="H164" s="10">
        <f>IF(AND(E164&gt;=4,F164&gt;=4),"Champions",IF(AND(E164&gt;=3,F164&gt;=3),"Loyal",IF(AND(E164&gt;=4,F164&lt;=2),"New customers",IF(AND(E164=3,F164&lt;=2),"Potential",IF(AND(E164&lt;=2,F164&gt;=3),"At risk","Inactive")))))</f>
        <v/>
      </c>
    </row>
    <row r="165">
      <c r="A165" s="10" t="inlineStr">
        <is>
          <t>C1157</t>
        </is>
      </c>
      <c r="B165" s="19">
        <f>$B$4-_xlfn.MAXIFS('Clean Data'!$B$2:$B$1565,'Clean Data'!$C$2:$C$1565,$A165)</f>
        <v/>
      </c>
      <c r="C165" s="10">
        <f>COUNTIF('Clean Data'!$C$2:$C$1565,$A165)</f>
        <v/>
      </c>
      <c r="D165" s="20">
        <f>SUMIF('Clean Data'!$C$2:$C$1565,$A165,'Clean Data'!$K$2:$K$1565)</f>
        <v/>
      </c>
      <c r="E165" s="10">
        <f>IF(B165&lt;=$K$6,5,IF(B165&lt;=$K$7,4,IF(B165&lt;=$K$8,3,IF(B165&lt;=$K$9,2,1))))</f>
        <v/>
      </c>
      <c r="F165" s="10">
        <f>IF(C165&gt;=$L$9,5,IF(C165&gt;=$L$8,4,IF(C165&gt;=$L$7,3,IF(C165&gt;=$L$6,2,1))))</f>
        <v/>
      </c>
      <c r="G165" s="10">
        <f>IF(D165&gt;=$M$9,5,IF(D165&gt;=$M$8,4,IF(D165&gt;=$M$7,3,IF(D165&gt;=$M$6,2,1))))</f>
        <v/>
      </c>
      <c r="H165" s="10">
        <f>IF(AND(E165&gt;=4,F165&gt;=4),"Champions",IF(AND(E165&gt;=3,F165&gt;=3),"Loyal",IF(AND(E165&gt;=4,F165&lt;=2),"New customers",IF(AND(E165=3,F165&lt;=2),"Potential",IF(AND(E165&lt;=2,F165&gt;=3),"At risk","Inactive")))))</f>
        <v/>
      </c>
    </row>
    <row r="166">
      <c r="A166" s="10" t="inlineStr">
        <is>
          <t>C1158</t>
        </is>
      </c>
      <c r="B166" s="19">
        <f>$B$4-_xlfn.MAXIFS('Clean Data'!$B$2:$B$1565,'Clean Data'!$C$2:$C$1565,$A166)</f>
        <v/>
      </c>
      <c r="C166" s="10">
        <f>COUNTIF('Clean Data'!$C$2:$C$1565,$A166)</f>
        <v/>
      </c>
      <c r="D166" s="20">
        <f>SUMIF('Clean Data'!$C$2:$C$1565,$A166,'Clean Data'!$K$2:$K$1565)</f>
        <v/>
      </c>
      <c r="E166" s="10">
        <f>IF(B166&lt;=$K$6,5,IF(B166&lt;=$K$7,4,IF(B166&lt;=$K$8,3,IF(B166&lt;=$K$9,2,1))))</f>
        <v/>
      </c>
      <c r="F166" s="10">
        <f>IF(C166&gt;=$L$9,5,IF(C166&gt;=$L$8,4,IF(C166&gt;=$L$7,3,IF(C166&gt;=$L$6,2,1))))</f>
        <v/>
      </c>
      <c r="G166" s="10">
        <f>IF(D166&gt;=$M$9,5,IF(D166&gt;=$M$8,4,IF(D166&gt;=$M$7,3,IF(D166&gt;=$M$6,2,1))))</f>
        <v/>
      </c>
      <c r="H166" s="10">
        <f>IF(AND(E166&gt;=4,F166&gt;=4),"Champions",IF(AND(E166&gt;=3,F166&gt;=3),"Loyal",IF(AND(E166&gt;=4,F166&lt;=2),"New customers",IF(AND(E166=3,F166&lt;=2),"Potential",IF(AND(E166&lt;=2,F166&gt;=3),"At risk","Inactive")))))</f>
        <v/>
      </c>
    </row>
    <row r="167">
      <c r="A167" s="10" t="inlineStr">
        <is>
          <t>C1159</t>
        </is>
      </c>
      <c r="B167" s="19">
        <f>$B$4-_xlfn.MAXIFS('Clean Data'!$B$2:$B$1565,'Clean Data'!$C$2:$C$1565,$A167)</f>
        <v/>
      </c>
      <c r="C167" s="10">
        <f>COUNTIF('Clean Data'!$C$2:$C$1565,$A167)</f>
        <v/>
      </c>
      <c r="D167" s="20">
        <f>SUMIF('Clean Data'!$C$2:$C$1565,$A167,'Clean Data'!$K$2:$K$1565)</f>
        <v/>
      </c>
      <c r="E167" s="10">
        <f>IF(B167&lt;=$K$6,5,IF(B167&lt;=$K$7,4,IF(B167&lt;=$K$8,3,IF(B167&lt;=$K$9,2,1))))</f>
        <v/>
      </c>
      <c r="F167" s="10">
        <f>IF(C167&gt;=$L$9,5,IF(C167&gt;=$L$8,4,IF(C167&gt;=$L$7,3,IF(C167&gt;=$L$6,2,1))))</f>
        <v/>
      </c>
      <c r="G167" s="10">
        <f>IF(D167&gt;=$M$9,5,IF(D167&gt;=$M$8,4,IF(D167&gt;=$M$7,3,IF(D167&gt;=$M$6,2,1))))</f>
        <v/>
      </c>
      <c r="H167" s="10">
        <f>IF(AND(E167&gt;=4,F167&gt;=4),"Champions",IF(AND(E167&gt;=3,F167&gt;=3),"Loyal",IF(AND(E167&gt;=4,F167&lt;=2),"New customers",IF(AND(E167=3,F167&lt;=2),"Potential",IF(AND(E167&lt;=2,F167&gt;=3),"At risk","Inactive")))))</f>
        <v/>
      </c>
    </row>
    <row r="168">
      <c r="A168" s="10" t="inlineStr">
        <is>
          <t>C1160</t>
        </is>
      </c>
      <c r="B168" s="19">
        <f>$B$4-_xlfn.MAXIFS('Clean Data'!$B$2:$B$1565,'Clean Data'!$C$2:$C$1565,$A168)</f>
        <v/>
      </c>
      <c r="C168" s="10">
        <f>COUNTIF('Clean Data'!$C$2:$C$1565,$A168)</f>
        <v/>
      </c>
      <c r="D168" s="20">
        <f>SUMIF('Clean Data'!$C$2:$C$1565,$A168,'Clean Data'!$K$2:$K$1565)</f>
        <v/>
      </c>
      <c r="E168" s="10">
        <f>IF(B168&lt;=$K$6,5,IF(B168&lt;=$K$7,4,IF(B168&lt;=$K$8,3,IF(B168&lt;=$K$9,2,1))))</f>
        <v/>
      </c>
      <c r="F168" s="10">
        <f>IF(C168&gt;=$L$9,5,IF(C168&gt;=$L$8,4,IF(C168&gt;=$L$7,3,IF(C168&gt;=$L$6,2,1))))</f>
        <v/>
      </c>
      <c r="G168" s="10">
        <f>IF(D168&gt;=$M$9,5,IF(D168&gt;=$M$8,4,IF(D168&gt;=$M$7,3,IF(D168&gt;=$M$6,2,1))))</f>
        <v/>
      </c>
      <c r="H168" s="10">
        <f>IF(AND(E168&gt;=4,F168&gt;=4),"Champions",IF(AND(E168&gt;=3,F168&gt;=3),"Loyal",IF(AND(E168&gt;=4,F168&lt;=2),"New customers",IF(AND(E168=3,F168&lt;=2),"Potential",IF(AND(E168&lt;=2,F168&gt;=3),"At risk","Inactive")))))</f>
        <v/>
      </c>
    </row>
    <row r="169">
      <c r="A169" s="10" t="inlineStr">
        <is>
          <t>C1161</t>
        </is>
      </c>
      <c r="B169" s="19">
        <f>$B$4-_xlfn.MAXIFS('Clean Data'!$B$2:$B$1565,'Clean Data'!$C$2:$C$1565,$A169)</f>
        <v/>
      </c>
      <c r="C169" s="10">
        <f>COUNTIF('Clean Data'!$C$2:$C$1565,$A169)</f>
        <v/>
      </c>
      <c r="D169" s="20">
        <f>SUMIF('Clean Data'!$C$2:$C$1565,$A169,'Clean Data'!$K$2:$K$1565)</f>
        <v/>
      </c>
      <c r="E169" s="10">
        <f>IF(B169&lt;=$K$6,5,IF(B169&lt;=$K$7,4,IF(B169&lt;=$K$8,3,IF(B169&lt;=$K$9,2,1))))</f>
        <v/>
      </c>
      <c r="F169" s="10">
        <f>IF(C169&gt;=$L$9,5,IF(C169&gt;=$L$8,4,IF(C169&gt;=$L$7,3,IF(C169&gt;=$L$6,2,1))))</f>
        <v/>
      </c>
      <c r="G169" s="10">
        <f>IF(D169&gt;=$M$9,5,IF(D169&gt;=$M$8,4,IF(D169&gt;=$M$7,3,IF(D169&gt;=$M$6,2,1))))</f>
        <v/>
      </c>
      <c r="H169" s="10">
        <f>IF(AND(E169&gt;=4,F169&gt;=4),"Champions",IF(AND(E169&gt;=3,F169&gt;=3),"Loyal",IF(AND(E169&gt;=4,F169&lt;=2),"New customers",IF(AND(E169=3,F169&lt;=2),"Potential",IF(AND(E169&lt;=2,F169&gt;=3),"At risk","Inactive")))))</f>
        <v/>
      </c>
    </row>
    <row r="170">
      <c r="A170" s="10" t="inlineStr">
        <is>
          <t>C1162</t>
        </is>
      </c>
      <c r="B170" s="19">
        <f>$B$4-_xlfn.MAXIFS('Clean Data'!$B$2:$B$1565,'Clean Data'!$C$2:$C$1565,$A170)</f>
        <v/>
      </c>
      <c r="C170" s="10">
        <f>COUNTIF('Clean Data'!$C$2:$C$1565,$A170)</f>
        <v/>
      </c>
      <c r="D170" s="20">
        <f>SUMIF('Clean Data'!$C$2:$C$1565,$A170,'Clean Data'!$K$2:$K$1565)</f>
        <v/>
      </c>
      <c r="E170" s="10">
        <f>IF(B170&lt;=$K$6,5,IF(B170&lt;=$K$7,4,IF(B170&lt;=$K$8,3,IF(B170&lt;=$K$9,2,1))))</f>
        <v/>
      </c>
      <c r="F170" s="10">
        <f>IF(C170&gt;=$L$9,5,IF(C170&gt;=$L$8,4,IF(C170&gt;=$L$7,3,IF(C170&gt;=$L$6,2,1))))</f>
        <v/>
      </c>
      <c r="G170" s="10">
        <f>IF(D170&gt;=$M$9,5,IF(D170&gt;=$M$8,4,IF(D170&gt;=$M$7,3,IF(D170&gt;=$M$6,2,1))))</f>
        <v/>
      </c>
      <c r="H170" s="10">
        <f>IF(AND(E170&gt;=4,F170&gt;=4),"Champions",IF(AND(E170&gt;=3,F170&gt;=3),"Loyal",IF(AND(E170&gt;=4,F170&lt;=2),"New customers",IF(AND(E170=3,F170&lt;=2),"Potential",IF(AND(E170&lt;=2,F170&gt;=3),"At risk","Inactive")))))</f>
        <v/>
      </c>
    </row>
    <row r="171">
      <c r="A171" s="10" t="inlineStr">
        <is>
          <t>C1163</t>
        </is>
      </c>
      <c r="B171" s="19">
        <f>$B$4-_xlfn.MAXIFS('Clean Data'!$B$2:$B$1565,'Clean Data'!$C$2:$C$1565,$A171)</f>
        <v/>
      </c>
      <c r="C171" s="10">
        <f>COUNTIF('Clean Data'!$C$2:$C$1565,$A171)</f>
        <v/>
      </c>
      <c r="D171" s="20">
        <f>SUMIF('Clean Data'!$C$2:$C$1565,$A171,'Clean Data'!$K$2:$K$1565)</f>
        <v/>
      </c>
      <c r="E171" s="10">
        <f>IF(B171&lt;=$K$6,5,IF(B171&lt;=$K$7,4,IF(B171&lt;=$K$8,3,IF(B171&lt;=$K$9,2,1))))</f>
        <v/>
      </c>
      <c r="F171" s="10">
        <f>IF(C171&gt;=$L$9,5,IF(C171&gt;=$L$8,4,IF(C171&gt;=$L$7,3,IF(C171&gt;=$L$6,2,1))))</f>
        <v/>
      </c>
      <c r="G171" s="10">
        <f>IF(D171&gt;=$M$9,5,IF(D171&gt;=$M$8,4,IF(D171&gt;=$M$7,3,IF(D171&gt;=$M$6,2,1))))</f>
        <v/>
      </c>
      <c r="H171" s="10">
        <f>IF(AND(E171&gt;=4,F171&gt;=4),"Champions",IF(AND(E171&gt;=3,F171&gt;=3),"Loyal",IF(AND(E171&gt;=4,F171&lt;=2),"New customers",IF(AND(E171=3,F171&lt;=2),"Potential",IF(AND(E171&lt;=2,F171&gt;=3),"At risk","Inactive")))))</f>
        <v/>
      </c>
    </row>
    <row r="172">
      <c r="A172" s="10" t="inlineStr">
        <is>
          <t>C1164</t>
        </is>
      </c>
      <c r="B172" s="19">
        <f>$B$4-_xlfn.MAXIFS('Clean Data'!$B$2:$B$1565,'Clean Data'!$C$2:$C$1565,$A172)</f>
        <v/>
      </c>
      <c r="C172" s="10">
        <f>COUNTIF('Clean Data'!$C$2:$C$1565,$A172)</f>
        <v/>
      </c>
      <c r="D172" s="20">
        <f>SUMIF('Clean Data'!$C$2:$C$1565,$A172,'Clean Data'!$K$2:$K$1565)</f>
        <v/>
      </c>
      <c r="E172" s="10">
        <f>IF(B172&lt;=$K$6,5,IF(B172&lt;=$K$7,4,IF(B172&lt;=$K$8,3,IF(B172&lt;=$K$9,2,1))))</f>
        <v/>
      </c>
      <c r="F172" s="10">
        <f>IF(C172&gt;=$L$9,5,IF(C172&gt;=$L$8,4,IF(C172&gt;=$L$7,3,IF(C172&gt;=$L$6,2,1))))</f>
        <v/>
      </c>
      <c r="G172" s="10">
        <f>IF(D172&gt;=$M$9,5,IF(D172&gt;=$M$8,4,IF(D172&gt;=$M$7,3,IF(D172&gt;=$M$6,2,1))))</f>
        <v/>
      </c>
      <c r="H172" s="10">
        <f>IF(AND(E172&gt;=4,F172&gt;=4),"Champions",IF(AND(E172&gt;=3,F172&gt;=3),"Loyal",IF(AND(E172&gt;=4,F172&lt;=2),"New customers",IF(AND(E172=3,F172&lt;=2),"Potential",IF(AND(E172&lt;=2,F172&gt;=3),"At risk","Inactive")))))</f>
        <v/>
      </c>
    </row>
    <row r="173">
      <c r="A173" s="10" t="inlineStr">
        <is>
          <t>C1165</t>
        </is>
      </c>
      <c r="B173" s="19">
        <f>$B$4-_xlfn.MAXIFS('Clean Data'!$B$2:$B$1565,'Clean Data'!$C$2:$C$1565,$A173)</f>
        <v/>
      </c>
      <c r="C173" s="10">
        <f>COUNTIF('Clean Data'!$C$2:$C$1565,$A173)</f>
        <v/>
      </c>
      <c r="D173" s="20">
        <f>SUMIF('Clean Data'!$C$2:$C$1565,$A173,'Clean Data'!$K$2:$K$1565)</f>
        <v/>
      </c>
      <c r="E173" s="10">
        <f>IF(B173&lt;=$K$6,5,IF(B173&lt;=$K$7,4,IF(B173&lt;=$K$8,3,IF(B173&lt;=$K$9,2,1))))</f>
        <v/>
      </c>
      <c r="F173" s="10">
        <f>IF(C173&gt;=$L$9,5,IF(C173&gt;=$L$8,4,IF(C173&gt;=$L$7,3,IF(C173&gt;=$L$6,2,1))))</f>
        <v/>
      </c>
      <c r="G173" s="10">
        <f>IF(D173&gt;=$M$9,5,IF(D173&gt;=$M$8,4,IF(D173&gt;=$M$7,3,IF(D173&gt;=$M$6,2,1))))</f>
        <v/>
      </c>
      <c r="H173" s="10">
        <f>IF(AND(E173&gt;=4,F173&gt;=4),"Champions",IF(AND(E173&gt;=3,F173&gt;=3),"Loyal",IF(AND(E173&gt;=4,F173&lt;=2),"New customers",IF(AND(E173=3,F173&lt;=2),"Potential",IF(AND(E173&lt;=2,F173&gt;=3),"At risk","Inactive")))))</f>
        <v/>
      </c>
    </row>
    <row r="174">
      <c r="A174" s="10" t="inlineStr">
        <is>
          <t>C1166</t>
        </is>
      </c>
      <c r="B174" s="19">
        <f>$B$4-_xlfn.MAXIFS('Clean Data'!$B$2:$B$1565,'Clean Data'!$C$2:$C$1565,$A174)</f>
        <v/>
      </c>
      <c r="C174" s="10">
        <f>COUNTIF('Clean Data'!$C$2:$C$1565,$A174)</f>
        <v/>
      </c>
      <c r="D174" s="20">
        <f>SUMIF('Clean Data'!$C$2:$C$1565,$A174,'Clean Data'!$K$2:$K$1565)</f>
        <v/>
      </c>
      <c r="E174" s="10">
        <f>IF(B174&lt;=$K$6,5,IF(B174&lt;=$K$7,4,IF(B174&lt;=$K$8,3,IF(B174&lt;=$K$9,2,1))))</f>
        <v/>
      </c>
      <c r="F174" s="10">
        <f>IF(C174&gt;=$L$9,5,IF(C174&gt;=$L$8,4,IF(C174&gt;=$L$7,3,IF(C174&gt;=$L$6,2,1))))</f>
        <v/>
      </c>
      <c r="G174" s="10">
        <f>IF(D174&gt;=$M$9,5,IF(D174&gt;=$M$8,4,IF(D174&gt;=$M$7,3,IF(D174&gt;=$M$6,2,1))))</f>
        <v/>
      </c>
      <c r="H174" s="10">
        <f>IF(AND(E174&gt;=4,F174&gt;=4),"Champions",IF(AND(E174&gt;=3,F174&gt;=3),"Loyal",IF(AND(E174&gt;=4,F174&lt;=2),"New customers",IF(AND(E174=3,F174&lt;=2),"Potential",IF(AND(E174&lt;=2,F174&gt;=3),"At risk","Inactive")))))</f>
        <v/>
      </c>
    </row>
    <row r="175">
      <c r="A175" s="10" t="inlineStr">
        <is>
          <t>C1167</t>
        </is>
      </c>
      <c r="B175" s="19">
        <f>$B$4-_xlfn.MAXIFS('Clean Data'!$B$2:$B$1565,'Clean Data'!$C$2:$C$1565,$A175)</f>
        <v/>
      </c>
      <c r="C175" s="10">
        <f>COUNTIF('Clean Data'!$C$2:$C$1565,$A175)</f>
        <v/>
      </c>
      <c r="D175" s="20">
        <f>SUMIF('Clean Data'!$C$2:$C$1565,$A175,'Clean Data'!$K$2:$K$1565)</f>
        <v/>
      </c>
      <c r="E175" s="10">
        <f>IF(B175&lt;=$K$6,5,IF(B175&lt;=$K$7,4,IF(B175&lt;=$K$8,3,IF(B175&lt;=$K$9,2,1))))</f>
        <v/>
      </c>
      <c r="F175" s="10">
        <f>IF(C175&gt;=$L$9,5,IF(C175&gt;=$L$8,4,IF(C175&gt;=$L$7,3,IF(C175&gt;=$L$6,2,1))))</f>
        <v/>
      </c>
      <c r="G175" s="10">
        <f>IF(D175&gt;=$M$9,5,IF(D175&gt;=$M$8,4,IF(D175&gt;=$M$7,3,IF(D175&gt;=$M$6,2,1))))</f>
        <v/>
      </c>
      <c r="H175" s="10">
        <f>IF(AND(E175&gt;=4,F175&gt;=4),"Champions",IF(AND(E175&gt;=3,F175&gt;=3),"Loyal",IF(AND(E175&gt;=4,F175&lt;=2),"New customers",IF(AND(E175=3,F175&lt;=2),"Potential",IF(AND(E175&lt;=2,F175&gt;=3),"At risk","Inactive")))))</f>
        <v/>
      </c>
    </row>
    <row r="176">
      <c r="A176" s="10" t="inlineStr">
        <is>
          <t>C1168</t>
        </is>
      </c>
      <c r="B176" s="19">
        <f>$B$4-_xlfn.MAXIFS('Clean Data'!$B$2:$B$1565,'Clean Data'!$C$2:$C$1565,$A176)</f>
        <v/>
      </c>
      <c r="C176" s="10">
        <f>COUNTIF('Clean Data'!$C$2:$C$1565,$A176)</f>
        <v/>
      </c>
      <c r="D176" s="20">
        <f>SUMIF('Clean Data'!$C$2:$C$1565,$A176,'Clean Data'!$K$2:$K$1565)</f>
        <v/>
      </c>
      <c r="E176" s="10">
        <f>IF(B176&lt;=$K$6,5,IF(B176&lt;=$K$7,4,IF(B176&lt;=$K$8,3,IF(B176&lt;=$K$9,2,1))))</f>
        <v/>
      </c>
      <c r="F176" s="10">
        <f>IF(C176&gt;=$L$9,5,IF(C176&gt;=$L$8,4,IF(C176&gt;=$L$7,3,IF(C176&gt;=$L$6,2,1))))</f>
        <v/>
      </c>
      <c r="G176" s="10">
        <f>IF(D176&gt;=$M$9,5,IF(D176&gt;=$M$8,4,IF(D176&gt;=$M$7,3,IF(D176&gt;=$M$6,2,1))))</f>
        <v/>
      </c>
      <c r="H176" s="10">
        <f>IF(AND(E176&gt;=4,F176&gt;=4),"Champions",IF(AND(E176&gt;=3,F176&gt;=3),"Loyal",IF(AND(E176&gt;=4,F176&lt;=2),"New customers",IF(AND(E176=3,F176&lt;=2),"Potential",IF(AND(E176&lt;=2,F176&gt;=3),"At risk","Inactive")))))</f>
        <v/>
      </c>
    </row>
    <row r="177">
      <c r="A177" s="10" t="inlineStr">
        <is>
          <t>C1169</t>
        </is>
      </c>
      <c r="B177" s="19">
        <f>$B$4-_xlfn.MAXIFS('Clean Data'!$B$2:$B$1565,'Clean Data'!$C$2:$C$1565,$A177)</f>
        <v/>
      </c>
      <c r="C177" s="10">
        <f>COUNTIF('Clean Data'!$C$2:$C$1565,$A177)</f>
        <v/>
      </c>
      <c r="D177" s="20">
        <f>SUMIF('Clean Data'!$C$2:$C$1565,$A177,'Clean Data'!$K$2:$K$1565)</f>
        <v/>
      </c>
      <c r="E177" s="10">
        <f>IF(B177&lt;=$K$6,5,IF(B177&lt;=$K$7,4,IF(B177&lt;=$K$8,3,IF(B177&lt;=$K$9,2,1))))</f>
        <v/>
      </c>
      <c r="F177" s="10">
        <f>IF(C177&gt;=$L$9,5,IF(C177&gt;=$L$8,4,IF(C177&gt;=$L$7,3,IF(C177&gt;=$L$6,2,1))))</f>
        <v/>
      </c>
      <c r="G177" s="10">
        <f>IF(D177&gt;=$M$9,5,IF(D177&gt;=$M$8,4,IF(D177&gt;=$M$7,3,IF(D177&gt;=$M$6,2,1))))</f>
        <v/>
      </c>
      <c r="H177" s="10">
        <f>IF(AND(E177&gt;=4,F177&gt;=4),"Champions",IF(AND(E177&gt;=3,F177&gt;=3),"Loyal",IF(AND(E177&gt;=4,F177&lt;=2),"New customers",IF(AND(E177=3,F177&lt;=2),"Potential",IF(AND(E177&lt;=2,F177&gt;=3),"At risk","Inactive")))))</f>
        <v/>
      </c>
    </row>
    <row r="178">
      <c r="A178" s="10" t="inlineStr">
        <is>
          <t>C1170</t>
        </is>
      </c>
      <c r="B178" s="19">
        <f>$B$4-_xlfn.MAXIFS('Clean Data'!$B$2:$B$1565,'Clean Data'!$C$2:$C$1565,$A178)</f>
        <v/>
      </c>
      <c r="C178" s="10">
        <f>COUNTIF('Clean Data'!$C$2:$C$1565,$A178)</f>
        <v/>
      </c>
      <c r="D178" s="20">
        <f>SUMIF('Clean Data'!$C$2:$C$1565,$A178,'Clean Data'!$K$2:$K$1565)</f>
        <v/>
      </c>
      <c r="E178" s="10">
        <f>IF(B178&lt;=$K$6,5,IF(B178&lt;=$K$7,4,IF(B178&lt;=$K$8,3,IF(B178&lt;=$K$9,2,1))))</f>
        <v/>
      </c>
      <c r="F178" s="10">
        <f>IF(C178&gt;=$L$9,5,IF(C178&gt;=$L$8,4,IF(C178&gt;=$L$7,3,IF(C178&gt;=$L$6,2,1))))</f>
        <v/>
      </c>
      <c r="G178" s="10">
        <f>IF(D178&gt;=$M$9,5,IF(D178&gt;=$M$8,4,IF(D178&gt;=$M$7,3,IF(D178&gt;=$M$6,2,1))))</f>
        <v/>
      </c>
      <c r="H178" s="10">
        <f>IF(AND(E178&gt;=4,F178&gt;=4),"Champions",IF(AND(E178&gt;=3,F178&gt;=3),"Loyal",IF(AND(E178&gt;=4,F178&lt;=2),"New customers",IF(AND(E178=3,F178&lt;=2),"Potential",IF(AND(E178&lt;=2,F178&gt;=3),"At risk","Inactive")))))</f>
        <v/>
      </c>
    </row>
    <row r="179">
      <c r="A179" s="10" t="inlineStr">
        <is>
          <t>C1171</t>
        </is>
      </c>
      <c r="B179" s="19">
        <f>$B$4-_xlfn.MAXIFS('Clean Data'!$B$2:$B$1565,'Clean Data'!$C$2:$C$1565,$A179)</f>
        <v/>
      </c>
      <c r="C179" s="10">
        <f>COUNTIF('Clean Data'!$C$2:$C$1565,$A179)</f>
        <v/>
      </c>
      <c r="D179" s="20">
        <f>SUMIF('Clean Data'!$C$2:$C$1565,$A179,'Clean Data'!$K$2:$K$1565)</f>
        <v/>
      </c>
      <c r="E179" s="10">
        <f>IF(B179&lt;=$K$6,5,IF(B179&lt;=$K$7,4,IF(B179&lt;=$K$8,3,IF(B179&lt;=$K$9,2,1))))</f>
        <v/>
      </c>
      <c r="F179" s="10">
        <f>IF(C179&gt;=$L$9,5,IF(C179&gt;=$L$8,4,IF(C179&gt;=$L$7,3,IF(C179&gt;=$L$6,2,1))))</f>
        <v/>
      </c>
      <c r="G179" s="10">
        <f>IF(D179&gt;=$M$9,5,IF(D179&gt;=$M$8,4,IF(D179&gt;=$M$7,3,IF(D179&gt;=$M$6,2,1))))</f>
        <v/>
      </c>
      <c r="H179" s="10">
        <f>IF(AND(E179&gt;=4,F179&gt;=4),"Champions",IF(AND(E179&gt;=3,F179&gt;=3),"Loyal",IF(AND(E179&gt;=4,F179&lt;=2),"New customers",IF(AND(E179=3,F179&lt;=2),"Potential",IF(AND(E179&lt;=2,F179&gt;=3),"At risk","Inactive")))))</f>
        <v/>
      </c>
    </row>
    <row r="180">
      <c r="A180" s="10" t="inlineStr">
        <is>
          <t>C1172</t>
        </is>
      </c>
      <c r="B180" s="19">
        <f>$B$4-_xlfn.MAXIFS('Clean Data'!$B$2:$B$1565,'Clean Data'!$C$2:$C$1565,$A180)</f>
        <v/>
      </c>
      <c r="C180" s="10">
        <f>COUNTIF('Clean Data'!$C$2:$C$1565,$A180)</f>
        <v/>
      </c>
      <c r="D180" s="20">
        <f>SUMIF('Clean Data'!$C$2:$C$1565,$A180,'Clean Data'!$K$2:$K$1565)</f>
        <v/>
      </c>
      <c r="E180" s="10">
        <f>IF(B180&lt;=$K$6,5,IF(B180&lt;=$K$7,4,IF(B180&lt;=$K$8,3,IF(B180&lt;=$K$9,2,1))))</f>
        <v/>
      </c>
      <c r="F180" s="10">
        <f>IF(C180&gt;=$L$9,5,IF(C180&gt;=$L$8,4,IF(C180&gt;=$L$7,3,IF(C180&gt;=$L$6,2,1))))</f>
        <v/>
      </c>
      <c r="G180" s="10">
        <f>IF(D180&gt;=$M$9,5,IF(D180&gt;=$M$8,4,IF(D180&gt;=$M$7,3,IF(D180&gt;=$M$6,2,1))))</f>
        <v/>
      </c>
      <c r="H180" s="10">
        <f>IF(AND(E180&gt;=4,F180&gt;=4),"Champions",IF(AND(E180&gt;=3,F180&gt;=3),"Loyal",IF(AND(E180&gt;=4,F180&lt;=2),"New customers",IF(AND(E180=3,F180&lt;=2),"Potential",IF(AND(E180&lt;=2,F180&gt;=3),"At risk","Inactive")))))</f>
        <v/>
      </c>
    </row>
    <row r="181">
      <c r="A181" s="10" t="inlineStr">
        <is>
          <t>C1173</t>
        </is>
      </c>
      <c r="B181" s="19">
        <f>$B$4-_xlfn.MAXIFS('Clean Data'!$B$2:$B$1565,'Clean Data'!$C$2:$C$1565,$A181)</f>
        <v/>
      </c>
      <c r="C181" s="10">
        <f>COUNTIF('Clean Data'!$C$2:$C$1565,$A181)</f>
        <v/>
      </c>
      <c r="D181" s="20">
        <f>SUMIF('Clean Data'!$C$2:$C$1565,$A181,'Clean Data'!$K$2:$K$1565)</f>
        <v/>
      </c>
      <c r="E181" s="10">
        <f>IF(B181&lt;=$K$6,5,IF(B181&lt;=$K$7,4,IF(B181&lt;=$K$8,3,IF(B181&lt;=$K$9,2,1))))</f>
        <v/>
      </c>
      <c r="F181" s="10">
        <f>IF(C181&gt;=$L$9,5,IF(C181&gt;=$L$8,4,IF(C181&gt;=$L$7,3,IF(C181&gt;=$L$6,2,1))))</f>
        <v/>
      </c>
      <c r="G181" s="10">
        <f>IF(D181&gt;=$M$9,5,IF(D181&gt;=$M$8,4,IF(D181&gt;=$M$7,3,IF(D181&gt;=$M$6,2,1))))</f>
        <v/>
      </c>
      <c r="H181" s="10">
        <f>IF(AND(E181&gt;=4,F181&gt;=4),"Champions",IF(AND(E181&gt;=3,F181&gt;=3),"Loyal",IF(AND(E181&gt;=4,F181&lt;=2),"New customers",IF(AND(E181=3,F181&lt;=2),"Potential",IF(AND(E181&lt;=2,F181&gt;=3),"At risk","Inactive")))))</f>
        <v/>
      </c>
    </row>
    <row r="182">
      <c r="A182" s="10" t="inlineStr">
        <is>
          <t>C1174</t>
        </is>
      </c>
      <c r="B182" s="19">
        <f>$B$4-_xlfn.MAXIFS('Clean Data'!$B$2:$B$1565,'Clean Data'!$C$2:$C$1565,$A182)</f>
        <v/>
      </c>
      <c r="C182" s="10">
        <f>COUNTIF('Clean Data'!$C$2:$C$1565,$A182)</f>
        <v/>
      </c>
      <c r="D182" s="20">
        <f>SUMIF('Clean Data'!$C$2:$C$1565,$A182,'Clean Data'!$K$2:$K$1565)</f>
        <v/>
      </c>
      <c r="E182" s="10">
        <f>IF(B182&lt;=$K$6,5,IF(B182&lt;=$K$7,4,IF(B182&lt;=$K$8,3,IF(B182&lt;=$K$9,2,1))))</f>
        <v/>
      </c>
      <c r="F182" s="10">
        <f>IF(C182&gt;=$L$9,5,IF(C182&gt;=$L$8,4,IF(C182&gt;=$L$7,3,IF(C182&gt;=$L$6,2,1))))</f>
        <v/>
      </c>
      <c r="G182" s="10">
        <f>IF(D182&gt;=$M$9,5,IF(D182&gt;=$M$8,4,IF(D182&gt;=$M$7,3,IF(D182&gt;=$M$6,2,1))))</f>
        <v/>
      </c>
      <c r="H182" s="10">
        <f>IF(AND(E182&gt;=4,F182&gt;=4),"Champions",IF(AND(E182&gt;=3,F182&gt;=3),"Loyal",IF(AND(E182&gt;=4,F182&lt;=2),"New customers",IF(AND(E182=3,F182&lt;=2),"Potential",IF(AND(E182&lt;=2,F182&gt;=3),"At risk","Inactive")))))</f>
        <v/>
      </c>
    </row>
    <row r="183">
      <c r="A183" s="10" t="inlineStr">
        <is>
          <t>C1175</t>
        </is>
      </c>
      <c r="B183" s="19">
        <f>$B$4-_xlfn.MAXIFS('Clean Data'!$B$2:$B$1565,'Clean Data'!$C$2:$C$1565,$A183)</f>
        <v/>
      </c>
      <c r="C183" s="10">
        <f>COUNTIF('Clean Data'!$C$2:$C$1565,$A183)</f>
        <v/>
      </c>
      <c r="D183" s="20">
        <f>SUMIF('Clean Data'!$C$2:$C$1565,$A183,'Clean Data'!$K$2:$K$1565)</f>
        <v/>
      </c>
      <c r="E183" s="10">
        <f>IF(B183&lt;=$K$6,5,IF(B183&lt;=$K$7,4,IF(B183&lt;=$K$8,3,IF(B183&lt;=$K$9,2,1))))</f>
        <v/>
      </c>
      <c r="F183" s="10">
        <f>IF(C183&gt;=$L$9,5,IF(C183&gt;=$L$8,4,IF(C183&gt;=$L$7,3,IF(C183&gt;=$L$6,2,1))))</f>
        <v/>
      </c>
      <c r="G183" s="10">
        <f>IF(D183&gt;=$M$9,5,IF(D183&gt;=$M$8,4,IF(D183&gt;=$M$7,3,IF(D183&gt;=$M$6,2,1))))</f>
        <v/>
      </c>
      <c r="H183" s="10">
        <f>IF(AND(E183&gt;=4,F183&gt;=4),"Champions",IF(AND(E183&gt;=3,F183&gt;=3),"Loyal",IF(AND(E183&gt;=4,F183&lt;=2),"New customers",IF(AND(E183=3,F183&lt;=2),"Potential",IF(AND(E183&lt;=2,F183&gt;=3),"At risk","Inactive")))))</f>
        <v/>
      </c>
    </row>
    <row r="184">
      <c r="A184" s="10" t="inlineStr">
        <is>
          <t>C1176</t>
        </is>
      </c>
      <c r="B184" s="19">
        <f>$B$4-_xlfn.MAXIFS('Clean Data'!$B$2:$B$1565,'Clean Data'!$C$2:$C$1565,$A184)</f>
        <v/>
      </c>
      <c r="C184" s="10">
        <f>COUNTIF('Clean Data'!$C$2:$C$1565,$A184)</f>
        <v/>
      </c>
      <c r="D184" s="20">
        <f>SUMIF('Clean Data'!$C$2:$C$1565,$A184,'Clean Data'!$K$2:$K$1565)</f>
        <v/>
      </c>
      <c r="E184" s="10">
        <f>IF(B184&lt;=$K$6,5,IF(B184&lt;=$K$7,4,IF(B184&lt;=$K$8,3,IF(B184&lt;=$K$9,2,1))))</f>
        <v/>
      </c>
      <c r="F184" s="10">
        <f>IF(C184&gt;=$L$9,5,IF(C184&gt;=$L$8,4,IF(C184&gt;=$L$7,3,IF(C184&gt;=$L$6,2,1))))</f>
        <v/>
      </c>
      <c r="G184" s="10">
        <f>IF(D184&gt;=$M$9,5,IF(D184&gt;=$M$8,4,IF(D184&gt;=$M$7,3,IF(D184&gt;=$M$6,2,1))))</f>
        <v/>
      </c>
      <c r="H184" s="10">
        <f>IF(AND(E184&gt;=4,F184&gt;=4),"Champions",IF(AND(E184&gt;=3,F184&gt;=3),"Loyal",IF(AND(E184&gt;=4,F184&lt;=2),"New customers",IF(AND(E184=3,F184&lt;=2),"Potential",IF(AND(E184&lt;=2,F184&gt;=3),"At risk","Inactive")))))</f>
        <v/>
      </c>
    </row>
    <row r="185">
      <c r="A185" s="10" t="inlineStr">
        <is>
          <t>C1177</t>
        </is>
      </c>
      <c r="B185" s="19">
        <f>$B$4-_xlfn.MAXIFS('Clean Data'!$B$2:$B$1565,'Clean Data'!$C$2:$C$1565,$A185)</f>
        <v/>
      </c>
      <c r="C185" s="10">
        <f>COUNTIF('Clean Data'!$C$2:$C$1565,$A185)</f>
        <v/>
      </c>
      <c r="D185" s="20">
        <f>SUMIF('Clean Data'!$C$2:$C$1565,$A185,'Clean Data'!$K$2:$K$1565)</f>
        <v/>
      </c>
      <c r="E185" s="10">
        <f>IF(B185&lt;=$K$6,5,IF(B185&lt;=$K$7,4,IF(B185&lt;=$K$8,3,IF(B185&lt;=$K$9,2,1))))</f>
        <v/>
      </c>
      <c r="F185" s="10">
        <f>IF(C185&gt;=$L$9,5,IF(C185&gt;=$L$8,4,IF(C185&gt;=$L$7,3,IF(C185&gt;=$L$6,2,1))))</f>
        <v/>
      </c>
      <c r="G185" s="10">
        <f>IF(D185&gt;=$M$9,5,IF(D185&gt;=$M$8,4,IF(D185&gt;=$M$7,3,IF(D185&gt;=$M$6,2,1))))</f>
        <v/>
      </c>
      <c r="H185" s="10">
        <f>IF(AND(E185&gt;=4,F185&gt;=4),"Champions",IF(AND(E185&gt;=3,F185&gt;=3),"Loyal",IF(AND(E185&gt;=4,F185&lt;=2),"New customers",IF(AND(E185=3,F185&lt;=2),"Potential",IF(AND(E185&lt;=2,F185&gt;=3),"At risk","Inactive")))))</f>
        <v/>
      </c>
    </row>
    <row r="186">
      <c r="A186" s="10" t="inlineStr">
        <is>
          <t>C1178</t>
        </is>
      </c>
      <c r="B186" s="19">
        <f>$B$4-_xlfn.MAXIFS('Clean Data'!$B$2:$B$1565,'Clean Data'!$C$2:$C$1565,$A186)</f>
        <v/>
      </c>
      <c r="C186" s="10">
        <f>COUNTIF('Clean Data'!$C$2:$C$1565,$A186)</f>
        <v/>
      </c>
      <c r="D186" s="20">
        <f>SUMIF('Clean Data'!$C$2:$C$1565,$A186,'Clean Data'!$K$2:$K$1565)</f>
        <v/>
      </c>
      <c r="E186" s="10">
        <f>IF(B186&lt;=$K$6,5,IF(B186&lt;=$K$7,4,IF(B186&lt;=$K$8,3,IF(B186&lt;=$K$9,2,1))))</f>
        <v/>
      </c>
      <c r="F186" s="10">
        <f>IF(C186&gt;=$L$9,5,IF(C186&gt;=$L$8,4,IF(C186&gt;=$L$7,3,IF(C186&gt;=$L$6,2,1))))</f>
        <v/>
      </c>
      <c r="G186" s="10">
        <f>IF(D186&gt;=$M$9,5,IF(D186&gt;=$M$8,4,IF(D186&gt;=$M$7,3,IF(D186&gt;=$M$6,2,1))))</f>
        <v/>
      </c>
      <c r="H186" s="10">
        <f>IF(AND(E186&gt;=4,F186&gt;=4),"Champions",IF(AND(E186&gt;=3,F186&gt;=3),"Loyal",IF(AND(E186&gt;=4,F186&lt;=2),"New customers",IF(AND(E186=3,F186&lt;=2),"Potential",IF(AND(E186&lt;=2,F186&gt;=3),"At risk","Inactive")))))</f>
        <v/>
      </c>
    </row>
    <row r="187">
      <c r="A187" s="10" t="inlineStr">
        <is>
          <t>C1179</t>
        </is>
      </c>
      <c r="B187" s="19">
        <f>$B$4-_xlfn.MAXIFS('Clean Data'!$B$2:$B$1565,'Clean Data'!$C$2:$C$1565,$A187)</f>
        <v/>
      </c>
      <c r="C187" s="10">
        <f>COUNTIF('Clean Data'!$C$2:$C$1565,$A187)</f>
        <v/>
      </c>
      <c r="D187" s="20">
        <f>SUMIF('Clean Data'!$C$2:$C$1565,$A187,'Clean Data'!$K$2:$K$1565)</f>
        <v/>
      </c>
      <c r="E187" s="10">
        <f>IF(B187&lt;=$K$6,5,IF(B187&lt;=$K$7,4,IF(B187&lt;=$K$8,3,IF(B187&lt;=$K$9,2,1))))</f>
        <v/>
      </c>
      <c r="F187" s="10">
        <f>IF(C187&gt;=$L$9,5,IF(C187&gt;=$L$8,4,IF(C187&gt;=$L$7,3,IF(C187&gt;=$L$6,2,1))))</f>
        <v/>
      </c>
      <c r="G187" s="10">
        <f>IF(D187&gt;=$M$9,5,IF(D187&gt;=$M$8,4,IF(D187&gt;=$M$7,3,IF(D187&gt;=$M$6,2,1))))</f>
        <v/>
      </c>
      <c r="H187" s="10">
        <f>IF(AND(E187&gt;=4,F187&gt;=4),"Champions",IF(AND(E187&gt;=3,F187&gt;=3),"Loyal",IF(AND(E187&gt;=4,F187&lt;=2),"New customers",IF(AND(E187=3,F187&lt;=2),"Potential",IF(AND(E187&lt;=2,F187&gt;=3),"At risk","Inactive")))))</f>
        <v/>
      </c>
    </row>
    <row r="188">
      <c r="A188" s="10" t="inlineStr">
        <is>
          <t>C1180</t>
        </is>
      </c>
      <c r="B188" s="19">
        <f>$B$4-_xlfn.MAXIFS('Clean Data'!$B$2:$B$1565,'Clean Data'!$C$2:$C$1565,$A188)</f>
        <v/>
      </c>
      <c r="C188" s="10">
        <f>COUNTIF('Clean Data'!$C$2:$C$1565,$A188)</f>
        <v/>
      </c>
      <c r="D188" s="20">
        <f>SUMIF('Clean Data'!$C$2:$C$1565,$A188,'Clean Data'!$K$2:$K$1565)</f>
        <v/>
      </c>
      <c r="E188" s="10">
        <f>IF(B188&lt;=$K$6,5,IF(B188&lt;=$K$7,4,IF(B188&lt;=$K$8,3,IF(B188&lt;=$K$9,2,1))))</f>
        <v/>
      </c>
      <c r="F188" s="10">
        <f>IF(C188&gt;=$L$9,5,IF(C188&gt;=$L$8,4,IF(C188&gt;=$L$7,3,IF(C188&gt;=$L$6,2,1))))</f>
        <v/>
      </c>
      <c r="G188" s="10">
        <f>IF(D188&gt;=$M$9,5,IF(D188&gt;=$M$8,4,IF(D188&gt;=$M$7,3,IF(D188&gt;=$M$6,2,1))))</f>
        <v/>
      </c>
      <c r="H188" s="10">
        <f>IF(AND(E188&gt;=4,F188&gt;=4),"Champions",IF(AND(E188&gt;=3,F188&gt;=3),"Loyal",IF(AND(E188&gt;=4,F188&lt;=2),"New customers",IF(AND(E188=3,F188&lt;=2),"Potential",IF(AND(E188&lt;=2,F188&gt;=3),"At risk","Inactive")))))</f>
        <v/>
      </c>
    </row>
    <row r="189">
      <c r="A189" s="10" t="inlineStr">
        <is>
          <t>C1181</t>
        </is>
      </c>
      <c r="B189" s="19">
        <f>$B$4-_xlfn.MAXIFS('Clean Data'!$B$2:$B$1565,'Clean Data'!$C$2:$C$1565,$A189)</f>
        <v/>
      </c>
      <c r="C189" s="10">
        <f>COUNTIF('Clean Data'!$C$2:$C$1565,$A189)</f>
        <v/>
      </c>
      <c r="D189" s="20">
        <f>SUMIF('Clean Data'!$C$2:$C$1565,$A189,'Clean Data'!$K$2:$K$1565)</f>
        <v/>
      </c>
      <c r="E189" s="10">
        <f>IF(B189&lt;=$K$6,5,IF(B189&lt;=$K$7,4,IF(B189&lt;=$K$8,3,IF(B189&lt;=$K$9,2,1))))</f>
        <v/>
      </c>
      <c r="F189" s="10">
        <f>IF(C189&gt;=$L$9,5,IF(C189&gt;=$L$8,4,IF(C189&gt;=$L$7,3,IF(C189&gt;=$L$6,2,1))))</f>
        <v/>
      </c>
      <c r="G189" s="10">
        <f>IF(D189&gt;=$M$9,5,IF(D189&gt;=$M$8,4,IF(D189&gt;=$M$7,3,IF(D189&gt;=$M$6,2,1))))</f>
        <v/>
      </c>
      <c r="H189" s="10">
        <f>IF(AND(E189&gt;=4,F189&gt;=4),"Champions",IF(AND(E189&gt;=3,F189&gt;=3),"Loyal",IF(AND(E189&gt;=4,F189&lt;=2),"New customers",IF(AND(E189=3,F189&lt;=2),"Potential",IF(AND(E189&lt;=2,F189&gt;=3),"At risk","Inactive")))))</f>
        <v/>
      </c>
    </row>
    <row r="190">
      <c r="A190" s="10" t="inlineStr">
        <is>
          <t>C1182</t>
        </is>
      </c>
      <c r="B190" s="19">
        <f>$B$4-_xlfn.MAXIFS('Clean Data'!$B$2:$B$1565,'Clean Data'!$C$2:$C$1565,$A190)</f>
        <v/>
      </c>
      <c r="C190" s="10">
        <f>COUNTIF('Clean Data'!$C$2:$C$1565,$A190)</f>
        <v/>
      </c>
      <c r="D190" s="20">
        <f>SUMIF('Clean Data'!$C$2:$C$1565,$A190,'Clean Data'!$K$2:$K$1565)</f>
        <v/>
      </c>
      <c r="E190" s="10">
        <f>IF(B190&lt;=$K$6,5,IF(B190&lt;=$K$7,4,IF(B190&lt;=$K$8,3,IF(B190&lt;=$K$9,2,1))))</f>
        <v/>
      </c>
      <c r="F190" s="10">
        <f>IF(C190&gt;=$L$9,5,IF(C190&gt;=$L$8,4,IF(C190&gt;=$L$7,3,IF(C190&gt;=$L$6,2,1))))</f>
        <v/>
      </c>
      <c r="G190" s="10">
        <f>IF(D190&gt;=$M$9,5,IF(D190&gt;=$M$8,4,IF(D190&gt;=$M$7,3,IF(D190&gt;=$M$6,2,1))))</f>
        <v/>
      </c>
      <c r="H190" s="10">
        <f>IF(AND(E190&gt;=4,F190&gt;=4),"Champions",IF(AND(E190&gt;=3,F190&gt;=3),"Loyal",IF(AND(E190&gt;=4,F190&lt;=2),"New customers",IF(AND(E190=3,F190&lt;=2),"Potential",IF(AND(E190&lt;=2,F190&gt;=3),"At risk","Inactive")))))</f>
        <v/>
      </c>
    </row>
    <row r="191">
      <c r="A191" s="10" t="inlineStr">
        <is>
          <t>C1183</t>
        </is>
      </c>
      <c r="B191" s="19">
        <f>$B$4-_xlfn.MAXIFS('Clean Data'!$B$2:$B$1565,'Clean Data'!$C$2:$C$1565,$A191)</f>
        <v/>
      </c>
      <c r="C191" s="10">
        <f>COUNTIF('Clean Data'!$C$2:$C$1565,$A191)</f>
        <v/>
      </c>
      <c r="D191" s="20">
        <f>SUMIF('Clean Data'!$C$2:$C$1565,$A191,'Clean Data'!$K$2:$K$1565)</f>
        <v/>
      </c>
      <c r="E191" s="10">
        <f>IF(B191&lt;=$K$6,5,IF(B191&lt;=$K$7,4,IF(B191&lt;=$K$8,3,IF(B191&lt;=$K$9,2,1))))</f>
        <v/>
      </c>
      <c r="F191" s="10">
        <f>IF(C191&gt;=$L$9,5,IF(C191&gt;=$L$8,4,IF(C191&gt;=$L$7,3,IF(C191&gt;=$L$6,2,1))))</f>
        <v/>
      </c>
      <c r="G191" s="10">
        <f>IF(D191&gt;=$M$9,5,IF(D191&gt;=$M$8,4,IF(D191&gt;=$M$7,3,IF(D191&gt;=$M$6,2,1))))</f>
        <v/>
      </c>
      <c r="H191" s="10">
        <f>IF(AND(E191&gt;=4,F191&gt;=4),"Champions",IF(AND(E191&gt;=3,F191&gt;=3),"Loyal",IF(AND(E191&gt;=4,F191&lt;=2),"New customers",IF(AND(E191=3,F191&lt;=2),"Potential",IF(AND(E191&lt;=2,F191&gt;=3),"At risk","Inactive")))))</f>
        <v/>
      </c>
    </row>
    <row r="192">
      <c r="A192" s="10" t="inlineStr">
        <is>
          <t>C1184</t>
        </is>
      </c>
      <c r="B192" s="19">
        <f>$B$4-_xlfn.MAXIFS('Clean Data'!$B$2:$B$1565,'Clean Data'!$C$2:$C$1565,$A192)</f>
        <v/>
      </c>
      <c r="C192" s="10">
        <f>COUNTIF('Clean Data'!$C$2:$C$1565,$A192)</f>
        <v/>
      </c>
      <c r="D192" s="20">
        <f>SUMIF('Clean Data'!$C$2:$C$1565,$A192,'Clean Data'!$K$2:$K$1565)</f>
        <v/>
      </c>
      <c r="E192" s="10">
        <f>IF(B192&lt;=$K$6,5,IF(B192&lt;=$K$7,4,IF(B192&lt;=$K$8,3,IF(B192&lt;=$K$9,2,1))))</f>
        <v/>
      </c>
      <c r="F192" s="10">
        <f>IF(C192&gt;=$L$9,5,IF(C192&gt;=$L$8,4,IF(C192&gt;=$L$7,3,IF(C192&gt;=$L$6,2,1))))</f>
        <v/>
      </c>
      <c r="G192" s="10">
        <f>IF(D192&gt;=$M$9,5,IF(D192&gt;=$M$8,4,IF(D192&gt;=$M$7,3,IF(D192&gt;=$M$6,2,1))))</f>
        <v/>
      </c>
      <c r="H192" s="10">
        <f>IF(AND(E192&gt;=4,F192&gt;=4),"Champions",IF(AND(E192&gt;=3,F192&gt;=3),"Loyal",IF(AND(E192&gt;=4,F192&lt;=2),"New customers",IF(AND(E192=3,F192&lt;=2),"Potential",IF(AND(E192&lt;=2,F192&gt;=3),"At risk","Inactive")))))</f>
        <v/>
      </c>
    </row>
    <row r="193">
      <c r="A193" s="10" t="inlineStr">
        <is>
          <t>C1185</t>
        </is>
      </c>
      <c r="B193" s="19">
        <f>$B$4-_xlfn.MAXIFS('Clean Data'!$B$2:$B$1565,'Clean Data'!$C$2:$C$1565,$A193)</f>
        <v/>
      </c>
      <c r="C193" s="10">
        <f>COUNTIF('Clean Data'!$C$2:$C$1565,$A193)</f>
        <v/>
      </c>
      <c r="D193" s="20">
        <f>SUMIF('Clean Data'!$C$2:$C$1565,$A193,'Clean Data'!$K$2:$K$1565)</f>
        <v/>
      </c>
      <c r="E193" s="10">
        <f>IF(B193&lt;=$K$6,5,IF(B193&lt;=$K$7,4,IF(B193&lt;=$K$8,3,IF(B193&lt;=$K$9,2,1))))</f>
        <v/>
      </c>
      <c r="F193" s="10">
        <f>IF(C193&gt;=$L$9,5,IF(C193&gt;=$L$8,4,IF(C193&gt;=$L$7,3,IF(C193&gt;=$L$6,2,1))))</f>
        <v/>
      </c>
      <c r="G193" s="10">
        <f>IF(D193&gt;=$M$9,5,IF(D193&gt;=$M$8,4,IF(D193&gt;=$M$7,3,IF(D193&gt;=$M$6,2,1))))</f>
        <v/>
      </c>
      <c r="H193" s="10">
        <f>IF(AND(E193&gt;=4,F193&gt;=4),"Champions",IF(AND(E193&gt;=3,F193&gt;=3),"Loyal",IF(AND(E193&gt;=4,F193&lt;=2),"New customers",IF(AND(E193=3,F193&lt;=2),"Potential",IF(AND(E193&lt;=2,F193&gt;=3),"At risk","Inactive")))))</f>
        <v/>
      </c>
    </row>
    <row r="194">
      <c r="A194" s="10" t="inlineStr">
        <is>
          <t>C1186</t>
        </is>
      </c>
      <c r="B194" s="19">
        <f>$B$4-_xlfn.MAXIFS('Clean Data'!$B$2:$B$1565,'Clean Data'!$C$2:$C$1565,$A194)</f>
        <v/>
      </c>
      <c r="C194" s="10">
        <f>COUNTIF('Clean Data'!$C$2:$C$1565,$A194)</f>
        <v/>
      </c>
      <c r="D194" s="20">
        <f>SUMIF('Clean Data'!$C$2:$C$1565,$A194,'Clean Data'!$K$2:$K$1565)</f>
        <v/>
      </c>
      <c r="E194" s="10">
        <f>IF(B194&lt;=$K$6,5,IF(B194&lt;=$K$7,4,IF(B194&lt;=$K$8,3,IF(B194&lt;=$K$9,2,1))))</f>
        <v/>
      </c>
      <c r="F194" s="10">
        <f>IF(C194&gt;=$L$9,5,IF(C194&gt;=$L$8,4,IF(C194&gt;=$L$7,3,IF(C194&gt;=$L$6,2,1))))</f>
        <v/>
      </c>
      <c r="G194" s="10">
        <f>IF(D194&gt;=$M$9,5,IF(D194&gt;=$M$8,4,IF(D194&gt;=$M$7,3,IF(D194&gt;=$M$6,2,1))))</f>
        <v/>
      </c>
      <c r="H194" s="10">
        <f>IF(AND(E194&gt;=4,F194&gt;=4),"Champions",IF(AND(E194&gt;=3,F194&gt;=3),"Loyal",IF(AND(E194&gt;=4,F194&lt;=2),"New customers",IF(AND(E194=3,F194&lt;=2),"Potential",IF(AND(E194&lt;=2,F194&gt;=3),"At risk","Inactive")))))</f>
        <v/>
      </c>
    </row>
    <row r="195">
      <c r="A195" s="10" t="inlineStr">
        <is>
          <t>C1187</t>
        </is>
      </c>
      <c r="B195" s="19">
        <f>$B$4-_xlfn.MAXIFS('Clean Data'!$B$2:$B$1565,'Clean Data'!$C$2:$C$1565,$A195)</f>
        <v/>
      </c>
      <c r="C195" s="10">
        <f>COUNTIF('Clean Data'!$C$2:$C$1565,$A195)</f>
        <v/>
      </c>
      <c r="D195" s="20">
        <f>SUMIF('Clean Data'!$C$2:$C$1565,$A195,'Clean Data'!$K$2:$K$1565)</f>
        <v/>
      </c>
      <c r="E195" s="10">
        <f>IF(B195&lt;=$K$6,5,IF(B195&lt;=$K$7,4,IF(B195&lt;=$K$8,3,IF(B195&lt;=$K$9,2,1))))</f>
        <v/>
      </c>
      <c r="F195" s="10">
        <f>IF(C195&gt;=$L$9,5,IF(C195&gt;=$L$8,4,IF(C195&gt;=$L$7,3,IF(C195&gt;=$L$6,2,1))))</f>
        <v/>
      </c>
      <c r="G195" s="10">
        <f>IF(D195&gt;=$M$9,5,IF(D195&gt;=$M$8,4,IF(D195&gt;=$M$7,3,IF(D195&gt;=$M$6,2,1))))</f>
        <v/>
      </c>
      <c r="H195" s="10">
        <f>IF(AND(E195&gt;=4,F195&gt;=4),"Champions",IF(AND(E195&gt;=3,F195&gt;=3),"Loyal",IF(AND(E195&gt;=4,F195&lt;=2),"New customers",IF(AND(E195=3,F195&lt;=2),"Potential",IF(AND(E195&lt;=2,F195&gt;=3),"At risk","Inactive")))))</f>
        <v/>
      </c>
    </row>
    <row r="196">
      <c r="A196" s="10" t="inlineStr">
        <is>
          <t>C1188</t>
        </is>
      </c>
      <c r="B196" s="19">
        <f>$B$4-_xlfn.MAXIFS('Clean Data'!$B$2:$B$1565,'Clean Data'!$C$2:$C$1565,$A196)</f>
        <v/>
      </c>
      <c r="C196" s="10">
        <f>COUNTIF('Clean Data'!$C$2:$C$1565,$A196)</f>
        <v/>
      </c>
      <c r="D196" s="20">
        <f>SUMIF('Clean Data'!$C$2:$C$1565,$A196,'Clean Data'!$K$2:$K$1565)</f>
        <v/>
      </c>
      <c r="E196" s="10">
        <f>IF(B196&lt;=$K$6,5,IF(B196&lt;=$K$7,4,IF(B196&lt;=$K$8,3,IF(B196&lt;=$K$9,2,1))))</f>
        <v/>
      </c>
      <c r="F196" s="10">
        <f>IF(C196&gt;=$L$9,5,IF(C196&gt;=$L$8,4,IF(C196&gt;=$L$7,3,IF(C196&gt;=$L$6,2,1))))</f>
        <v/>
      </c>
      <c r="G196" s="10">
        <f>IF(D196&gt;=$M$9,5,IF(D196&gt;=$M$8,4,IF(D196&gt;=$M$7,3,IF(D196&gt;=$M$6,2,1))))</f>
        <v/>
      </c>
      <c r="H196" s="10">
        <f>IF(AND(E196&gt;=4,F196&gt;=4),"Champions",IF(AND(E196&gt;=3,F196&gt;=3),"Loyal",IF(AND(E196&gt;=4,F196&lt;=2),"New customers",IF(AND(E196=3,F196&lt;=2),"Potential",IF(AND(E196&lt;=2,F196&gt;=3),"At risk","Inactive")))))</f>
        <v/>
      </c>
    </row>
    <row r="197">
      <c r="A197" s="10" t="inlineStr">
        <is>
          <t>C1189</t>
        </is>
      </c>
      <c r="B197" s="19">
        <f>$B$4-_xlfn.MAXIFS('Clean Data'!$B$2:$B$1565,'Clean Data'!$C$2:$C$1565,$A197)</f>
        <v/>
      </c>
      <c r="C197" s="10">
        <f>COUNTIF('Clean Data'!$C$2:$C$1565,$A197)</f>
        <v/>
      </c>
      <c r="D197" s="20">
        <f>SUMIF('Clean Data'!$C$2:$C$1565,$A197,'Clean Data'!$K$2:$K$1565)</f>
        <v/>
      </c>
      <c r="E197" s="10">
        <f>IF(B197&lt;=$K$6,5,IF(B197&lt;=$K$7,4,IF(B197&lt;=$K$8,3,IF(B197&lt;=$K$9,2,1))))</f>
        <v/>
      </c>
      <c r="F197" s="10">
        <f>IF(C197&gt;=$L$9,5,IF(C197&gt;=$L$8,4,IF(C197&gt;=$L$7,3,IF(C197&gt;=$L$6,2,1))))</f>
        <v/>
      </c>
      <c r="G197" s="10">
        <f>IF(D197&gt;=$M$9,5,IF(D197&gt;=$M$8,4,IF(D197&gt;=$M$7,3,IF(D197&gt;=$M$6,2,1))))</f>
        <v/>
      </c>
      <c r="H197" s="10">
        <f>IF(AND(E197&gt;=4,F197&gt;=4),"Champions",IF(AND(E197&gt;=3,F197&gt;=3),"Loyal",IF(AND(E197&gt;=4,F197&lt;=2),"New customers",IF(AND(E197=3,F197&lt;=2),"Potential",IF(AND(E197&lt;=2,F197&gt;=3),"At risk","Inactive")))))</f>
        <v/>
      </c>
    </row>
    <row r="198">
      <c r="A198" s="10" t="inlineStr">
        <is>
          <t>C1190</t>
        </is>
      </c>
      <c r="B198" s="19">
        <f>$B$4-_xlfn.MAXIFS('Clean Data'!$B$2:$B$1565,'Clean Data'!$C$2:$C$1565,$A198)</f>
        <v/>
      </c>
      <c r="C198" s="10">
        <f>COUNTIF('Clean Data'!$C$2:$C$1565,$A198)</f>
        <v/>
      </c>
      <c r="D198" s="20">
        <f>SUMIF('Clean Data'!$C$2:$C$1565,$A198,'Clean Data'!$K$2:$K$1565)</f>
        <v/>
      </c>
      <c r="E198" s="10">
        <f>IF(B198&lt;=$K$6,5,IF(B198&lt;=$K$7,4,IF(B198&lt;=$K$8,3,IF(B198&lt;=$K$9,2,1))))</f>
        <v/>
      </c>
      <c r="F198" s="10">
        <f>IF(C198&gt;=$L$9,5,IF(C198&gt;=$L$8,4,IF(C198&gt;=$L$7,3,IF(C198&gt;=$L$6,2,1))))</f>
        <v/>
      </c>
      <c r="G198" s="10">
        <f>IF(D198&gt;=$M$9,5,IF(D198&gt;=$M$8,4,IF(D198&gt;=$M$7,3,IF(D198&gt;=$M$6,2,1))))</f>
        <v/>
      </c>
      <c r="H198" s="10">
        <f>IF(AND(E198&gt;=4,F198&gt;=4),"Champions",IF(AND(E198&gt;=3,F198&gt;=3),"Loyal",IF(AND(E198&gt;=4,F198&lt;=2),"New customers",IF(AND(E198=3,F198&lt;=2),"Potential",IF(AND(E198&lt;=2,F198&gt;=3),"At risk","Inactive")))))</f>
        <v/>
      </c>
    </row>
    <row r="199">
      <c r="A199" s="10" t="inlineStr">
        <is>
          <t>C1191</t>
        </is>
      </c>
      <c r="B199" s="19">
        <f>$B$4-_xlfn.MAXIFS('Clean Data'!$B$2:$B$1565,'Clean Data'!$C$2:$C$1565,$A199)</f>
        <v/>
      </c>
      <c r="C199" s="10">
        <f>COUNTIF('Clean Data'!$C$2:$C$1565,$A199)</f>
        <v/>
      </c>
      <c r="D199" s="20">
        <f>SUMIF('Clean Data'!$C$2:$C$1565,$A199,'Clean Data'!$K$2:$K$1565)</f>
        <v/>
      </c>
      <c r="E199" s="10">
        <f>IF(B199&lt;=$K$6,5,IF(B199&lt;=$K$7,4,IF(B199&lt;=$K$8,3,IF(B199&lt;=$K$9,2,1))))</f>
        <v/>
      </c>
      <c r="F199" s="10">
        <f>IF(C199&gt;=$L$9,5,IF(C199&gt;=$L$8,4,IF(C199&gt;=$L$7,3,IF(C199&gt;=$L$6,2,1))))</f>
        <v/>
      </c>
      <c r="G199" s="10">
        <f>IF(D199&gt;=$M$9,5,IF(D199&gt;=$M$8,4,IF(D199&gt;=$M$7,3,IF(D199&gt;=$M$6,2,1))))</f>
        <v/>
      </c>
      <c r="H199" s="10">
        <f>IF(AND(E199&gt;=4,F199&gt;=4),"Champions",IF(AND(E199&gt;=3,F199&gt;=3),"Loyal",IF(AND(E199&gt;=4,F199&lt;=2),"New customers",IF(AND(E199=3,F199&lt;=2),"Potential",IF(AND(E199&lt;=2,F199&gt;=3),"At risk","Inactive")))))</f>
        <v/>
      </c>
    </row>
    <row r="200">
      <c r="A200" s="10" t="inlineStr">
        <is>
          <t>C1192</t>
        </is>
      </c>
      <c r="B200" s="19">
        <f>$B$4-_xlfn.MAXIFS('Clean Data'!$B$2:$B$1565,'Clean Data'!$C$2:$C$1565,$A200)</f>
        <v/>
      </c>
      <c r="C200" s="10">
        <f>COUNTIF('Clean Data'!$C$2:$C$1565,$A200)</f>
        <v/>
      </c>
      <c r="D200" s="20">
        <f>SUMIF('Clean Data'!$C$2:$C$1565,$A200,'Clean Data'!$K$2:$K$1565)</f>
        <v/>
      </c>
      <c r="E200" s="10">
        <f>IF(B200&lt;=$K$6,5,IF(B200&lt;=$K$7,4,IF(B200&lt;=$K$8,3,IF(B200&lt;=$K$9,2,1))))</f>
        <v/>
      </c>
      <c r="F200" s="10">
        <f>IF(C200&gt;=$L$9,5,IF(C200&gt;=$L$8,4,IF(C200&gt;=$L$7,3,IF(C200&gt;=$L$6,2,1))))</f>
        <v/>
      </c>
      <c r="G200" s="10">
        <f>IF(D200&gt;=$M$9,5,IF(D200&gt;=$M$8,4,IF(D200&gt;=$M$7,3,IF(D200&gt;=$M$6,2,1))))</f>
        <v/>
      </c>
      <c r="H200" s="10">
        <f>IF(AND(E200&gt;=4,F200&gt;=4),"Champions",IF(AND(E200&gt;=3,F200&gt;=3),"Loyal",IF(AND(E200&gt;=4,F200&lt;=2),"New customers",IF(AND(E200=3,F200&lt;=2),"Potential",IF(AND(E200&lt;=2,F200&gt;=3),"At risk","Inactive")))))</f>
        <v/>
      </c>
    </row>
    <row r="201">
      <c r="A201" s="10" t="inlineStr">
        <is>
          <t>C1193</t>
        </is>
      </c>
      <c r="B201" s="19">
        <f>$B$4-_xlfn.MAXIFS('Clean Data'!$B$2:$B$1565,'Clean Data'!$C$2:$C$1565,$A201)</f>
        <v/>
      </c>
      <c r="C201" s="10">
        <f>COUNTIF('Clean Data'!$C$2:$C$1565,$A201)</f>
        <v/>
      </c>
      <c r="D201" s="20">
        <f>SUMIF('Clean Data'!$C$2:$C$1565,$A201,'Clean Data'!$K$2:$K$1565)</f>
        <v/>
      </c>
      <c r="E201" s="10">
        <f>IF(B201&lt;=$K$6,5,IF(B201&lt;=$K$7,4,IF(B201&lt;=$K$8,3,IF(B201&lt;=$K$9,2,1))))</f>
        <v/>
      </c>
      <c r="F201" s="10">
        <f>IF(C201&gt;=$L$9,5,IF(C201&gt;=$L$8,4,IF(C201&gt;=$L$7,3,IF(C201&gt;=$L$6,2,1))))</f>
        <v/>
      </c>
      <c r="G201" s="10">
        <f>IF(D201&gt;=$M$9,5,IF(D201&gt;=$M$8,4,IF(D201&gt;=$M$7,3,IF(D201&gt;=$M$6,2,1))))</f>
        <v/>
      </c>
      <c r="H201" s="10">
        <f>IF(AND(E201&gt;=4,F201&gt;=4),"Champions",IF(AND(E201&gt;=3,F201&gt;=3),"Loyal",IF(AND(E201&gt;=4,F201&lt;=2),"New customers",IF(AND(E201=3,F201&lt;=2),"Potential",IF(AND(E201&lt;=2,F201&gt;=3),"At risk","Inactive")))))</f>
        <v/>
      </c>
    </row>
    <row r="202">
      <c r="A202" s="10" t="inlineStr">
        <is>
          <t>C1194</t>
        </is>
      </c>
      <c r="B202" s="19">
        <f>$B$4-_xlfn.MAXIFS('Clean Data'!$B$2:$B$1565,'Clean Data'!$C$2:$C$1565,$A202)</f>
        <v/>
      </c>
      <c r="C202" s="10">
        <f>COUNTIF('Clean Data'!$C$2:$C$1565,$A202)</f>
        <v/>
      </c>
      <c r="D202" s="20">
        <f>SUMIF('Clean Data'!$C$2:$C$1565,$A202,'Clean Data'!$K$2:$K$1565)</f>
        <v/>
      </c>
      <c r="E202" s="10">
        <f>IF(B202&lt;=$K$6,5,IF(B202&lt;=$K$7,4,IF(B202&lt;=$K$8,3,IF(B202&lt;=$K$9,2,1))))</f>
        <v/>
      </c>
      <c r="F202" s="10">
        <f>IF(C202&gt;=$L$9,5,IF(C202&gt;=$L$8,4,IF(C202&gt;=$L$7,3,IF(C202&gt;=$L$6,2,1))))</f>
        <v/>
      </c>
      <c r="G202" s="10">
        <f>IF(D202&gt;=$M$9,5,IF(D202&gt;=$M$8,4,IF(D202&gt;=$M$7,3,IF(D202&gt;=$M$6,2,1))))</f>
        <v/>
      </c>
      <c r="H202" s="10">
        <f>IF(AND(E202&gt;=4,F202&gt;=4),"Champions",IF(AND(E202&gt;=3,F202&gt;=3),"Loyal",IF(AND(E202&gt;=4,F202&lt;=2),"New customers",IF(AND(E202=3,F202&lt;=2),"Potential",IF(AND(E202&lt;=2,F202&gt;=3),"At risk","Inactive")))))</f>
        <v/>
      </c>
    </row>
    <row r="203">
      <c r="A203" s="10" t="inlineStr">
        <is>
          <t>C1195</t>
        </is>
      </c>
      <c r="B203" s="19">
        <f>$B$4-_xlfn.MAXIFS('Clean Data'!$B$2:$B$1565,'Clean Data'!$C$2:$C$1565,$A203)</f>
        <v/>
      </c>
      <c r="C203" s="10">
        <f>COUNTIF('Clean Data'!$C$2:$C$1565,$A203)</f>
        <v/>
      </c>
      <c r="D203" s="20">
        <f>SUMIF('Clean Data'!$C$2:$C$1565,$A203,'Clean Data'!$K$2:$K$1565)</f>
        <v/>
      </c>
      <c r="E203" s="10">
        <f>IF(B203&lt;=$K$6,5,IF(B203&lt;=$K$7,4,IF(B203&lt;=$K$8,3,IF(B203&lt;=$K$9,2,1))))</f>
        <v/>
      </c>
      <c r="F203" s="10">
        <f>IF(C203&gt;=$L$9,5,IF(C203&gt;=$L$8,4,IF(C203&gt;=$L$7,3,IF(C203&gt;=$L$6,2,1))))</f>
        <v/>
      </c>
      <c r="G203" s="10">
        <f>IF(D203&gt;=$M$9,5,IF(D203&gt;=$M$8,4,IF(D203&gt;=$M$7,3,IF(D203&gt;=$M$6,2,1))))</f>
        <v/>
      </c>
      <c r="H203" s="10">
        <f>IF(AND(E203&gt;=4,F203&gt;=4),"Champions",IF(AND(E203&gt;=3,F203&gt;=3),"Loyal",IF(AND(E203&gt;=4,F203&lt;=2),"New customers",IF(AND(E203=3,F203&lt;=2),"Potential",IF(AND(E203&lt;=2,F203&gt;=3),"At risk","Inactive")))))</f>
        <v/>
      </c>
    </row>
    <row r="204">
      <c r="A204" s="10" t="inlineStr">
        <is>
          <t>C1196</t>
        </is>
      </c>
      <c r="B204" s="19">
        <f>$B$4-_xlfn.MAXIFS('Clean Data'!$B$2:$B$1565,'Clean Data'!$C$2:$C$1565,$A204)</f>
        <v/>
      </c>
      <c r="C204" s="10">
        <f>COUNTIF('Clean Data'!$C$2:$C$1565,$A204)</f>
        <v/>
      </c>
      <c r="D204" s="20">
        <f>SUMIF('Clean Data'!$C$2:$C$1565,$A204,'Clean Data'!$K$2:$K$1565)</f>
        <v/>
      </c>
      <c r="E204" s="10">
        <f>IF(B204&lt;=$K$6,5,IF(B204&lt;=$K$7,4,IF(B204&lt;=$K$8,3,IF(B204&lt;=$K$9,2,1))))</f>
        <v/>
      </c>
      <c r="F204" s="10">
        <f>IF(C204&gt;=$L$9,5,IF(C204&gt;=$L$8,4,IF(C204&gt;=$L$7,3,IF(C204&gt;=$L$6,2,1))))</f>
        <v/>
      </c>
      <c r="G204" s="10">
        <f>IF(D204&gt;=$M$9,5,IF(D204&gt;=$M$8,4,IF(D204&gt;=$M$7,3,IF(D204&gt;=$M$6,2,1))))</f>
        <v/>
      </c>
      <c r="H204" s="10">
        <f>IF(AND(E204&gt;=4,F204&gt;=4),"Champions",IF(AND(E204&gt;=3,F204&gt;=3),"Loyal",IF(AND(E204&gt;=4,F204&lt;=2),"New customers",IF(AND(E204=3,F204&lt;=2),"Potential",IF(AND(E204&lt;=2,F204&gt;=3),"At risk","Inactive")))))</f>
        <v/>
      </c>
    </row>
    <row r="205">
      <c r="A205" s="10" t="inlineStr">
        <is>
          <t>C1197</t>
        </is>
      </c>
      <c r="B205" s="19">
        <f>$B$4-_xlfn.MAXIFS('Clean Data'!$B$2:$B$1565,'Clean Data'!$C$2:$C$1565,$A205)</f>
        <v/>
      </c>
      <c r="C205" s="10">
        <f>COUNTIF('Clean Data'!$C$2:$C$1565,$A205)</f>
        <v/>
      </c>
      <c r="D205" s="20">
        <f>SUMIF('Clean Data'!$C$2:$C$1565,$A205,'Clean Data'!$K$2:$K$1565)</f>
        <v/>
      </c>
      <c r="E205" s="10">
        <f>IF(B205&lt;=$K$6,5,IF(B205&lt;=$K$7,4,IF(B205&lt;=$K$8,3,IF(B205&lt;=$K$9,2,1))))</f>
        <v/>
      </c>
      <c r="F205" s="10">
        <f>IF(C205&gt;=$L$9,5,IF(C205&gt;=$L$8,4,IF(C205&gt;=$L$7,3,IF(C205&gt;=$L$6,2,1))))</f>
        <v/>
      </c>
      <c r="G205" s="10">
        <f>IF(D205&gt;=$M$9,5,IF(D205&gt;=$M$8,4,IF(D205&gt;=$M$7,3,IF(D205&gt;=$M$6,2,1))))</f>
        <v/>
      </c>
      <c r="H205" s="10">
        <f>IF(AND(E205&gt;=4,F205&gt;=4),"Champions",IF(AND(E205&gt;=3,F205&gt;=3),"Loyal",IF(AND(E205&gt;=4,F205&lt;=2),"New customers",IF(AND(E205=3,F205&lt;=2),"Potential",IF(AND(E205&lt;=2,F205&gt;=3),"At risk","Inactive")))))</f>
        <v/>
      </c>
    </row>
    <row r="206">
      <c r="A206" s="10" t="inlineStr">
        <is>
          <t>C1198</t>
        </is>
      </c>
      <c r="B206" s="19">
        <f>$B$4-_xlfn.MAXIFS('Clean Data'!$B$2:$B$1565,'Clean Data'!$C$2:$C$1565,$A206)</f>
        <v/>
      </c>
      <c r="C206" s="10">
        <f>COUNTIF('Clean Data'!$C$2:$C$1565,$A206)</f>
        <v/>
      </c>
      <c r="D206" s="20">
        <f>SUMIF('Clean Data'!$C$2:$C$1565,$A206,'Clean Data'!$K$2:$K$1565)</f>
        <v/>
      </c>
      <c r="E206" s="10">
        <f>IF(B206&lt;=$K$6,5,IF(B206&lt;=$K$7,4,IF(B206&lt;=$K$8,3,IF(B206&lt;=$K$9,2,1))))</f>
        <v/>
      </c>
      <c r="F206" s="10">
        <f>IF(C206&gt;=$L$9,5,IF(C206&gt;=$L$8,4,IF(C206&gt;=$L$7,3,IF(C206&gt;=$L$6,2,1))))</f>
        <v/>
      </c>
      <c r="G206" s="10">
        <f>IF(D206&gt;=$M$9,5,IF(D206&gt;=$M$8,4,IF(D206&gt;=$M$7,3,IF(D206&gt;=$M$6,2,1))))</f>
        <v/>
      </c>
      <c r="H206" s="10">
        <f>IF(AND(E206&gt;=4,F206&gt;=4),"Champions",IF(AND(E206&gt;=3,F206&gt;=3),"Loyal",IF(AND(E206&gt;=4,F206&lt;=2),"New customers",IF(AND(E206=3,F206&lt;=2),"Potential",IF(AND(E206&lt;=2,F206&gt;=3),"At risk","Inactive")))))</f>
        <v/>
      </c>
    </row>
    <row r="207">
      <c r="A207" s="10" t="inlineStr">
        <is>
          <t>C1199</t>
        </is>
      </c>
      <c r="B207" s="19">
        <f>$B$4-_xlfn.MAXIFS('Clean Data'!$B$2:$B$1565,'Clean Data'!$C$2:$C$1565,$A207)</f>
        <v/>
      </c>
      <c r="C207" s="10">
        <f>COUNTIF('Clean Data'!$C$2:$C$1565,$A207)</f>
        <v/>
      </c>
      <c r="D207" s="20">
        <f>SUMIF('Clean Data'!$C$2:$C$1565,$A207,'Clean Data'!$K$2:$K$1565)</f>
        <v/>
      </c>
      <c r="E207" s="10">
        <f>IF(B207&lt;=$K$6,5,IF(B207&lt;=$K$7,4,IF(B207&lt;=$K$8,3,IF(B207&lt;=$K$9,2,1))))</f>
        <v/>
      </c>
      <c r="F207" s="10">
        <f>IF(C207&gt;=$L$9,5,IF(C207&gt;=$L$8,4,IF(C207&gt;=$L$7,3,IF(C207&gt;=$L$6,2,1))))</f>
        <v/>
      </c>
      <c r="G207" s="10">
        <f>IF(D207&gt;=$M$9,5,IF(D207&gt;=$M$8,4,IF(D207&gt;=$M$7,3,IF(D207&gt;=$M$6,2,1))))</f>
        <v/>
      </c>
      <c r="H207" s="10">
        <f>IF(AND(E207&gt;=4,F207&gt;=4),"Champions",IF(AND(E207&gt;=3,F207&gt;=3),"Loyal",IF(AND(E207&gt;=4,F207&lt;=2),"New customers",IF(AND(E207=3,F207&lt;=2),"Potential",IF(AND(E207&lt;=2,F207&gt;=3),"At risk","Inactive")))))</f>
        <v/>
      </c>
    </row>
    <row r="208">
      <c r="A208" s="10" t="inlineStr">
        <is>
          <t>C1200</t>
        </is>
      </c>
      <c r="B208" s="19">
        <f>$B$4-_xlfn.MAXIFS('Clean Data'!$B$2:$B$1565,'Clean Data'!$C$2:$C$1565,$A208)</f>
        <v/>
      </c>
      <c r="C208" s="10">
        <f>COUNTIF('Clean Data'!$C$2:$C$1565,$A208)</f>
        <v/>
      </c>
      <c r="D208" s="20">
        <f>SUMIF('Clean Data'!$C$2:$C$1565,$A208,'Clean Data'!$K$2:$K$1565)</f>
        <v/>
      </c>
      <c r="E208" s="10">
        <f>IF(B208&lt;=$K$6,5,IF(B208&lt;=$K$7,4,IF(B208&lt;=$K$8,3,IF(B208&lt;=$K$9,2,1))))</f>
        <v/>
      </c>
      <c r="F208" s="10">
        <f>IF(C208&gt;=$L$9,5,IF(C208&gt;=$L$8,4,IF(C208&gt;=$L$7,3,IF(C208&gt;=$L$6,2,1))))</f>
        <v/>
      </c>
      <c r="G208" s="10">
        <f>IF(D208&gt;=$M$9,5,IF(D208&gt;=$M$8,4,IF(D208&gt;=$M$7,3,IF(D208&gt;=$M$6,2,1))))</f>
        <v/>
      </c>
      <c r="H208" s="10">
        <f>IF(AND(E208&gt;=4,F208&gt;=4),"Champions",IF(AND(E208&gt;=3,F208&gt;=3),"Loyal",IF(AND(E208&gt;=4,F208&lt;=2),"New customers",IF(AND(E208=3,F208&lt;=2),"Potential",IF(AND(E208&lt;=2,F208&gt;=3),"At risk","Inactive")))))</f>
        <v/>
      </c>
    </row>
    <row r="209">
      <c r="A209" s="10" t="inlineStr">
        <is>
          <t>C1201</t>
        </is>
      </c>
      <c r="B209" s="19">
        <f>$B$4-_xlfn.MAXIFS('Clean Data'!$B$2:$B$1565,'Clean Data'!$C$2:$C$1565,$A209)</f>
        <v/>
      </c>
      <c r="C209" s="10">
        <f>COUNTIF('Clean Data'!$C$2:$C$1565,$A209)</f>
        <v/>
      </c>
      <c r="D209" s="20">
        <f>SUMIF('Clean Data'!$C$2:$C$1565,$A209,'Clean Data'!$K$2:$K$1565)</f>
        <v/>
      </c>
      <c r="E209" s="10">
        <f>IF(B209&lt;=$K$6,5,IF(B209&lt;=$K$7,4,IF(B209&lt;=$K$8,3,IF(B209&lt;=$K$9,2,1))))</f>
        <v/>
      </c>
      <c r="F209" s="10">
        <f>IF(C209&gt;=$L$9,5,IF(C209&gt;=$L$8,4,IF(C209&gt;=$L$7,3,IF(C209&gt;=$L$6,2,1))))</f>
        <v/>
      </c>
      <c r="G209" s="10">
        <f>IF(D209&gt;=$M$9,5,IF(D209&gt;=$M$8,4,IF(D209&gt;=$M$7,3,IF(D209&gt;=$M$6,2,1))))</f>
        <v/>
      </c>
      <c r="H209" s="10">
        <f>IF(AND(E209&gt;=4,F209&gt;=4),"Champions",IF(AND(E209&gt;=3,F209&gt;=3),"Loyal",IF(AND(E209&gt;=4,F209&lt;=2),"New customers",IF(AND(E209=3,F209&lt;=2),"Potential",IF(AND(E209&lt;=2,F209&gt;=3),"At risk","Inactive")))))</f>
        <v/>
      </c>
    </row>
    <row r="210">
      <c r="A210" s="10" t="inlineStr">
        <is>
          <t>C1202</t>
        </is>
      </c>
      <c r="B210" s="19">
        <f>$B$4-_xlfn.MAXIFS('Clean Data'!$B$2:$B$1565,'Clean Data'!$C$2:$C$1565,$A210)</f>
        <v/>
      </c>
      <c r="C210" s="10">
        <f>COUNTIF('Clean Data'!$C$2:$C$1565,$A210)</f>
        <v/>
      </c>
      <c r="D210" s="20">
        <f>SUMIF('Clean Data'!$C$2:$C$1565,$A210,'Clean Data'!$K$2:$K$1565)</f>
        <v/>
      </c>
      <c r="E210" s="10">
        <f>IF(B210&lt;=$K$6,5,IF(B210&lt;=$K$7,4,IF(B210&lt;=$K$8,3,IF(B210&lt;=$K$9,2,1))))</f>
        <v/>
      </c>
      <c r="F210" s="10">
        <f>IF(C210&gt;=$L$9,5,IF(C210&gt;=$L$8,4,IF(C210&gt;=$L$7,3,IF(C210&gt;=$L$6,2,1))))</f>
        <v/>
      </c>
      <c r="G210" s="10">
        <f>IF(D210&gt;=$M$9,5,IF(D210&gt;=$M$8,4,IF(D210&gt;=$M$7,3,IF(D210&gt;=$M$6,2,1))))</f>
        <v/>
      </c>
      <c r="H210" s="10">
        <f>IF(AND(E210&gt;=4,F210&gt;=4),"Champions",IF(AND(E210&gt;=3,F210&gt;=3),"Loyal",IF(AND(E210&gt;=4,F210&lt;=2),"New customers",IF(AND(E210=3,F210&lt;=2),"Potential",IF(AND(E210&lt;=2,F210&gt;=3),"At risk","Inactive")))))</f>
        <v/>
      </c>
    </row>
    <row r="211">
      <c r="A211" s="10" t="inlineStr">
        <is>
          <t>C1203</t>
        </is>
      </c>
      <c r="B211" s="19">
        <f>$B$4-_xlfn.MAXIFS('Clean Data'!$B$2:$B$1565,'Clean Data'!$C$2:$C$1565,$A211)</f>
        <v/>
      </c>
      <c r="C211" s="10">
        <f>COUNTIF('Clean Data'!$C$2:$C$1565,$A211)</f>
        <v/>
      </c>
      <c r="D211" s="20">
        <f>SUMIF('Clean Data'!$C$2:$C$1565,$A211,'Clean Data'!$K$2:$K$1565)</f>
        <v/>
      </c>
      <c r="E211" s="10">
        <f>IF(B211&lt;=$K$6,5,IF(B211&lt;=$K$7,4,IF(B211&lt;=$K$8,3,IF(B211&lt;=$K$9,2,1))))</f>
        <v/>
      </c>
      <c r="F211" s="10">
        <f>IF(C211&gt;=$L$9,5,IF(C211&gt;=$L$8,4,IF(C211&gt;=$L$7,3,IF(C211&gt;=$L$6,2,1))))</f>
        <v/>
      </c>
      <c r="G211" s="10">
        <f>IF(D211&gt;=$M$9,5,IF(D211&gt;=$M$8,4,IF(D211&gt;=$M$7,3,IF(D211&gt;=$M$6,2,1))))</f>
        <v/>
      </c>
      <c r="H211" s="10">
        <f>IF(AND(E211&gt;=4,F211&gt;=4),"Champions",IF(AND(E211&gt;=3,F211&gt;=3),"Loyal",IF(AND(E211&gt;=4,F211&lt;=2),"New customers",IF(AND(E211=3,F211&lt;=2),"Potential",IF(AND(E211&lt;=2,F211&gt;=3),"At risk","Inactive")))))</f>
        <v/>
      </c>
    </row>
    <row r="212">
      <c r="A212" s="10" t="inlineStr">
        <is>
          <t>C1204</t>
        </is>
      </c>
      <c r="B212" s="19">
        <f>$B$4-_xlfn.MAXIFS('Clean Data'!$B$2:$B$1565,'Clean Data'!$C$2:$C$1565,$A212)</f>
        <v/>
      </c>
      <c r="C212" s="10">
        <f>COUNTIF('Clean Data'!$C$2:$C$1565,$A212)</f>
        <v/>
      </c>
      <c r="D212" s="20">
        <f>SUMIF('Clean Data'!$C$2:$C$1565,$A212,'Clean Data'!$K$2:$K$1565)</f>
        <v/>
      </c>
      <c r="E212" s="10">
        <f>IF(B212&lt;=$K$6,5,IF(B212&lt;=$K$7,4,IF(B212&lt;=$K$8,3,IF(B212&lt;=$K$9,2,1))))</f>
        <v/>
      </c>
      <c r="F212" s="10">
        <f>IF(C212&gt;=$L$9,5,IF(C212&gt;=$L$8,4,IF(C212&gt;=$L$7,3,IF(C212&gt;=$L$6,2,1))))</f>
        <v/>
      </c>
      <c r="G212" s="10">
        <f>IF(D212&gt;=$M$9,5,IF(D212&gt;=$M$8,4,IF(D212&gt;=$M$7,3,IF(D212&gt;=$M$6,2,1))))</f>
        <v/>
      </c>
      <c r="H212" s="10">
        <f>IF(AND(E212&gt;=4,F212&gt;=4),"Champions",IF(AND(E212&gt;=3,F212&gt;=3),"Loyal",IF(AND(E212&gt;=4,F212&lt;=2),"New customers",IF(AND(E212=3,F212&lt;=2),"Potential",IF(AND(E212&lt;=2,F212&gt;=3),"At risk","Inactive")))))</f>
        <v/>
      </c>
    </row>
    <row r="213">
      <c r="A213" s="10" t="inlineStr">
        <is>
          <t>C1205</t>
        </is>
      </c>
      <c r="B213" s="19">
        <f>$B$4-_xlfn.MAXIFS('Clean Data'!$B$2:$B$1565,'Clean Data'!$C$2:$C$1565,$A213)</f>
        <v/>
      </c>
      <c r="C213" s="10">
        <f>COUNTIF('Clean Data'!$C$2:$C$1565,$A213)</f>
        <v/>
      </c>
      <c r="D213" s="20">
        <f>SUMIF('Clean Data'!$C$2:$C$1565,$A213,'Clean Data'!$K$2:$K$1565)</f>
        <v/>
      </c>
      <c r="E213" s="10">
        <f>IF(B213&lt;=$K$6,5,IF(B213&lt;=$K$7,4,IF(B213&lt;=$K$8,3,IF(B213&lt;=$K$9,2,1))))</f>
        <v/>
      </c>
      <c r="F213" s="10">
        <f>IF(C213&gt;=$L$9,5,IF(C213&gt;=$L$8,4,IF(C213&gt;=$L$7,3,IF(C213&gt;=$L$6,2,1))))</f>
        <v/>
      </c>
      <c r="G213" s="10">
        <f>IF(D213&gt;=$M$9,5,IF(D213&gt;=$M$8,4,IF(D213&gt;=$M$7,3,IF(D213&gt;=$M$6,2,1))))</f>
        <v/>
      </c>
      <c r="H213" s="10">
        <f>IF(AND(E213&gt;=4,F213&gt;=4),"Champions",IF(AND(E213&gt;=3,F213&gt;=3),"Loyal",IF(AND(E213&gt;=4,F213&lt;=2),"New customers",IF(AND(E213=3,F213&lt;=2),"Potential",IF(AND(E213&lt;=2,F213&gt;=3),"At risk","Inactive")))))</f>
        <v/>
      </c>
    </row>
    <row r="214">
      <c r="A214" s="10" t="inlineStr">
        <is>
          <t>C1206</t>
        </is>
      </c>
      <c r="B214" s="19">
        <f>$B$4-_xlfn.MAXIFS('Clean Data'!$B$2:$B$1565,'Clean Data'!$C$2:$C$1565,$A214)</f>
        <v/>
      </c>
      <c r="C214" s="10">
        <f>COUNTIF('Clean Data'!$C$2:$C$1565,$A214)</f>
        <v/>
      </c>
      <c r="D214" s="20">
        <f>SUMIF('Clean Data'!$C$2:$C$1565,$A214,'Clean Data'!$K$2:$K$1565)</f>
        <v/>
      </c>
      <c r="E214" s="10">
        <f>IF(B214&lt;=$K$6,5,IF(B214&lt;=$K$7,4,IF(B214&lt;=$K$8,3,IF(B214&lt;=$K$9,2,1))))</f>
        <v/>
      </c>
      <c r="F214" s="10">
        <f>IF(C214&gt;=$L$9,5,IF(C214&gt;=$L$8,4,IF(C214&gt;=$L$7,3,IF(C214&gt;=$L$6,2,1))))</f>
        <v/>
      </c>
      <c r="G214" s="10">
        <f>IF(D214&gt;=$M$9,5,IF(D214&gt;=$M$8,4,IF(D214&gt;=$M$7,3,IF(D214&gt;=$M$6,2,1))))</f>
        <v/>
      </c>
      <c r="H214" s="10">
        <f>IF(AND(E214&gt;=4,F214&gt;=4),"Champions",IF(AND(E214&gt;=3,F214&gt;=3),"Loyal",IF(AND(E214&gt;=4,F214&lt;=2),"New customers",IF(AND(E214=3,F214&lt;=2),"Potential",IF(AND(E214&lt;=2,F214&gt;=3),"At risk","Inactive")))))</f>
        <v/>
      </c>
    </row>
    <row r="215">
      <c r="A215" s="10" t="inlineStr">
        <is>
          <t>C1207</t>
        </is>
      </c>
      <c r="B215" s="19">
        <f>$B$4-_xlfn.MAXIFS('Clean Data'!$B$2:$B$1565,'Clean Data'!$C$2:$C$1565,$A215)</f>
        <v/>
      </c>
      <c r="C215" s="10">
        <f>COUNTIF('Clean Data'!$C$2:$C$1565,$A215)</f>
        <v/>
      </c>
      <c r="D215" s="20">
        <f>SUMIF('Clean Data'!$C$2:$C$1565,$A215,'Clean Data'!$K$2:$K$1565)</f>
        <v/>
      </c>
      <c r="E215" s="10">
        <f>IF(B215&lt;=$K$6,5,IF(B215&lt;=$K$7,4,IF(B215&lt;=$K$8,3,IF(B215&lt;=$K$9,2,1))))</f>
        <v/>
      </c>
      <c r="F215" s="10">
        <f>IF(C215&gt;=$L$9,5,IF(C215&gt;=$L$8,4,IF(C215&gt;=$L$7,3,IF(C215&gt;=$L$6,2,1))))</f>
        <v/>
      </c>
      <c r="G215" s="10">
        <f>IF(D215&gt;=$M$9,5,IF(D215&gt;=$M$8,4,IF(D215&gt;=$M$7,3,IF(D215&gt;=$M$6,2,1))))</f>
        <v/>
      </c>
      <c r="H215" s="10">
        <f>IF(AND(E215&gt;=4,F215&gt;=4),"Champions",IF(AND(E215&gt;=3,F215&gt;=3),"Loyal",IF(AND(E215&gt;=4,F215&lt;=2),"New customers",IF(AND(E215=3,F215&lt;=2),"Potential",IF(AND(E215&lt;=2,F215&gt;=3),"At risk","Inactive")))))</f>
        <v/>
      </c>
    </row>
    <row r="216">
      <c r="A216" s="10" t="inlineStr">
        <is>
          <t>C1208</t>
        </is>
      </c>
      <c r="B216" s="19">
        <f>$B$4-_xlfn.MAXIFS('Clean Data'!$B$2:$B$1565,'Clean Data'!$C$2:$C$1565,$A216)</f>
        <v/>
      </c>
      <c r="C216" s="10">
        <f>COUNTIF('Clean Data'!$C$2:$C$1565,$A216)</f>
        <v/>
      </c>
      <c r="D216" s="20">
        <f>SUMIF('Clean Data'!$C$2:$C$1565,$A216,'Clean Data'!$K$2:$K$1565)</f>
        <v/>
      </c>
      <c r="E216" s="10">
        <f>IF(B216&lt;=$K$6,5,IF(B216&lt;=$K$7,4,IF(B216&lt;=$K$8,3,IF(B216&lt;=$K$9,2,1))))</f>
        <v/>
      </c>
      <c r="F216" s="10">
        <f>IF(C216&gt;=$L$9,5,IF(C216&gt;=$L$8,4,IF(C216&gt;=$L$7,3,IF(C216&gt;=$L$6,2,1))))</f>
        <v/>
      </c>
      <c r="G216" s="10">
        <f>IF(D216&gt;=$M$9,5,IF(D216&gt;=$M$8,4,IF(D216&gt;=$M$7,3,IF(D216&gt;=$M$6,2,1))))</f>
        <v/>
      </c>
      <c r="H216" s="10">
        <f>IF(AND(E216&gt;=4,F216&gt;=4),"Champions",IF(AND(E216&gt;=3,F216&gt;=3),"Loyal",IF(AND(E216&gt;=4,F216&lt;=2),"New customers",IF(AND(E216=3,F216&lt;=2),"Potential",IF(AND(E216&lt;=2,F216&gt;=3),"At risk","Inactive")))))</f>
        <v/>
      </c>
    </row>
    <row r="217">
      <c r="A217" s="10" t="inlineStr">
        <is>
          <t>C1209</t>
        </is>
      </c>
      <c r="B217" s="19">
        <f>$B$4-_xlfn.MAXIFS('Clean Data'!$B$2:$B$1565,'Clean Data'!$C$2:$C$1565,$A217)</f>
        <v/>
      </c>
      <c r="C217" s="10">
        <f>COUNTIF('Clean Data'!$C$2:$C$1565,$A217)</f>
        <v/>
      </c>
      <c r="D217" s="20">
        <f>SUMIF('Clean Data'!$C$2:$C$1565,$A217,'Clean Data'!$K$2:$K$1565)</f>
        <v/>
      </c>
      <c r="E217" s="10">
        <f>IF(B217&lt;=$K$6,5,IF(B217&lt;=$K$7,4,IF(B217&lt;=$K$8,3,IF(B217&lt;=$K$9,2,1))))</f>
        <v/>
      </c>
      <c r="F217" s="10">
        <f>IF(C217&gt;=$L$9,5,IF(C217&gt;=$L$8,4,IF(C217&gt;=$L$7,3,IF(C217&gt;=$L$6,2,1))))</f>
        <v/>
      </c>
      <c r="G217" s="10">
        <f>IF(D217&gt;=$M$9,5,IF(D217&gt;=$M$8,4,IF(D217&gt;=$M$7,3,IF(D217&gt;=$M$6,2,1))))</f>
        <v/>
      </c>
      <c r="H217" s="10">
        <f>IF(AND(E217&gt;=4,F217&gt;=4),"Champions",IF(AND(E217&gt;=3,F217&gt;=3),"Loyal",IF(AND(E217&gt;=4,F217&lt;=2),"New customers",IF(AND(E217=3,F217&lt;=2),"Potential",IF(AND(E217&lt;=2,F217&gt;=3),"At risk","Inactive")))))</f>
        <v/>
      </c>
    </row>
    <row r="218">
      <c r="A218" s="10" t="inlineStr">
        <is>
          <t>C1210</t>
        </is>
      </c>
      <c r="B218" s="19">
        <f>$B$4-_xlfn.MAXIFS('Clean Data'!$B$2:$B$1565,'Clean Data'!$C$2:$C$1565,$A218)</f>
        <v/>
      </c>
      <c r="C218" s="10">
        <f>COUNTIF('Clean Data'!$C$2:$C$1565,$A218)</f>
        <v/>
      </c>
      <c r="D218" s="20">
        <f>SUMIF('Clean Data'!$C$2:$C$1565,$A218,'Clean Data'!$K$2:$K$1565)</f>
        <v/>
      </c>
      <c r="E218" s="10">
        <f>IF(B218&lt;=$K$6,5,IF(B218&lt;=$K$7,4,IF(B218&lt;=$K$8,3,IF(B218&lt;=$K$9,2,1))))</f>
        <v/>
      </c>
      <c r="F218" s="10">
        <f>IF(C218&gt;=$L$9,5,IF(C218&gt;=$L$8,4,IF(C218&gt;=$L$7,3,IF(C218&gt;=$L$6,2,1))))</f>
        <v/>
      </c>
      <c r="G218" s="10">
        <f>IF(D218&gt;=$M$9,5,IF(D218&gt;=$M$8,4,IF(D218&gt;=$M$7,3,IF(D218&gt;=$M$6,2,1))))</f>
        <v/>
      </c>
      <c r="H218" s="10">
        <f>IF(AND(E218&gt;=4,F218&gt;=4),"Champions",IF(AND(E218&gt;=3,F218&gt;=3),"Loyal",IF(AND(E218&gt;=4,F218&lt;=2),"New customers",IF(AND(E218=3,F218&lt;=2),"Potential",IF(AND(E218&lt;=2,F218&gt;=3),"At risk","Inactive")))))</f>
        <v/>
      </c>
    </row>
    <row r="219">
      <c r="A219" s="10" t="inlineStr">
        <is>
          <t>C1211</t>
        </is>
      </c>
      <c r="B219" s="19">
        <f>$B$4-_xlfn.MAXIFS('Clean Data'!$B$2:$B$1565,'Clean Data'!$C$2:$C$1565,$A219)</f>
        <v/>
      </c>
      <c r="C219" s="10">
        <f>COUNTIF('Clean Data'!$C$2:$C$1565,$A219)</f>
        <v/>
      </c>
      <c r="D219" s="20">
        <f>SUMIF('Clean Data'!$C$2:$C$1565,$A219,'Clean Data'!$K$2:$K$1565)</f>
        <v/>
      </c>
      <c r="E219" s="10">
        <f>IF(B219&lt;=$K$6,5,IF(B219&lt;=$K$7,4,IF(B219&lt;=$K$8,3,IF(B219&lt;=$K$9,2,1))))</f>
        <v/>
      </c>
      <c r="F219" s="10">
        <f>IF(C219&gt;=$L$9,5,IF(C219&gt;=$L$8,4,IF(C219&gt;=$L$7,3,IF(C219&gt;=$L$6,2,1))))</f>
        <v/>
      </c>
      <c r="G219" s="10">
        <f>IF(D219&gt;=$M$9,5,IF(D219&gt;=$M$8,4,IF(D219&gt;=$M$7,3,IF(D219&gt;=$M$6,2,1))))</f>
        <v/>
      </c>
      <c r="H219" s="10">
        <f>IF(AND(E219&gt;=4,F219&gt;=4),"Champions",IF(AND(E219&gt;=3,F219&gt;=3),"Loyal",IF(AND(E219&gt;=4,F219&lt;=2),"New customers",IF(AND(E219=3,F219&lt;=2),"Potential",IF(AND(E219&lt;=2,F219&gt;=3),"At risk","Inactive")))))</f>
        <v/>
      </c>
    </row>
    <row r="220">
      <c r="A220" s="10" t="inlineStr">
        <is>
          <t>C1212</t>
        </is>
      </c>
      <c r="B220" s="19">
        <f>$B$4-_xlfn.MAXIFS('Clean Data'!$B$2:$B$1565,'Clean Data'!$C$2:$C$1565,$A220)</f>
        <v/>
      </c>
      <c r="C220" s="10">
        <f>COUNTIF('Clean Data'!$C$2:$C$1565,$A220)</f>
        <v/>
      </c>
      <c r="D220" s="20">
        <f>SUMIF('Clean Data'!$C$2:$C$1565,$A220,'Clean Data'!$K$2:$K$1565)</f>
        <v/>
      </c>
      <c r="E220" s="10">
        <f>IF(B220&lt;=$K$6,5,IF(B220&lt;=$K$7,4,IF(B220&lt;=$K$8,3,IF(B220&lt;=$K$9,2,1))))</f>
        <v/>
      </c>
      <c r="F220" s="10">
        <f>IF(C220&gt;=$L$9,5,IF(C220&gt;=$L$8,4,IF(C220&gt;=$L$7,3,IF(C220&gt;=$L$6,2,1))))</f>
        <v/>
      </c>
      <c r="G220" s="10">
        <f>IF(D220&gt;=$M$9,5,IF(D220&gt;=$M$8,4,IF(D220&gt;=$M$7,3,IF(D220&gt;=$M$6,2,1))))</f>
        <v/>
      </c>
      <c r="H220" s="10">
        <f>IF(AND(E220&gt;=4,F220&gt;=4),"Champions",IF(AND(E220&gt;=3,F220&gt;=3),"Loyal",IF(AND(E220&gt;=4,F220&lt;=2),"New customers",IF(AND(E220=3,F220&lt;=2),"Potential",IF(AND(E220&lt;=2,F220&gt;=3),"At risk","Inactive")))))</f>
        <v/>
      </c>
    </row>
    <row r="221">
      <c r="A221" s="10" t="inlineStr">
        <is>
          <t>C1213</t>
        </is>
      </c>
      <c r="B221" s="19">
        <f>$B$4-_xlfn.MAXIFS('Clean Data'!$B$2:$B$1565,'Clean Data'!$C$2:$C$1565,$A221)</f>
        <v/>
      </c>
      <c r="C221" s="10">
        <f>COUNTIF('Clean Data'!$C$2:$C$1565,$A221)</f>
        <v/>
      </c>
      <c r="D221" s="20">
        <f>SUMIF('Clean Data'!$C$2:$C$1565,$A221,'Clean Data'!$K$2:$K$1565)</f>
        <v/>
      </c>
      <c r="E221" s="10">
        <f>IF(B221&lt;=$K$6,5,IF(B221&lt;=$K$7,4,IF(B221&lt;=$K$8,3,IF(B221&lt;=$K$9,2,1))))</f>
        <v/>
      </c>
      <c r="F221" s="10">
        <f>IF(C221&gt;=$L$9,5,IF(C221&gt;=$L$8,4,IF(C221&gt;=$L$7,3,IF(C221&gt;=$L$6,2,1))))</f>
        <v/>
      </c>
      <c r="G221" s="10">
        <f>IF(D221&gt;=$M$9,5,IF(D221&gt;=$M$8,4,IF(D221&gt;=$M$7,3,IF(D221&gt;=$M$6,2,1))))</f>
        <v/>
      </c>
      <c r="H221" s="10">
        <f>IF(AND(E221&gt;=4,F221&gt;=4),"Champions",IF(AND(E221&gt;=3,F221&gt;=3),"Loyal",IF(AND(E221&gt;=4,F221&lt;=2),"New customers",IF(AND(E221=3,F221&lt;=2),"Potential",IF(AND(E221&lt;=2,F221&gt;=3),"At risk","Inactive")))))</f>
        <v/>
      </c>
    </row>
    <row r="222">
      <c r="A222" s="10" t="inlineStr">
        <is>
          <t>C1214</t>
        </is>
      </c>
      <c r="B222" s="19">
        <f>$B$4-_xlfn.MAXIFS('Clean Data'!$B$2:$B$1565,'Clean Data'!$C$2:$C$1565,$A222)</f>
        <v/>
      </c>
      <c r="C222" s="10">
        <f>COUNTIF('Clean Data'!$C$2:$C$1565,$A222)</f>
        <v/>
      </c>
      <c r="D222" s="20">
        <f>SUMIF('Clean Data'!$C$2:$C$1565,$A222,'Clean Data'!$K$2:$K$1565)</f>
        <v/>
      </c>
      <c r="E222" s="10">
        <f>IF(B222&lt;=$K$6,5,IF(B222&lt;=$K$7,4,IF(B222&lt;=$K$8,3,IF(B222&lt;=$K$9,2,1))))</f>
        <v/>
      </c>
      <c r="F222" s="10">
        <f>IF(C222&gt;=$L$9,5,IF(C222&gt;=$L$8,4,IF(C222&gt;=$L$7,3,IF(C222&gt;=$L$6,2,1))))</f>
        <v/>
      </c>
      <c r="G222" s="10">
        <f>IF(D222&gt;=$M$9,5,IF(D222&gt;=$M$8,4,IF(D222&gt;=$M$7,3,IF(D222&gt;=$M$6,2,1))))</f>
        <v/>
      </c>
      <c r="H222" s="10">
        <f>IF(AND(E222&gt;=4,F222&gt;=4),"Champions",IF(AND(E222&gt;=3,F222&gt;=3),"Loyal",IF(AND(E222&gt;=4,F222&lt;=2),"New customers",IF(AND(E222=3,F222&lt;=2),"Potential",IF(AND(E222&lt;=2,F222&gt;=3),"At risk","Inactive")))))</f>
        <v/>
      </c>
    </row>
    <row r="223">
      <c r="A223" s="10" t="inlineStr">
        <is>
          <t>C1215</t>
        </is>
      </c>
      <c r="B223" s="19">
        <f>$B$4-_xlfn.MAXIFS('Clean Data'!$B$2:$B$1565,'Clean Data'!$C$2:$C$1565,$A223)</f>
        <v/>
      </c>
      <c r="C223" s="10">
        <f>COUNTIF('Clean Data'!$C$2:$C$1565,$A223)</f>
        <v/>
      </c>
      <c r="D223" s="20">
        <f>SUMIF('Clean Data'!$C$2:$C$1565,$A223,'Clean Data'!$K$2:$K$1565)</f>
        <v/>
      </c>
      <c r="E223" s="10">
        <f>IF(B223&lt;=$K$6,5,IF(B223&lt;=$K$7,4,IF(B223&lt;=$K$8,3,IF(B223&lt;=$K$9,2,1))))</f>
        <v/>
      </c>
      <c r="F223" s="10">
        <f>IF(C223&gt;=$L$9,5,IF(C223&gt;=$L$8,4,IF(C223&gt;=$L$7,3,IF(C223&gt;=$L$6,2,1))))</f>
        <v/>
      </c>
      <c r="G223" s="10">
        <f>IF(D223&gt;=$M$9,5,IF(D223&gt;=$M$8,4,IF(D223&gt;=$M$7,3,IF(D223&gt;=$M$6,2,1))))</f>
        <v/>
      </c>
      <c r="H223" s="10">
        <f>IF(AND(E223&gt;=4,F223&gt;=4),"Champions",IF(AND(E223&gt;=3,F223&gt;=3),"Loyal",IF(AND(E223&gt;=4,F223&lt;=2),"New customers",IF(AND(E223=3,F223&lt;=2),"Potential",IF(AND(E223&lt;=2,F223&gt;=3),"At risk","Inactive")))))</f>
        <v/>
      </c>
    </row>
    <row r="224">
      <c r="A224" s="10" t="inlineStr">
        <is>
          <t>C1216</t>
        </is>
      </c>
      <c r="B224" s="19">
        <f>$B$4-_xlfn.MAXIFS('Clean Data'!$B$2:$B$1565,'Clean Data'!$C$2:$C$1565,$A224)</f>
        <v/>
      </c>
      <c r="C224" s="10">
        <f>COUNTIF('Clean Data'!$C$2:$C$1565,$A224)</f>
        <v/>
      </c>
      <c r="D224" s="20">
        <f>SUMIF('Clean Data'!$C$2:$C$1565,$A224,'Clean Data'!$K$2:$K$1565)</f>
        <v/>
      </c>
      <c r="E224" s="10">
        <f>IF(B224&lt;=$K$6,5,IF(B224&lt;=$K$7,4,IF(B224&lt;=$K$8,3,IF(B224&lt;=$K$9,2,1))))</f>
        <v/>
      </c>
      <c r="F224" s="10">
        <f>IF(C224&gt;=$L$9,5,IF(C224&gt;=$L$8,4,IF(C224&gt;=$L$7,3,IF(C224&gt;=$L$6,2,1))))</f>
        <v/>
      </c>
      <c r="G224" s="10">
        <f>IF(D224&gt;=$M$9,5,IF(D224&gt;=$M$8,4,IF(D224&gt;=$M$7,3,IF(D224&gt;=$M$6,2,1))))</f>
        <v/>
      </c>
      <c r="H224" s="10">
        <f>IF(AND(E224&gt;=4,F224&gt;=4),"Champions",IF(AND(E224&gt;=3,F224&gt;=3),"Loyal",IF(AND(E224&gt;=4,F224&lt;=2),"New customers",IF(AND(E224=3,F224&lt;=2),"Potential",IF(AND(E224&lt;=2,F224&gt;=3),"At risk","Inactive")))))</f>
        <v/>
      </c>
    </row>
    <row r="225">
      <c r="A225" s="10" t="inlineStr">
        <is>
          <t>C1217</t>
        </is>
      </c>
      <c r="B225" s="19">
        <f>$B$4-_xlfn.MAXIFS('Clean Data'!$B$2:$B$1565,'Clean Data'!$C$2:$C$1565,$A225)</f>
        <v/>
      </c>
      <c r="C225" s="10">
        <f>COUNTIF('Clean Data'!$C$2:$C$1565,$A225)</f>
        <v/>
      </c>
      <c r="D225" s="20">
        <f>SUMIF('Clean Data'!$C$2:$C$1565,$A225,'Clean Data'!$K$2:$K$1565)</f>
        <v/>
      </c>
      <c r="E225" s="10">
        <f>IF(B225&lt;=$K$6,5,IF(B225&lt;=$K$7,4,IF(B225&lt;=$K$8,3,IF(B225&lt;=$K$9,2,1))))</f>
        <v/>
      </c>
      <c r="F225" s="10">
        <f>IF(C225&gt;=$L$9,5,IF(C225&gt;=$L$8,4,IF(C225&gt;=$L$7,3,IF(C225&gt;=$L$6,2,1))))</f>
        <v/>
      </c>
      <c r="G225" s="10">
        <f>IF(D225&gt;=$M$9,5,IF(D225&gt;=$M$8,4,IF(D225&gt;=$M$7,3,IF(D225&gt;=$M$6,2,1))))</f>
        <v/>
      </c>
      <c r="H225" s="10">
        <f>IF(AND(E225&gt;=4,F225&gt;=4),"Champions",IF(AND(E225&gt;=3,F225&gt;=3),"Loyal",IF(AND(E225&gt;=4,F225&lt;=2),"New customers",IF(AND(E225=3,F225&lt;=2),"Potential",IF(AND(E225&lt;=2,F225&gt;=3),"At risk","Inactive")))))</f>
        <v/>
      </c>
    </row>
    <row r="226">
      <c r="A226" s="10" t="inlineStr">
        <is>
          <t>C1218</t>
        </is>
      </c>
      <c r="B226" s="19">
        <f>$B$4-_xlfn.MAXIFS('Clean Data'!$B$2:$B$1565,'Clean Data'!$C$2:$C$1565,$A226)</f>
        <v/>
      </c>
      <c r="C226" s="10">
        <f>COUNTIF('Clean Data'!$C$2:$C$1565,$A226)</f>
        <v/>
      </c>
      <c r="D226" s="20">
        <f>SUMIF('Clean Data'!$C$2:$C$1565,$A226,'Clean Data'!$K$2:$K$1565)</f>
        <v/>
      </c>
      <c r="E226" s="10">
        <f>IF(B226&lt;=$K$6,5,IF(B226&lt;=$K$7,4,IF(B226&lt;=$K$8,3,IF(B226&lt;=$K$9,2,1))))</f>
        <v/>
      </c>
      <c r="F226" s="10">
        <f>IF(C226&gt;=$L$9,5,IF(C226&gt;=$L$8,4,IF(C226&gt;=$L$7,3,IF(C226&gt;=$L$6,2,1))))</f>
        <v/>
      </c>
      <c r="G226" s="10">
        <f>IF(D226&gt;=$M$9,5,IF(D226&gt;=$M$8,4,IF(D226&gt;=$M$7,3,IF(D226&gt;=$M$6,2,1))))</f>
        <v/>
      </c>
      <c r="H226" s="10">
        <f>IF(AND(E226&gt;=4,F226&gt;=4),"Champions",IF(AND(E226&gt;=3,F226&gt;=3),"Loyal",IF(AND(E226&gt;=4,F226&lt;=2),"New customers",IF(AND(E226=3,F226&lt;=2),"Potential",IF(AND(E226&lt;=2,F226&gt;=3),"At risk","Inactive")))))</f>
        <v/>
      </c>
    </row>
    <row r="227">
      <c r="A227" s="10" t="inlineStr">
        <is>
          <t>C1219</t>
        </is>
      </c>
      <c r="B227" s="19">
        <f>$B$4-_xlfn.MAXIFS('Clean Data'!$B$2:$B$1565,'Clean Data'!$C$2:$C$1565,$A227)</f>
        <v/>
      </c>
      <c r="C227" s="10">
        <f>COUNTIF('Clean Data'!$C$2:$C$1565,$A227)</f>
        <v/>
      </c>
      <c r="D227" s="20">
        <f>SUMIF('Clean Data'!$C$2:$C$1565,$A227,'Clean Data'!$K$2:$K$1565)</f>
        <v/>
      </c>
      <c r="E227" s="10">
        <f>IF(B227&lt;=$K$6,5,IF(B227&lt;=$K$7,4,IF(B227&lt;=$K$8,3,IF(B227&lt;=$K$9,2,1))))</f>
        <v/>
      </c>
      <c r="F227" s="10">
        <f>IF(C227&gt;=$L$9,5,IF(C227&gt;=$L$8,4,IF(C227&gt;=$L$7,3,IF(C227&gt;=$L$6,2,1))))</f>
        <v/>
      </c>
      <c r="G227" s="10">
        <f>IF(D227&gt;=$M$9,5,IF(D227&gt;=$M$8,4,IF(D227&gt;=$M$7,3,IF(D227&gt;=$M$6,2,1))))</f>
        <v/>
      </c>
      <c r="H227" s="10">
        <f>IF(AND(E227&gt;=4,F227&gt;=4),"Champions",IF(AND(E227&gt;=3,F227&gt;=3),"Loyal",IF(AND(E227&gt;=4,F227&lt;=2),"New customers",IF(AND(E227=3,F227&lt;=2),"Potential",IF(AND(E227&lt;=2,F227&gt;=3),"At risk","Inactive")))))</f>
        <v/>
      </c>
    </row>
    <row r="228">
      <c r="A228" s="10" t="inlineStr">
        <is>
          <t>C1220</t>
        </is>
      </c>
      <c r="B228" s="19">
        <f>$B$4-_xlfn.MAXIFS('Clean Data'!$B$2:$B$1565,'Clean Data'!$C$2:$C$1565,$A228)</f>
        <v/>
      </c>
      <c r="C228" s="10">
        <f>COUNTIF('Clean Data'!$C$2:$C$1565,$A228)</f>
        <v/>
      </c>
      <c r="D228" s="20">
        <f>SUMIF('Clean Data'!$C$2:$C$1565,$A228,'Clean Data'!$K$2:$K$1565)</f>
        <v/>
      </c>
      <c r="E228" s="10">
        <f>IF(B228&lt;=$K$6,5,IF(B228&lt;=$K$7,4,IF(B228&lt;=$K$8,3,IF(B228&lt;=$K$9,2,1))))</f>
        <v/>
      </c>
      <c r="F228" s="10">
        <f>IF(C228&gt;=$L$9,5,IF(C228&gt;=$L$8,4,IF(C228&gt;=$L$7,3,IF(C228&gt;=$L$6,2,1))))</f>
        <v/>
      </c>
      <c r="G228" s="10">
        <f>IF(D228&gt;=$M$9,5,IF(D228&gt;=$M$8,4,IF(D228&gt;=$M$7,3,IF(D228&gt;=$M$6,2,1))))</f>
        <v/>
      </c>
      <c r="H228" s="10">
        <f>IF(AND(E228&gt;=4,F228&gt;=4),"Champions",IF(AND(E228&gt;=3,F228&gt;=3),"Loyal",IF(AND(E228&gt;=4,F228&lt;=2),"New customers",IF(AND(E228=3,F228&lt;=2),"Potential",IF(AND(E228&lt;=2,F228&gt;=3),"At risk","Inactive")))))</f>
        <v/>
      </c>
    </row>
    <row r="229">
      <c r="A229" s="10" t="inlineStr">
        <is>
          <t>C1221</t>
        </is>
      </c>
      <c r="B229" s="19">
        <f>$B$4-_xlfn.MAXIFS('Clean Data'!$B$2:$B$1565,'Clean Data'!$C$2:$C$1565,$A229)</f>
        <v/>
      </c>
      <c r="C229" s="10">
        <f>COUNTIF('Clean Data'!$C$2:$C$1565,$A229)</f>
        <v/>
      </c>
      <c r="D229" s="20">
        <f>SUMIF('Clean Data'!$C$2:$C$1565,$A229,'Clean Data'!$K$2:$K$1565)</f>
        <v/>
      </c>
      <c r="E229" s="10">
        <f>IF(B229&lt;=$K$6,5,IF(B229&lt;=$K$7,4,IF(B229&lt;=$K$8,3,IF(B229&lt;=$K$9,2,1))))</f>
        <v/>
      </c>
      <c r="F229" s="10">
        <f>IF(C229&gt;=$L$9,5,IF(C229&gt;=$L$8,4,IF(C229&gt;=$L$7,3,IF(C229&gt;=$L$6,2,1))))</f>
        <v/>
      </c>
      <c r="G229" s="10">
        <f>IF(D229&gt;=$M$9,5,IF(D229&gt;=$M$8,4,IF(D229&gt;=$M$7,3,IF(D229&gt;=$M$6,2,1))))</f>
        <v/>
      </c>
      <c r="H229" s="10">
        <f>IF(AND(E229&gt;=4,F229&gt;=4),"Champions",IF(AND(E229&gt;=3,F229&gt;=3),"Loyal",IF(AND(E229&gt;=4,F229&lt;=2),"New customers",IF(AND(E229=3,F229&lt;=2),"Potential",IF(AND(E229&lt;=2,F229&gt;=3),"At risk","Inactive")))))</f>
        <v/>
      </c>
    </row>
    <row r="230">
      <c r="A230" s="10" t="inlineStr">
        <is>
          <t>C1222</t>
        </is>
      </c>
      <c r="B230" s="19">
        <f>$B$4-_xlfn.MAXIFS('Clean Data'!$B$2:$B$1565,'Clean Data'!$C$2:$C$1565,$A230)</f>
        <v/>
      </c>
      <c r="C230" s="10">
        <f>COUNTIF('Clean Data'!$C$2:$C$1565,$A230)</f>
        <v/>
      </c>
      <c r="D230" s="20">
        <f>SUMIF('Clean Data'!$C$2:$C$1565,$A230,'Clean Data'!$K$2:$K$1565)</f>
        <v/>
      </c>
      <c r="E230" s="10">
        <f>IF(B230&lt;=$K$6,5,IF(B230&lt;=$K$7,4,IF(B230&lt;=$K$8,3,IF(B230&lt;=$K$9,2,1))))</f>
        <v/>
      </c>
      <c r="F230" s="10">
        <f>IF(C230&gt;=$L$9,5,IF(C230&gt;=$L$8,4,IF(C230&gt;=$L$7,3,IF(C230&gt;=$L$6,2,1))))</f>
        <v/>
      </c>
      <c r="G230" s="10">
        <f>IF(D230&gt;=$M$9,5,IF(D230&gt;=$M$8,4,IF(D230&gt;=$M$7,3,IF(D230&gt;=$M$6,2,1))))</f>
        <v/>
      </c>
      <c r="H230" s="10">
        <f>IF(AND(E230&gt;=4,F230&gt;=4),"Champions",IF(AND(E230&gt;=3,F230&gt;=3),"Loyal",IF(AND(E230&gt;=4,F230&lt;=2),"New customers",IF(AND(E230=3,F230&lt;=2),"Potential",IF(AND(E230&lt;=2,F230&gt;=3),"At risk","Inactive")))))</f>
        <v/>
      </c>
    </row>
    <row r="231">
      <c r="A231" s="10" t="inlineStr">
        <is>
          <t>C1223</t>
        </is>
      </c>
      <c r="B231" s="19">
        <f>$B$4-_xlfn.MAXIFS('Clean Data'!$B$2:$B$1565,'Clean Data'!$C$2:$C$1565,$A231)</f>
        <v/>
      </c>
      <c r="C231" s="10">
        <f>COUNTIF('Clean Data'!$C$2:$C$1565,$A231)</f>
        <v/>
      </c>
      <c r="D231" s="20">
        <f>SUMIF('Clean Data'!$C$2:$C$1565,$A231,'Clean Data'!$K$2:$K$1565)</f>
        <v/>
      </c>
      <c r="E231" s="10">
        <f>IF(B231&lt;=$K$6,5,IF(B231&lt;=$K$7,4,IF(B231&lt;=$K$8,3,IF(B231&lt;=$K$9,2,1))))</f>
        <v/>
      </c>
      <c r="F231" s="10">
        <f>IF(C231&gt;=$L$9,5,IF(C231&gt;=$L$8,4,IF(C231&gt;=$L$7,3,IF(C231&gt;=$L$6,2,1))))</f>
        <v/>
      </c>
      <c r="G231" s="10">
        <f>IF(D231&gt;=$M$9,5,IF(D231&gt;=$M$8,4,IF(D231&gt;=$M$7,3,IF(D231&gt;=$M$6,2,1))))</f>
        <v/>
      </c>
      <c r="H231" s="10">
        <f>IF(AND(E231&gt;=4,F231&gt;=4),"Champions",IF(AND(E231&gt;=3,F231&gt;=3),"Loyal",IF(AND(E231&gt;=4,F231&lt;=2),"New customers",IF(AND(E231=3,F231&lt;=2),"Potential",IF(AND(E231&lt;=2,F231&gt;=3),"At risk","Inactive")))))</f>
        <v/>
      </c>
    </row>
    <row r="232">
      <c r="A232" s="10" t="inlineStr">
        <is>
          <t>C1224</t>
        </is>
      </c>
      <c r="B232" s="19">
        <f>$B$4-_xlfn.MAXIFS('Clean Data'!$B$2:$B$1565,'Clean Data'!$C$2:$C$1565,$A232)</f>
        <v/>
      </c>
      <c r="C232" s="10">
        <f>COUNTIF('Clean Data'!$C$2:$C$1565,$A232)</f>
        <v/>
      </c>
      <c r="D232" s="20">
        <f>SUMIF('Clean Data'!$C$2:$C$1565,$A232,'Clean Data'!$K$2:$K$1565)</f>
        <v/>
      </c>
      <c r="E232" s="10">
        <f>IF(B232&lt;=$K$6,5,IF(B232&lt;=$K$7,4,IF(B232&lt;=$K$8,3,IF(B232&lt;=$K$9,2,1))))</f>
        <v/>
      </c>
      <c r="F232" s="10">
        <f>IF(C232&gt;=$L$9,5,IF(C232&gt;=$L$8,4,IF(C232&gt;=$L$7,3,IF(C232&gt;=$L$6,2,1))))</f>
        <v/>
      </c>
      <c r="G232" s="10">
        <f>IF(D232&gt;=$M$9,5,IF(D232&gt;=$M$8,4,IF(D232&gt;=$M$7,3,IF(D232&gt;=$M$6,2,1))))</f>
        <v/>
      </c>
      <c r="H232" s="10">
        <f>IF(AND(E232&gt;=4,F232&gt;=4),"Champions",IF(AND(E232&gt;=3,F232&gt;=3),"Loyal",IF(AND(E232&gt;=4,F232&lt;=2),"New customers",IF(AND(E232=3,F232&lt;=2),"Potential",IF(AND(E232&lt;=2,F232&gt;=3),"At risk","Inactive")))))</f>
        <v/>
      </c>
    </row>
    <row r="233">
      <c r="A233" s="10" t="inlineStr">
        <is>
          <t>C1225</t>
        </is>
      </c>
      <c r="B233" s="19">
        <f>$B$4-_xlfn.MAXIFS('Clean Data'!$B$2:$B$1565,'Clean Data'!$C$2:$C$1565,$A233)</f>
        <v/>
      </c>
      <c r="C233" s="10">
        <f>COUNTIF('Clean Data'!$C$2:$C$1565,$A233)</f>
        <v/>
      </c>
      <c r="D233" s="20">
        <f>SUMIF('Clean Data'!$C$2:$C$1565,$A233,'Clean Data'!$K$2:$K$1565)</f>
        <v/>
      </c>
      <c r="E233" s="10">
        <f>IF(B233&lt;=$K$6,5,IF(B233&lt;=$K$7,4,IF(B233&lt;=$K$8,3,IF(B233&lt;=$K$9,2,1))))</f>
        <v/>
      </c>
      <c r="F233" s="10">
        <f>IF(C233&gt;=$L$9,5,IF(C233&gt;=$L$8,4,IF(C233&gt;=$L$7,3,IF(C233&gt;=$L$6,2,1))))</f>
        <v/>
      </c>
      <c r="G233" s="10">
        <f>IF(D233&gt;=$M$9,5,IF(D233&gt;=$M$8,4,IF(D233&gt;=$M$7,3,IF(D233&gt;=$M$6,2,1))))</f>
        <v/>
      </c>
      <c r="H233" s="10">
        <f>IF(AND(E233&gt;=4,F233&gt;=4),"Champions",IF(AND(E233&gt;=3,F233&gt;=3),"Loyal",IF(AND(E233&gt;=4,F233&lt;=2),"New customers",IF(AND(E233=3,F233&lt;=2),"Potential",IF(AND(E233&lt;=2,F233&gt;=3),"At risk","Inactive")))))</f>
        <v/>
      </c>
    </row>
    <row r="234">
      <c r="A234" s="10" t="inlineStr">
        <is>
          <t>C1226</t>
        </is>
      </c>
      <c r="B234" s="19">
        <f>$B$4-_xlfn.MAXIFS('Clean Data'!$B$2:$B$1565,'Clean Data'!$C$2:$C$1565,$A234)</f>
        <v/>
      </c>
      <c r="C234" s="10">
        <f>COUNTIF('Clean Data'!$C$2:$C$1565,$A234)</f>
        <v/>
      </c>
      <c r="D234" s="20">
        <f>SUMIF('Clean Data'!$C$2:$C$1565,$A234,'Clean Data'!$K$2:$K$1565)</f>
        <v/>
      </c>
      <c r="E234" s="10">
        <f>IF(B234&lt;=$K$6,5,IF(B234&lt;=$K$7,4,IF(B234&lt;=$K$8,3,IF(B234&lt;=$K$9,2,1))))</f>
        <v/>
      </c>
      <c r="F234" s="10">
        <f>IF(C234&gt;=$L$9,5,IF(C234&gt;=$L$8,4,IF(C234&gt;=$L$7,3,IF(C234&gt;=$L$6,2,1))))</f>
        <v/>
      </c>
      <c r="G234" s="10">
        <f>IF(D234&gt;=$M$9,5,IF(D234&gt;=$M$8,4,IF(D234&gt;=$M$7,3,IF(D234&gt;=$M$6,2,1))))</f>
        <v/>
      </c>
      <c r="H234" s="10">
        <f>IF(AND(E234&gt;=4,F234&gt;=4),"Champions",IF(AND(E234&gt;=3,F234&gt;=3),"Loyal",IF(AND(E234&gt;=4,F234&lt;=2),"New customers",IF(AND(E234=3,F234&lt;=2),"Potential",IF(AND(E234&lt;=2,F234&gt;=3),"At risk","Inactive")))))</f>
        <v/>
      </c>
    </row>
    <row r="235">
      <c r="A235" s="10" t="inlineStr">
        <is>
          <t>C1227</t>
        </is>
      </c>
      <c r="B235" s="19">
        <f>$B$4-_xlfn.MAXIFS('Clean Data'!$B$2:$B$1565,'Clean Data'!$C$2:$C$1565,$A235)</f>
        <v/>
      </c>
      <c r="C235" s="10">
        <f>COUNTIF('Clean Data'!$C$2:$C$1565,$A235)</f>
        <v/>
      </c>
      <c r="D235" s="20">
        <f>SUMIF('Clean Data'!$C$2:$C$1565,$A235,'Clean Data'!$K$2:$K$1565)</f>
        <v/>
      </c>
      <c r="E235" s="10">
        <f>IF(B235&lt;=$K$6,5,IF(B235&lt;=$K$7,4,IF(B235&lt;=$K$8,3,IF(B235&lt;=$K$9,2,1))))</f>
        <v/>
      </c>
      <c r="F235" s="10">
        <f>IF(C235&gt;=$L$9,5,IF(C235&gt;=$L$8,4,IF(C235&gt;=$L$7,3,IF(C235&gt;=$L$6,2,1))))</f>
        <v/>
      </c>
      <c r="G235" s="10">
        <f>IF(D235&gt;=$M$9,5,IF(D235&gt;=$M$8,4,IF(D235&gt;=$M$7,3,IF(D235&gt;=$M$6,2,1))))</f>
        <v/>
      </c>
      <c r="H235" s="10">
        <f>IF(AND(E235&gt;=4,F235&gt;=4),"Champions",IF(AND(E235&gt;=3,F235&gt;=3),"Loyal",IF(AND(E235&gt;=4,F235&lt;=2),"New customers",IF(AND(E235=3,F235&lt;=2),"Potential",IF(AND(E235&lt;=2,F235&gt;=3),"At risk","Inactive")))))</f>
        <v/>
      </c>
    </row>
    <row r="236">
      <c r="A236" s="10" t="inlineStr">
        <is>
          <t>C1228</t>
        </is>
      </c>
      <c r="B236" s="19">
        <f>$B$4-_xlfn.MAXIFS('Clean Data'!$B$2:$B$1565,'Clean Data'!$C$2:$C$1565,$A236)</f>
        <v/>
      </c>
      <c r="C236" s="10">
        <f>COUNTIF('Clean Data'!$C$2:$C$1565,$A236)</f>
        <v/>
      </c>
      <c r="D236" s="20">
        <f>SUMIF('Clean Data'!$C$2:$C$1565,$A236,'Clean Data'!$K$2:$K$1565)</f>
        <v/>
      </c>
      <c r="E236" s="10">
        <f>IF(B236&lt;=$K$6,5,IF(B236&lt;=$K$7,4,IF(B236&lt;=$K$8,3,IF(B236&lt;=$K$9,2,1))))</f>
        <v/>
      </c>
      <c r="F236" s="10">
        <f>IF(C236&gt;=$L$9,5,IF(C236&gt;=$L$8,4,IF(C236&gt;=$L$7,3,IF(C236&gt;=$L$6,2,1))))</f>
        <v/>
      </c>
      <c r="G236" s="10">
        <f>IF(D236&gt;=$M$9,5,IF(D236&gt;=$M$8,4,IF(D236&gt;=$M$7,3,IF(D236&gt;=$M$6,2,1))))</f>
        <v/>
      </c>
      <c r="H236" s="10">
        <f>IF(AND(E236&gt;=4,F236&gt;=4),"Champions",IF(AND(E236&gt;=3,F236&gt;=3),"Loyal",IF(AND(E236&gt;=4,F236&lt;=2),"New customers",IF(AND(E236=3,F236&lt;=2),"Potential",IF(AND(E236&lt;=2,F236&gt;=3),"At risk","Inactive")))))</f>
        <v/>
      </c>
    </row>
    <row r="237">
      <c r="A237" s="10" t="inlineStr">
        <is>
          <t>C1229</t>
        </is>
      </c>
      <c r="B237" s="19">
        <f>$B$4-_xlfn.MAXIFS('Clean Data'!$B$2:$B$1565,'Clean Data'!$C$2:$C$1565,$A237)</f>
        <v/>
      </c>
      <c r="C237" s="10">
        <f>COUNTIF('Clean Data'!$C$2:$C$1565,$A237)</f>
        <v/>
      </c>
      <c r="D237" s="20">
        <f>SUMIF('Clean Data'!$C$2:$C$1565,$A237,'Clean Data'!$K$2:$K$1565)</f>
        <v/>
      </c>
      <c r="E237" s="10">
        <f>IF(B237&lt;=$K$6,5,IF(B237&lt;=$K$7,4,IF(B237&lt;=$K$8,3,IF(B237&lt;=$K$9,2,1))))</f>
        <v/>
      </c>
      <c r="F237" s="10">
        <f>IF(C237&gt;=$L$9,5,IF(C237&gt;=$L$8,4,IF(C237&gt;=$L$7,3,IF(C237&gt;=$L$6,2,1))))</f>
        <v/>
      </c>
      <c r="G237" s="10">
        <f>IF(D237&gt;=$M$9,5,IF(D237&gt;=$M$8,4,IF(D237&gt;=$M$7,3,IF(D237&gt;=$M$6,2,1))))</f>
        <v/>
      </c>
      <c r="H237" s="10">
        <f>IF(AND(E237&gt;=4,F237&gt;=4),"Champions",IF(AND(E237&gt;=3,F237&gt;=3),"Loyal",IF(AND(E237&gt;=4,F237&lt;=2),"New customers",IF(AND(E237=3,F237&lt;=2),"Potential",IF(AND(E237&lt;=2,F237&gt;=3),"At risk","Inactive")))))</f>
        <v/>
      </c>
    </row>
    <row r="238">
      <c r="A238" s="10" t="inlineStr">
        <is>
          <t>C1230</t>
        </is>
      </c>
      <c r="B238" s="19">
        <f>$B$4-_xlfn.MAXIFS('Clean Data'!$B$2:$B$1565,'Clean Data'!$C$2:$C$1565,$A238)</f>
        <v/>
      </c>
      <c r="C238" s="10">
        <f>COUNTIF('Clean Data'!$C$2:$C$1565,$A238)</f>
        <v/>
      </c>
      <c r="D238" s="20">
        <f>SUMIF('Clean Data'!$C$2:$C$1565,$A238,'Clean Data'!$K$2:$K$1565)</f>
        <v/>
      </c>
      <c r="E238" s="10">
        <f>IF(B238&lt;=$K$6,5,IF(B238&lt;=$K$7,4,IF(B238&lt;=$K$8,3,IF(B238&lt;=$K$9,2,1))))</f>
        <v/>
      </c>
      <c r="F238" s="10">
        <f>IF(C238&gt;=$L$9,5,IF(C238&gt;=$L$8,4,IF(C238&gt;=$L$7,3,IF(C238&gt;=$L$6,2,1))))</f>
        <v/>
      </c>
      <c r="G238" s="10">
        <f>IF(D238&gt;=$M$9,5,IF(D238&gt;=$M$8,4,IF(D238&gt;=$M$7,3,IF(D238&gt;=$M$6,2,1))))</f>
        <v/>
      </c>
      <c r="H238" s="10">
        <f>IF(AND(E238&gt;=4,F238&gt;=4),"Champions",IF(AND(E238&gt;=3,F238&gt;=3),"Loyal",IF(AND(E238&gt;=4,F238&lt;=2),"New customers",IF(AND(E238=3,F238&lt;=2),"Potential",IF(AND(E238&lt;=2,F238&gt;=3),"At risk","Inactive")))))</f>
        <v/>
      </c>
    </row>
    <row r="239">
      <c r="A239" s="10" t="inlineStr">
        <is>
          <t>C1231</t>
        </is>
      </c>
      <c r="B239" s="19">
        <f>$B$4-_xlfn.MAXIFS('Clean Data'!$B$2:$B$1565,'Clean Data'!$C$2:$C$1565,$A239)</f>
        <v/>
      </c>
      <c r="C239" s="10">
        <f>COUNTIF('Clean Data'!$C$2:$C$1565,$A239)</f>
        <v/>
      </c>
      <c r="D239" s="20">
        <f>SUMIF('Clean Data'!$C$2:$C$1565,$A239,'Clean Data'!$K$2:$K$1565)</f>
        <v/>
      </c>
      <c r="E239" s="10">
        <f>IF(B239&lt;=$K$6,5,IF(B239&lt;=$K$7,4,IF(B239&lt;=$K$8,3,IF(B239&lt;=$K$9,2,1))))</f>
        <v/>
      </c>
      <c r="F239" s="10">
        <f>IF(C239&gt;=$L$9,5,IF(C239&gt;=$L$8,4,IF(C239&gt;=$L$7,3,IF(C239&gt;=$L$6,2,1))))</f>
        <v/>
      </c>
      <c r="G239" s="10">
        <f>IF(D239&gt;=$M$9,5,IF(D239&gt;=$M$8,4,IF(D239&gt;=$M$7,3,IF(D239&gt;=$M$6,2,1))))</f>
        <v/>
      </c>
      <c r="H239" s="10">
        <f>IF(AND(E239&gt;=4,F239&gt;=4),"Champions",IF(AND(E239&gt;=3,F239&gt;=3),"Loyal",IF(AND(E239&gt;=4,F239&lt;=2),"New customers",IF(AND(E239=3,F239&lt;=2),"Potential",IF(AND(E239&lt;=2,F239&gt;=3),"At risk","Inactive")))))</f>
        <v/>
      </c>
    </row>
    <row r="240">
      <c r="A240" s="10" t="inlineStr">
        <is>
          <t>C1232</t>
        </is>
      </c>
      <c r="B240" s="19">
        <f>$B$4-_xlfn.MAXIFS('Clean Data'!$B$2:$B$1565,'Clean Data'!$C$2:$C$1565,$A240)</f>
        <v/>
      </c>
      <c r="C240" s="10">
        <f>COUNTIF('Clean Data'!$C$2:$C$1565,$A240)</f>
        <v/>
      </c>
      <c r="D240" s="20">
        <f>SUMIF('Clean Data'!$C$2:$C$1565,$A240,'Clean Data'!$K$2:$K$1565)</f>
        <v/>
      </c>
      <c r="E240" s="10">
        <f>IF(B240&lt;=$K$6,5,IF(B240&lt;=$K$7,4,IF(B240&lt;=$K$8,3,IF(B240&lt;=$K$9,2,1))))</f>
        <v/>
      </c>
      <c r="F240" s="10">
        <f>IF(C240&gt;=$L$9,5,IF(C240&gt;=$L$8,4,IF(C240&gt;=$L$7,3,IF(C240&gt;=$L$6,2,1))))</f>
        <v/>
      </c>
      <c r="G240" s="10">
        <f>IF(D240&gt;=$M$9,5,IF(D240&gt;=$M$8,4,IF(D240&gt;=$M$7,3,IF(D240&gt;=$M$6,2,1))))</f>
        <v/>
      </c>
      <c r="H240" s="10">
        <f>IF(AND(E240&gt;=4,F240&gt;=4),"Champions",IF(AND(E240&gt;=3,F240&gt;=3),"Loyal",IF(AND(E240&gt;=4,F240&lt;=2),"New customers",IF(AND(E240=3,F240&lt;=2),"Potential",IF(AND(E240&lt;=2,F240&gt;=3),"At risk","Inactive")))))</f>
        <v/>
      </c>
    </row>
    <row r="241">
      <c r="A241" s="10" t="inlineStr">
        <is>
          <t>C1233</t>
        </is>
      </c>
      <c r="B241" s="19">
        <f>$B$4-_xlfn.MAXIFS('Clean Data'!$B$2:$B$1565,'Clean Data'!$C$2:$C$1565,$A241)</f>
        <v/>
      </c>
      <c r="C241" s="10">
        <f>COUNTIF('Clean Data'!$C$2:$C$1565,$A241)</f>
        <v/>
      </c>
      <c r="D241" s="20">
        <f>SUMIF('Clean Data'!$C$2:$C$1565,$A241,'Clean Data'!$K$2:$K$1565)</f>
        <v/>
      </c>
      <c r="E241" s="10">
        <f>IF(B241&lt;=$K$6,5,IF(B241&lt;=$K$7,4,IF(B241&lt;=$K$8,3,IF(B241&lt;=$K$9,2,1))))</f>
        <v/>
      </c>
      <c r="F241" s="10">
        <f>IF(C241&gt;=$L$9,5,IF(C241&gt;=$L$8,4,IF(C241&gt;=$L$7,3,IF(C241&gt;=$L$6,2,1))))</f>
        <v/>
      </c>
      <c r="G241" s="10">
        <f>IF(D241&gt;=$M$9,5,IF(D241&gt;=$M$8,4,IF(D241&gt;=$M$7,3,IF(D241&gt;=$M$6,2,1))))</f>
        <v/>
      </c>
      <c r="H241" s="10">
        <f>IF(AND(E241&gt;=4,F241&gt;=4),"Champions",IF(AND(E241&gt;=3,F241&gt;=3),"Loyal",IF(AND(E241&gt;=4,F241&lt;=2),"New customers",IF(AND(E241=3,F241&lt;=2),"Potential",IF(AND(E241&lt;=2,F241&gt;=3),"At risk","Inactive")))))</f>
        <v/>
      </c>
    </row>
    <row r="242">
      <c r="A242" s="10" t="inlineStr">
        <is>
          <t>C1234</t>
        </is>
      </c>
      <c r="B242" s="19">
        <f>$B$4-_xlfn.MAXIFS('Clean Data'!$B$2:$B$1565,'Clean Data'!$C$2:$C$1565,$A242)</f>
        <v/>
      </c>
      <c r="C242" s="10">
        <f>COUNTIF('Clean Data'!$C$2:$C$1565,$A242)</f>
        <v/>
      </c>
      <c r="D242" s="20">
        <f>SUMIF('Clean Data'!$C$2:$C$1565,$A242,'Clean Data'!$K$2:$K$1565)</f>
        <v/>
      </c>
      <c r="E242" s="10">
        <f>IF(B242&lt;=$K$6,5,IF(B242&lt;=$K$7,4,IF(B242&lt;=$K$8,3,IF(B242&lt;=$K$9,2,1))))</f>
        <v/>
      </c>
      <c r="F242" s="10">
        <f>IF(C242&gt;=$L$9,5,IF(C242&gt;=$L$8,4,IF(C242&gt;=$L$7,3,IF(C242&gt;=$L$6,2,1))))</f>
        <v/>
      </c>
      <c r="G242" s="10">
        <f>IF(D242&gt;=$M$9,5,IF(D242&gt;=$M$8,4,IF(D242&gt;=$M$7,3,IF(D242&gt;=$M$6,2,1))))</f>
        <v/>
      </c>
      <c r="H242" s="10">
        <f>IF(AND(E242&gt;=4,F242&gt;=4),"Champions",IF(AND(E242&gt;=3,F242&gt;=3),"Loyal",IF(AND(E242&gt;=4,F242&lt;=2),"New customers",IF(AND(E242=3,F242&lt;=2),"Potential",IF(AND(E242&lt;=2,F242&gt;=3),"At risk","Inactive")))))</f>
        <v/>
      </c>
    </row>
    <row r="243">
      <c r="A243" s="10" t="inlineStr">
        <is>
          <t>C1235</t>
        </is>
      </c>
      <c r="B243" s="19">
        <f>$B$4-_xlfn.MAXIFS('Clean Data'!$B$2:$B$1565,'Clean Data'!$C$2:$C$1565,$A243)</f>
        <v/>
      </c>
      <c r="C243" s="10">
        <f>COUNTIF('Clean Data'!$C$2:$C$1565,$A243)</f>
        <v/>
      </c>
      <c r="D243" s="20">
        <f>SUMIF('Clean Data'!$C$2:$C$1565,$A243,'Clean Data'!$K$2:$K$1565)</f>
        <v/>
      </c>
      <c r="E243" s="10">
        <f>IF(B243&lt;=$K$6,5,IF(B243&lt;=$K$7,4,IF(B243&lt;=$K$8,3,IF(B243&lt;=$K$9,2,1))))</f>
        <v/>
      </c>
      <c r="F243" s="10">
        <f>IF(C243&gt;=$L$9,5,IF(C243&gt;=$L$8,4,IF(C243&gt;=$L$7,3,IF(C243&gt;=$L$6,2,1))))</f>
        <v/>
      </c>
      <c r="G243" s="10">
        <f>IF(D243&gt;=$M$9,5,IF(D243&gt;=$M$8,4,IF(D243&gt;=$M$7,3,IF(D243&gt;=$M$6,2,1))))</f>
        <v/>
      </c>
      <c r="H243" s="10">
        <f>IF(AND(E243&gt;=4,F243&gt;=4),"Champions",IF(AND(E243&gt;=3,F243&gt;=3),"Loyal",IF(AND(E243&gt;=4,F243&lt;=2),"New customers",IF(AND(E243=3,F243&lt;=2),"Potential",IF(AND(E243&lt;=2,F243&gt;=3),"At risk","Inactive")))))</f>
        <v/>
      </c>
    </row>
    <row r="244">
      <c r="A244" s="10" t="inlineStr">
        <is>
          <t>C1236</t>
        </is>
      </c>
      <c r="B244" s="19">
        <f>$B$4-_xlfn.MAXIFS('Clean Data'!$B$2:$B$1565,'Clean Data'!$C$2:$C$1565,$A244)</f>
        <v/>
      </c>
      <c r="C244" s="10">
        <f>COUNTIF('Clean Data'!$C$2:$C$1565,$A244)</f>
        <v/>
      </c>
      <c r="D244" s="20">
        <f>SUMIF('Clean Data'!$C$2:$C$1565,$A244,'Clean Data'!$K$2:$K$1565)</f>
        <v/>
      </c>
      <c r="E244" s="10">
        <f>IF(B244&lt;=$K$6,5,IF(B244&lt;=$K$7,4,IF(B244&lt;=$K$8,3,IF(B244&lt;=$K$9,2,1))))</f>
        <v/>
      </c>
      <c r="F244" s="10">
        <f>IF(C244&gt;=$L$9,5,IF(C244&gt;=$L$8,4,IF(C244&gt;=$L$7,3,IF(C244&gt;=$L$6,2,1))))</f>
        <v/>
      </c>
      <c r="G244" s="10">
        <f>IF(D244&gt;=$M$9,5,IF(D244&gt;=$M$8,4,IF(D244&gt;=$M$7,3,IF(D244&gt;=$M$6,2,1))))</f>
        <v/>
      </c>
      <c r="H244" s="10">
        <f>IF(AND(E244&gt;=4,F244&gt;=4),"Champions",IF(AND(E244&gt;=3,F244&gt;=3),"Loyal",IF(AND(E244&gt;=4,F244&lt;=2),"New customers",IF(AND(E244=3,F244&lt;=2),"Potential",IF(AND(E244&lt;=2,F244&gt;=3),"At risk","Inactive")))))</f>
        <v/>
      </c>
    </row>
    <row r="245">
      <c r="A245" s="10" t="inlineStr">
        <is>
          <t>C1237</t>
        </is>
      </c>
      <c r="B245" s="19">
        <f>$B$4-_xlfn.MAXIFS('Clean Data'!$B$2:$B$1565,'Clean Data'!$C$2:$C$1565,$A245)</f>
        <v/>
      </c>
      <c r="C245" s="10">
        <f>COUNTIF('Clean Data'!$C$2:$C$1565,$A245)</f>
        <v/>
      </c>
      <c r="D245" s="20">
        <f>SUMIF('Clean Data'!$C$2:$C$1565,$A245,'Clean Data'!$K$2:$K$1565)</f>
        <v/>
      </c>
      <c r="E245" s="10">
        <f>IF(B245&lt;=$K$6,5,IF(B245&lt;=$K$7,4,IF(B245&lt;=$K$8,3,IF(B245&lt;=$K$9,2,1))))</f>
        <v/>
      </c>
      <c r="F245" s="10">
        <f>IF(C245&gt;=$L$9,5,IF(C245&gt;=$L$8,4,IF(C245&gt;=$L$7,3,IF(C245&gt;=$L$6,2,1))))</f>
        <v/>
      </c>
      <c r="G245" s="10">
        <f>IF(D245&gt;=$M$9,5,IF(D245&gt;=$M$8,4,IF(D245&gt;=$M$7,3,IF(D245&gt;=$M$6,2,1))))</f>
        <v/>
      </c>
      <c r="H245" s="10">
        <f>IF(AND(E245&gt;=4,F245&gt;=4),"Champions",IF(AND(E245&gt;=3,F245&gt;=3),"Loyal",IF(AND(E245&gt;=4,F245&lt;=2),"New customers",IF(AND(E245=3,F245&lt;=2),"Potential",IF(AND(E245&lt;=2,F245&gt;=3),"At risk","Inactive")))))</f>
        <v/>
      </c>
    </row>
    <row r="246">
      <c r="A246" s="10" t="inlineStr">
        <is>
          <t>C1238</t>
        </is>
      </c>
      <c r="B246" s="19">
        <f>$B$4-_xlfn.MAXIFS('Clean Data'!$B$2:$B$1565,'Clean Data'!$C$2:$C$1565,$A246)</f>
        <v/>
      </c>
      <c r="C246" s="10">
        <f>COUNTIF('Clean Data'!$C$2:$C$1565,$A246)</f>
        <v/>
      </c>
      <c r="D246" s="20">
        <f>SUMIF('Clean Data'!$C$2:$C$1565,$A246,'Clean Data'!$K$2:$K$1565)</f>
        <v/>
      </c>
      <c r="E246" s="10">
        <f>IF(B246&lt;=$K$6,5,IF(B246&lt;=$K$7,4,IF(B246&lt;=$K$8,3,IF(B246&lt;=$K$9,2,1))))</f>
        <v/>
      </c>
      <c r="F246" s="10">
        <f>IF(C246&gt;=$L$9,5,IF(C246&gt;=$L$8,4,IF(C246&gt;=$L$7,3,IF(C246&gt;=$L$6,2,1))))</f>
        <v/>
      </c>
      <c r="G246" s="10">
        <f>IF(D246&gt;=$M$9,5,IF(D246&gt;=$M$8,4,IF(D246&gt;=$M$7,3,IF(D246&gt;=$M$6,2,1))))</f>
        <v/>
      </c>
      <c r="H246" s="10">
        <f>IF(AND(E246&gt;=4,F246&gt;=4),"Champions",IF(AND(E246&gt;=3,F246&gt;=3),"Loyal",IF(AND(E246&gt;=4,F246&lt;=2),"New customers",IF(AND(E246=3,F246&lt;=2),"Potential",IF(AND(E246&lt;=2,F246&gt;=3),"At risk","Inactive")))))</f>
        <v/>
      </c>
    </row>
    <row r="247">
      <c r="A247" s="10" t="inlineStr">
        <is>
          <t>C1239</t>
        </is>
      </c>
      <c r="B247" s="19">
        <f>$B$4-_xlfn.MAXIFS('Clean Data'!$B$2:$B$1565,'Clean Data'!$C$2:$C$1565,$A247)</f>
        <v/>
      </c>
      <c r="C247" s="10">
        <f>COUNTIF('Clean Data'!$C$2:$C$1565,$A247)</f>
        <v/>
      </c>
      <c r="D247" s="20">
        <f>SUMIF('Clean Data'!$C$2:$C$1565,$A247,'Clean Data'!$K$2:$K$1565)</f>
        <v/>
      </c>
      <c r="E247" s="10">
        <f>IF(B247&lt;=$K$6,5,IF(B247&lt;=$K$7,4,IF(B247&lt;=$K$8,3,IF(B247&lt;=$K$9,2,1))))</f>
        <v/>
      </c>
      <c r="F247" s="10">
        <f>IF(C247&gt;=$L$9,5,IF(C247&gt;=$L$8,4,IF(C247&gt;=$L$7,3,IF(C247&gt;=$L$6,2,1))))</f>
        <v/>
      </c>
      <c r="G247" s="10">
        <f>IF(D247&gt;=$M$9,5,IF(D247&gt;=$M$8,4,IF(D247&gt;=$M$7,3,IF(D247&gt;=$M$6,2,1))))</f>
        <v/>
      </c>
      <c r="H247" s="10">
        <f>IF(AND(E247&gt;=4,F247&gt;=4),"Champions",IF(AND(E247&gt;=3,F247&gt;=3),"Loyal",IF(AND(E247&gt;=4,F247&lt;=2),"New customers",IF(AND(E247=3,F247&lt;=2),"Potential",IF(AND(E247&lt;=2,F247&gt;=3),"At risk","Inactive")))))</f>
        <v/>
      </c>
    </row>
    <row r="248">
      <c r="A248" s="10" t="inlineStr">
        <is>
          <t>C1240</t>
        </is>
      </c>
      <c r="B248" s="19">
        <f>$B$4-_xlfn.MAXIFS('Clean Data'!$B$2:$B$1565,'Clean Data'!$C$2:$C$1565,$A248)</f>
        <v/>
      </c>
      <c r="C248" s="10">
        <f>COUNTIF('Clean Data'!$C$2:$C$1565,$A248)</f>
        <v/>
      </c>
      <c r="D248" s="20">
        <f>SUMIF('Clean Data'!$C$2:$C$1565,$A248,'Clean Data'!$K$2:$K$1565)</f>
        <v/>
      </c>
      <c r="E248" s="10">
        <f>IF(B248&lt;=$K$6,5,IF(B248&lt;=$K$7,4,IF(B248&lt;=$K$8,3,IF(B248&lt;=$K$9,2,1))))</f>
        <v/>
      </c>
      <c r="F248" s="10">
        <f>IF(C248&gt;=$L$9,5,IF(C248&gt;=$L$8,4,IF(C248&gt;=$L$7,3,IF(C248&gt;=$L$6,2,1))))</f>
        <v/>
      </c>
      <c r="G248" s="10">
        <f>IF(D248&gt;=$M$9,5,IF(D248&gt;=$M$8,4,IF(D248&gt;=$M$7,3,IF(D248&gt;=$M$6,2,1))))</f>
        <v/>
      </c>
      <c r="H248" s="10">
        <f>IF(AND(E248&gt;=4,F248&gt;=4),"Champions",IF(AND(E248&gt;=3,F248&gt;=3),"Loyal",IF(AND(E248&gt;=4,F248&lt;=2),"New customers",IF(AND(E248=3,F248&lt;=2),"Potential",IF(AND(E248&lt;=2,F248&gt;=3),"At risk","Inactive")))))</f>
        <v/>
      </c>
    </row>
    <row r="249">
      <c r="A249" s="10" t="inlineStr">
        <is>
          <t>C1241</t>
        </is>
      </c>
      <c r="B249" s="19">
        <f>$B$4-_xlfn.MAXIFS('Clean Data'!$B$2:$B$1565,'Clean Data'!$C$2:$C$1565,$A249)</f>
        <v/>
      </c>
      <c r="C249" s="10">
        <f>COUNTIF('Clean Data'!$C$2:$C$1565,$A249)</f>
        <v/>
      </c>
      <c r="D249" s="20">
        <f>SUMIF('Clean Data'!$C$2:$C$1565,$A249,'Clean Data'!$K$2:$K$1565)</f>
        <v/>
      </c>
      <c r="E249" s="10">
        <f>IF(B249&lt;=$K$6,5,IF(B249&lt;=$K$7,4,IF(B249&lt;=$K$8,3,IF(B249&lt;=$K$9,2,1))))</f>
        <v/>
      </c>
      <c r="F249" s="10">
        <f>IF(C249&gt;=$L$9,5,IF(C249&gt;=$L$8,4,IF(C249&gt;=$L$7,3,IF(C249&gt;=$L$6,2,1))))</f>
        <v/>
      </c>
      <c r="G249" s="10">
        <f>IF(D249&gt;=$M$9,5,IF(D249&gt;=$M$8,4,IF(D249&gt;=$M$7,3,IF(D249&gt;=$M$6,2,1))))</f>
        <v/>
      </c>
      <c r="H249" s="10">
        <f>IF(AND(E249&gt;=4,F249&gt;=4),"Champions",IF(AND(E249&gt;=3,F249&gt;=3),"Loyal",IF(AND(E249&gt;=4,F249&lt;=2),"New customers",IF(AND(E249=3,F249&lt;=2),"Potential",IF(AND(E249&lt;=2,F249&gt;=3),"At risk","Inactive")))))</f>
        <v/>
      </c>
    </row>
    <row r="250">
      <c r="A250" s="10" t="inlineStr">
        <is>
          <t>C1242</t>
        </is>
      </c>
      <c r="B250" s="19">
        <f>$B$4-_xlfn.MAXIFS('Clean Data'!$B$2:$B$1565,'Clean Data'!$C$2:$C$1565,$A250)</f>
        <v/>
      </c>
      <c r="C250" s="10">
        <f>COUNTIF('Clean Data'!$C$2:$C$1565,$A250)</f>
        <v/>
      </c>
      <c r="D250" s="20">
        <f>SUMIF('Clean Data'!$C$2:$C$1565,$A250,'Clean Data'!$K$2:$K$1565)</f>
        <v/>
      </c>
      <c r="E250" s="10">
        <f>IF(B250&lt;=$K$6,5,IF(B250&lt;=$K$7,4,IF(B250&lt;=$K$8,3,IF(B250&lt;=$K$9,2,1))))</f>
        <v/>
      </c>
      <c r="F250" s="10">
        <f>IF(C250&gt;=$L$9,5,IF(C250&gt;=$L$8,4,IF(C250&gt;=$L$7,3,IF(C250&gt;=$L$6,2,1))))</f>
        <v/>
      </c>
      <c r="G250" s="10">
        <f>IF(D250&gt;=$M$9,5,IF(D250&gt;=$M$8,4,IF(D250&gt;=$M$7,3,IF(D250&gt;=$M$6,2,1))))</f>
        <v/>
      </c>
      <c r="H250" s="10">
        <f>IF(AND(E250&gt;=4,F250&gt;=4),"Champions",IF(AND(E250&gt;=3,F250&gt;=3),"Loyal",IF(AND(E250&gt;=4,F250&lt;=2),"New customers",IF(AND(E250=3,F250&lt;=2),"Potential",IF(AND(E250&lt;=2,F250&gt;=3),"At risk","Inactive")))))</f>
        <v/>
      </c>
    </row>
    <row r="251">
      <c r="A251" s="10" t="inlineStr">
        <is>
          <t>C1243</t>
        </is>
      </c>
      <c r="B251" s="19">
        <f>$B$4-_xlfn.MAXIFS('Clean Data'!$B$2:$B$1565,'Clean Data'!$C$2:$C$1565,$A251)</f>
        <v/>
      </c>
      <c r="C251" s="10">
        <f>COUNTIF('Clean Data'!$C$2:$C$1565,$A251)</f>
        <v/>
      </c>
      <c r="D251" s="20">
        <f>SUMIF('Clean Data'!$C$2:$C$1565,$A251,'Clean Data'!$K$2:$K$1565)</f>
        <v/>
      </c>
      <c r="E251" s="10">
        <f>IF(B251&lt;=$K$6,5,IF(B251&lt;=$K$7,4,IF(B251&lt;=$K$8,3,IF(B251&lt;=$K$9,2,1))))</f>
        <v/>
      </c>
      <c r="F251" s="10">
        <f>IF(C251&gt;=$L$9,5,IF(C251&gt;=$L$8,4,IF(C251&gt;=$L$7,3,IF(C251&gt;=$L$6,2,1))))</f>
        <v/>
      </c>
      <c r="G251" s="10">
        <f>IF(D251&gt;=$M$9,5,IF(D251&gt;=$M$8,4,IF(D251&gt;=$M$7,3,IF(D251&gt;=$M$6,2,1))))</f>
        <v/>
      </c>
      <c r="H251" s="10">
        <f>IF(AND(E251&gt;=4,F251&gt;=4),"Champions",IF(AND(E251&gt;=3,F251&gt;=3),"Loyal",IF(AND(E251&gt;=4,F251&lt;=2),"New customers",IF(AND(E251=3,F251&lt;=2),"Potential",IF(AND(E251&lt;=2,F251&gt;=3),"At risk","Inactive")))))</f>
        <v/>
      </c>
    </row>
    <row r="252">
      <c r="A252" s="10" t="inlineStr">
        <is>
          <t>C1244</t>
        </is>
      </c>
      <c r="B252" s="19">
        <f>$B$4-_xlfn.MAXIFS('Clean Data'!$B$2:$B$1565,'Clean Data'!$C$2:$C$1565,$A252)</f>
        <v/>
      </c>
      <c r="C252" s="10">
        <f>COUNTIF('Clean Data'!$C$2:$C$1565,$A252)</f>
        <v/>
      </c>
      <c r="D252" s="20">
        <f>SUMIF('Clean Data'!$C$2:$C$1565,$A252,'Clean Data'!$K$2:$K$1565)</f>
        <v/>
      </c>
      <c r="E252" s="10">
        <f>IF(B252&lt;=$K$6,5,IF(B252&lt;=$K$7,4,IF(B252&lt;=$K$8,3,IF(B252&lt;=$K$9,2,1))))</f>
        <v/>
      </c>
      <c r="F252" s="10">
        <f>IF(C252&gt;=$L$9,5,IF(C252&gt;=$L$8,4,IF(C252&gt;=$L$7,3,IF(C252&gt;=$L$6,2,1))))</f>
        <v/>
      </c>
      <c r="G252" s="10">
        <f>IF(D252&gt;=$M$9,5,IF(D252&gt;=$M$8,4,IF(D252&gt;=$M$7,3,IF(D252&gt;=$M$6,2,1))))</f>
        <v/>
      </c>
      <c r="H252" s="10">
        <f>IF(AND(E252&gt;=4,F252&gt;=4),"Champions",IF(AND(E252&gt;=3,F252&gt;=3),"Loyal",IF(AND(E252&gt;=4,F252&lt;=2),"New customers",IF(AND(E252=3,F252&lt;=2),"Potential",IF(AND(E252&lt;=2,F252&gt;=3),"At risk","Inactive")))))</f>
        <v/>
      </c>
    </row>
    <row r="253">
      <c r="A253" s="10" t="inlineStr">
        <is>
          <t>C1245</t>
        </is>
      </c>
      <c r="B253" s="19">
        <f>$B$4-_xlfn.MAXIFS('Clean Data'!$B$2:$B$1565,'Clean Data'!$C$2:$C$1565,$A253)</f>
        <v/>
      </c>
      <c r="C253" s="10">
        <f>COUNTIF('Clean Data'!$C$2:$C$1565,$A253)</f>
        <v/>
      </c>
      <c r="D253" s="20">
        <f>SUMIF('Clean Data'!$C$2:$C$1565,$A253,'Clean Data'!$K$2:$K$1565)</f>
        <v/>
      </c>
      <c r="E253" s="10">
        <f>IF(B253&lt;=$K$6,5,IF(B253&lt;=$K$7,4,IF(B253&lt;=$K$8,3,IF(B253&lt;=$K$9,2,1))))</f>
        <v/>
      </c>
      <c r="F253" s="10">
        <f>IF(C253&gt;=$L$9,5,IF(C253&gt;=$L$8,4,IF(C253&gt;=$L$7,3,IF(C253&gt;=$L$6,2,1))))</f>
        <v/>
      </c>
      <c r="G253" s="10">
        <f>IF(D253&gt;=$M$9,5,IF(D253&gt;=$M$8,4,IF(D253&gt;=$M$7,3,IF(D253&gt;=$M$6,2,1))))</f>
        <v/>
      </c>
      <c r="H253" s="10">
        <f>IF(AND(E253&gt;=4,F253&gt;=4),"Champions",IF(AND(E253&gt;=3,F253&gt;=3),"Loyal",IF(AND(E253&gt;=4,F253&lt;=2),"New customers",IF(AND(E253=3,F253&lt;=2),"Potential",IF(AND(E253&lt;=2,F253&gt;=3),"At risk","Inactive")))))</f>
        <v/>
      </c>
    </row>
    <row r="254">
      <c r="A254" s="10" t="inlineStr">
        <is>
          <t>C1246</t>
        </is>
      </c>
      <c r="B254" s="19">
        <f>$B$4-_xlfn.MAXIFS('Clean Data'!$B$2:$B$1565,'Clean Data'!$C$2:$C$1565,$A254)</f>
        <v/>
      </c>
      <c r="C254" s="10">
        <f>COUNTIF('Clean Data'!$C$2:$C$1565,$A254)</f>
        <v/>
      </c>
      <c r="D254" s="20">
        <f>SUMIF('Clean Data'!$C$2:$C$1565,$A254,'Clean Data'!$K$2:$K$1565)</f>
        <v/>
      </c>
      <c r="E254" s="10">
        <f>IF(B254&lt;=$K$6,5,IF(B254&lt;=$K$7,4,IF(B254&lt;=$K$8,3,IF(B254&lt;=$K$9,2,1))))</f>
        <v/>
      </c>
      <c r="F254" s="10">
        <f>IF(C254&gt;=$L$9,5,IF(C254&gt;=$L$8,4,IF(C254&gt;=$L$7,3,IF(C254&gt;=$L$6,2,1))))</f>
        <v/>
      </c>
      <c r="G254" s="10">
        <f>IF(D254&gt;=$M$9,5,IF(D254&gt;=$M$8,4,IF(D254&gt;=$M$7,3,IF(D254&gt;=$M$6,2,1))))</f>
        <v/>
      </c>
      <c r="H254" s="10">
        <f>IF(AND(E254&gt;=4,F254&gt;=4),"Champions",IF(AND(E254&gt;=3,F254&gt;=3),"Loyal",IF(AND(E254&gt;=4,F254&lt;=2),"New customers",IF(AND(E254=3,F254&lt;=2),"Potential",IF(AND(E254&lt;=2,F254&gt;=3),"At risk","Inactive")))))</f>
        <v/>
      </c>
    </row>
    <row r="255">
      <c r="A255" s="10" t="inlineStr">
        <is>
          <t>C1247</t>
        </is>
      </c>
      <c r="B255" s="19">
        <f>$B$4-_xlfn.MAXIFS('Clean Data'!$B$2:$B$1565,'Clean Data'!$C$2:$C$1565,$A255)</f>
        <v/>
      </c>
      <c r="C255" s="10">
        <f>COUNTIF('Clean Data'!$C$2:$C$1565,$A255)</f>
        <v/>
      </c>
      <c r="D255" s="20">
        <f>SUMIF('Clean Data'!$C$2:$C$1565,$A255,'Clean Data'!$K$2:$K$1565)</f>
        <v/>
      </c>
      <c r="E255" s="10">
        <f>IF(B255&lt;=$K$6,5,IF(B255&lt;=$K$7,4,IF(B255&lt;=$K$8,3,IF(B255&lt;=$K$9,2,1))))</f>
        <v/>
      </c>
      <c r="F255" s="10">
        <f>IF(C255&gt;=$L$9,5,IF(C255&gt;=$L$8,4,IF(C255&gt;=$L$7,3,IF(C255&gt;=$L$6,2,1))))</f>
        <v/>
      </c>
      <c r="G255" s="10">
        <f>IF(D255&gt;=$M$9,5,IF(D255&gt;=$M$8,4,IF(D255&gt;=$M$7,3,IF(D255&gt;=$M$6,2,1))))</f>
        <v/>
      </c>
      <c r="H255" s="10">
        <f>IF(AND(E255&gt;=4,F255&gt;=4),"Champions",IF(AND(E255&gt;=3,F255&gt;=3),"Loyal",IF(AND(E255&gt;=4,F255&lt;=2),"New customers",IF(AND(E255=3,F255&lt;=2),"Potential",IF(AND(E255&lt;=2,F255&gt;=3),"At risk","Inactive")))))</f>
        <v/>
      </c>
    </row>
    <row r="256">
      <c r="A256" s="10" t="inlineStr">
        <is>
          <t>C1248</t>
        </is>
      </c>
      <c r="B256" s="19">
        <f>$B$4-_xlfn.MAXIFS('Clean Data'!$B$2:$B$1565,'Clean Data'!$C$2:$C$1565,$A256)</f>
        <v/>
      </c>
      <c r="C256" s="10">
        <f>COUNTIF('Clean Data'!$C$2:$C$1565,$A256)</f>
        <v/>
      </c>
      <c r="D256" s="20">
        <f>SUMIF('Clean Data'!$C$2:$C$1565,$A256,'Clean Data'!$K$2:$K$1565)</f>
        <v/>
      </c>
      <c r="E256" s="10">
        <f>IF(B256&lt;=$K$6,5,IF(B256&lt;=$K$7,4,IF(B256&lt;=$K$8,3,IF(B256&lt;=$K$9,2,1))))</f>
        <v/>
      </c>
      <c r="F256" s="10">
        <f>IF(C256&gt;=$L$9,5,IF(C256&gt;=$L$8,4,IF(C256&gt;=$L$7,3,IF(C256&gt;=$L$6,2,1))))</f>
        <v/>
      </c>
      <c r="G256" s="10">
        <f>IF(D256&gt;=$M$9,5,IF(D256&gt;=$M$8,4,IF(D256&gt;=$M$7,3,IF(D256&gt;=$M$6,2,1))))</f>
        <v/>
      </c>
      <c r="H256" s="10">
        <f>IF(AND(E256&gt;=4,F256&gt;=4),"Champions",IF(AND(E256&gt;=3,F256&gt;=3),"Loyal",IF(AND(E256&gt;=4,F256&lt;=2),"New customers",IF(AND(E256=3,F256&lt;=2),"Potential",IF(AND(E256&lt;=2,F256&gt;=3),"At risk","Inactive")))))</f>
        <v/>
      </c>
    </row>
    <row r="257">
      <c r="A257" s="10" t="inlineStr">
        <is>
          <t>C1249</t>
        </is>
      </c>
      <c r="B257" s="19">
        <f>$B$4-_xlfn.MAXIFS('Clean Data'!$B$2:$B$1565,'Clean Data'!$C$2:$C$1565,$A257)</f>
        <v/>
      </c>
      <c r="C257" s="10">
        <f>COUNTIF('Clean Data'!$C$2:$C$1565,$A257)</f>
        <v/>
      </c>
      <c r="D257" s="20">
        <f>SUMIF('Clean Data'!$C$2:$C$1565,$A257,'Clean Data'!$K$2:$K$1565)</f>
        <v/>
      </c>
      <c r="E257" s="10">
        <f>IF(B257&lt;=$K$6,5,IF(B257&lt;=$K$7,4,IF(B257&lt;=$K$8,3,IF(B257&lt;=$K$9,2,1))))</f>
        <v/>
      </c>
      <c r="F257" s="10">
        <f>IF(C257&gt;=$L$9,5,IF(C257&gt;=$L$8,4,IF(C257&gt;=$L$7,3,IF(C257&gt;=$L$6,2,1))))</f>
        <v/>
      </c>
      <c r="G257" s="10">
        <f>IF(D257&gt;=$M$9,5,IF(D257&gt;=$M$8,4,IF(D257&gt;=$M$7,3,IF(D257&gt;=$M$6,2,1))))</f>
        <v/>
      </c>
      <c r="H257" s="10">
        <f>IF(AND(E257&gt;=4,F257&gt;=4),"Champions",IF(AND(E257&gt;=3,F257&gt;=3),"Loyal",IF(AND(E257&gt;=4,F257&lt;=2),"New customers",IF(AND(E257=3,F257&lt;=2),"Potential",IF(AND(E257&lt;=2,F257&gt;=3),"At risk","Inactive")))))</f>
        <v/>
      </c>
    </row>
    <row r="258">
      <c r="A258" s="10" t="inlineStr">
        <is>
          <t>C1250</t>
        </is>
      </c>
      <c r="B258" s="19">
        <f>$B$4-_xlfn.MAXIFS('Clean Data'!$B$2:$B$1565,'Clean Data'!$C$2:$C$1565,$A258)</f>
        <v/>
      </c>
      <c r="C258" s="10">
        <f>COUNTIF('Clean Data'!$C$2:$C$1565,$A258)</f>
        <v/>
      </c>
      <c r="D258" s="20">
        <f>SUMIF('Clean Data'!$C$2:$C$1565,$A258,'Clean Data'!$K$2:$K$1565)</f>
        <v/>
      </c>
      <c r="E258" s="10">
        <f>IF(B258&lt;=$K$6,5,IF(B258&lt;=$K$7,4,IF(B258&lt;=$K$8,3,IF(B258&lt;=$K$9,2,1))))</f>
        <v/>
      </c>
      <c r="F258" s="10">
        <f>IF(C258&gt;=$L$9,5,IF(C258&gt;=$L$8,4,IF(C258&gt;=$L$7,3,IF(C258&gt;=$L$6,2,1))))</f>
        <v/>
      </c>
      <c r="G258" s="10">
        <f>IF(D258&gt;=$M$9,5,IF(D258&gt;=$M$8,4,IF(D258&gt;=$M$7,3,IF(D258&gt;=$M$6,2,1))))</f>
        <v/>
      </c>
      <c r="H258" s="10">
        <f>IF(AND(E258&gt;=4,F258&gt;=4),"Champions",IF(AND(E258&gt;=3,F258&gt;=3),"Loyal",IF(AND(E258&gt;=4,F258&lt;=2),"New customers",IF(AND(E258=3,F258&lt;=2),"Potential",IF(AND(E258&lt;=2,F258&gt;=3),"At risk","Inactive")))))</f>
        <v/>
      </c>
    </row>
    <row r="259">
      <c r="A259" s="10" t="inlineStr">
        <is>
          <t>C1251</t>
        </is>
      </c>
      <c r="B259" s="19">
        <f>$B$4-_xlfn.MAXIFS('Clean Data'!$B$2:$B$1565,'Clean Data'!$C$2:$C$1565,$A259)</f>
        <v/>
      </c>
      <c r="C259" s="10">
        <f>COUNTIF('Clean Data'!$C$2:$C$1565,$A259)</f>
        <v/>
      </c>
      <c r="D259" s="20">
        <f>SUMIF('Clean Data'!$C$2:$C$1565,$A259,'Clean Data'!$K$2:$K$1565)</f>
        <v/>
      </c>
      <c r="E259" s="10">
        <f>IF(B259&lt;=$K$6,5,IF(B259&lt;=$K$7,4,IF(B259&lt;=$K$8,3,IF(B259&lt;=$K$9,2,1))))</f>
        <v/>
      </c>
      <c r="F259" s="10">
        <f>IF(C259&gt;=$L$9,5,IF(C259&gt;=$L$8,4,IF(C259&gt;=$L$7,3,IF(C259&gt;=$L$6,2,1))))</f>
        <v/>
      </c>
      <c r="G259" s="10">
        <f>IF(D259&gt;=$M$9,5,IF(D259&gt;=$M$8,4,IF(D259&gt;=$M$7,3,IF(D259&gt;=$M$6,2,1))))</f>
        <v/>
      </c>
      <c r="H259" s="10">
        <f>IF(AND(E259&gt;=4,F259&gt;=4),"Champions",IF(AND(E259&gt;=3,F259&gt;=3),"Loyal",IF(AND(E259&gt;=4,F259&lt;=2),"New customers",IF(AND(E259=3,F259&lt;=2),"Potential",IF(AND(E259&lt;=2,F259&gt;=3),"At risk","Inactive")))))</f>
        <v/>
      </c>
    </row>
    <row r="260">
      <c r="A260" s="10" t="inlineStr">
        <is>
          <t>C1252</t>
        </is>
      </c>
      <c r="B260" s="19">
        <f>$B$4-_xlfn.MAXIFS('Clean Data'!$B$2:$B$1565,'Clean Data'!$C$2:$C$1565,$A260)</f>
        <v/>
      </c>
      <c r="C260" s="10">
        <f>COUNTIF('Clean Data'!$C$2:$C$1565,$A260)</f>
        <v/>
      </c>
      <c r="D260" s="20">
        <f>SUMIF('Clean Data'!$C$2:$C$1565,$A260,'Clean Data'!$K$2:$K$1565)</f>
        <v/>
      </c>
      <c r="E260" s="10">
        <f>IF(B260&lt;=$K$6,5,IF(B260&lt;=$K$7,4,IF(B260&lt;=$K$8,3,IF(B260&lt;=$K$9,2,1))))</f>
        <v/>
      </c>
      <c r="F260" s="10">
        <f>IF(C260&gt;=$L$9,5,IF(C260&gt;=$L$8,4,IF(C260&gt;=$L$7,3,IF(C260&gt;=$L$6,2,1))))</f>
        <v/>
      </c>
      <c r="G260" s="10">
        <f>IF(D260&gt;=$M$9,5,IF(D260&gt;=$M$8,4,IF(D260&gt;=$M$7,3,IF(D260&gt;=$M$6,2,1))))</f>
        <v/>
      </c>
      <c r="H260" s="10">
        <f>IF(AND(E260&gt;=4,F260&gt;=4),"Champions",IF(AND(E260&gt;=3,F260&gt;=3),"Loyal",IF(AND(E260&gt;=4,F260&lt;=2),"New customers",IF(AND(E260=3,F260&lt;=2),"Potential",IF(AND(E260&lt;=2,F260&gt;=3),"At risk","Inactive")))))</f>
        <v/>
      </c>
    </row>
    <row r="261">
      <c r="A261" s="10" t="inlineStr">
        <is>
          <t>C1253</t>
        </is>
      </c>
      <c r="B261" s="19">
        <f>$B$4-_xlfn.MAXIFS('Clean Data'!$B$2:$B$1565,'Clean Data'!$C$2:$C$1565,$A261)</f>
        <v/>
      </c>
      <c r="C261" s="10">
        <f>COUNTIF('Clean Data'!$C$2:$C$1565,$A261)</f>
        <v/>
      </c>
      <c r="D261" s="20">
        <f>SUMIF('Clean Data'!$C$2:$C$1565,$A261,'Clean Data'!$K$2:$K$1565)</f>
        <v/>
      </c>
      <c r="E261" s="10">
        <f>IF(B261&lt;=$K$6,5,IF(B261&lt;=$K$7,4,IF(B261&lt;=$K$8,3,IF(B261&lt;=$K$9,2,1))))</f>
        <v/>
      </c>
      <c r="F261" s="10">
        <f>IF(C261&gt;=$L$9,5,IF(C261&gt;=$L$8,4,IF(C261&gt;=$L$7,3,IF(C261&gt;=$L$6,2,1))))</f>
        <v/>
      </c>
      <c r="G261" s="10">
        <f>IF(D261&gt;=$M$9,5,IF(D261&gt;=$M$8,4,IF(D261&gt;=$M$7,3,IF(D261&gt;=$M$6,2,1))))</f>
        <v/>
      </c>
      <c r="H261" s="10">
        <f>IF(AND(E261&gt;=4,F261&gt;=4),"Champions",IF(AND(E261&gt;=3,F261&gt;=3),"Loyal",IF(AND(E261&gt;=4,F261&lt;=2),"New customers",IF(AND(E261=3,F261&lt;=2),"Potential",IF(AND(E261&lt;=2,F261&gt;=3),"At risk","Inactive")))))</f>
        <v/>
      </c>
    </row>
    <row r="262">
      <c r="A262" s="10" t="inlineStr">
        <is>
          <t>C1254</t>
        </is>
      </c>
      <c r="B262" s="19">
        <f>$B$4-_xlfn.MAXIFS('Clean Data'!$B$2:$B$1565,'Clean Data'!$C$2:$C$1565,$A262)</f>
        <v/>
      </c>
      <c r="C262" s="10">
        <f>COUNTIF('Clean Data'!$C$2:$C$1565,$A262)</f>
        <v/>
      </c>
      <c r="D262" s="20">
        <f>SUMIF('Clean Data'!$C$2:$C$1565,$A262,'Clean Data'!$K$2:$K$1565)</f>
        <v/>
      </c>
      <c r="E262" s="10">
        <f>IF(B262&lt;=$K$6,5,IF(B262&lt;=$K$7,4,IF(B262&lt;=$K$8,3,IF(B262&lt;=$K$9,2,1))))</f>
        <v/>
      </c>
      <c r="F262" s="10">
        <f>IF(C262&gt;=$L$9,5,IF(C262&gt;=$L$8,4,IF(C262&gt;=$L$7,3,IF(C262&gt;=$L$6,2,1))))</f>
        <v/>
      </c>
      <c r="G262" s="10">
        <f>IF(D262&gt;=$M$9,5,IF(D262&gt;=$M$8,4,IF(D262&gt;=$M$7,3,IF(D262&gt;=$M$6,2,1))))</f>
        <v/>
      </c>
      <c r="H262" s="10">
        <f>IF(AND(E262&gt;=4,F262&gt;=4),"Champions",IF(AND(E262&gt;=3,F262&gt;=3),"Loyal",IF(AND(E262&gt;=4,F262&lt;=2),"New customers",IF(AND(E262=3,F262&lt;=2),"Potential",IF(AND(E262&lt;=2,F262&gt;=3),"At risk","Inactive")))))</f>
        <v/>
      </c>
    </row>
    <row r="263">
      <c r="A263" s="10" t="inlineStr">
        <is>
          <t>C1255</t>
        </is>
      </c>
      <c r="B263" s="19">
        <f>$B$4-_xlfn.MAXIFS('Clean Data'!$B$2:$B$1565,'Clean Data'!$C$2:$C$1565,$A263)</f>
        <v/>
      </c>
      <c r="C263" s="10">
        <f>COUNTIF('Clean Data'!$C$2:$C$1565,$A263)</f>
        <v/>
      </c>
      <c r="D263" s="20">
        <f>SUMIF('Clean Data'!$C$2:$C$1565,$A263,'Clean Data'!$K$2:$K$1565)</f>
        <v/>
      </c>
      <c r="E263" s="10">
        <f>IF(B263&lt;=$K$6,5,IF(B263&lt;=$K$7,4,IF(B263&lt;=$K$8,3,IF(B263&lt;=$K$9,2,1))))</f>
        <v/>
      </c>
      <c r="F263" s="10">
        <f>IF(C263&gt;=$L$9,5,IF(C263&gt;=$L$8,4,IF(C263&gt;=$L$7,3,IF(C263&gt;=$L$6,2,1))))</f>
        <v/>
      </c>
      <c r="G263" s="10">
        <f>IF(D263&gt;=$M$9,5,IF(D263&gt;=$M$8,4,IF(D263&gt;=$M$7,3,IF(D263&gt;=$M$6,2,1))))</f>
        <v/>
      </c>
      <c r="H263" s="10">
        <f>IF(AND(E263&gt;=4,F263&gt;=4),"Champions",IF(AND(E263&gt;=3,F263&gt;=3),"Loyal",IF(AND(E263&gt;=4,F263&lt;=2),"New customers",IF(AND(E263=3,F263&lt;=2),"Potential",IF(AND(E263&lt;=2,F263&gt;=3),"At risk","Inactive")))))</f>
        <v/>
      </c>
    </row>
    <row r="264">
      <c r="A264" s="10" t="inlineStr">
        <is>
          <t>C1256</t>
        </is>
      </c>
      <c r="B264" s="19">
        <f>$B$4-_xlfn.MAXIFS('Clean Data'!$B$2:$B$1565,'Clean Data'!$C$2:$C$1565,$A264)</f>
        <v/>
      </c>
      <c r="C264" s="10">
        <f>COUNTIF('Clean Data'!$C$2:$C$1565,$A264)</f>
        <v/>
      </c>
      <c r="D264" s="20">
        <f>SUMIF('Clean Data'!$C$2:$C$1565,$A264,'Clean Data'!$K$2:$K$1565)</f>
        <v/>
      </c>
      <c r="E264" s="10">
        <f>IF(B264&lt;=$K$6,5,IF(B264&lt;=$K$7,4,IF(B264&lt;=$K$8,3,IF(B264&lt;=$K$9,2,1))))</f>
        <v/>
      </c>
      <c r="F264" s="10">
        <f>IF(C264&gt;=$L$9,5,IF(C264&gt;=$L$8,4,IF(C264&gt;=$L$7,3,IF(C264&gt;=$L$6,2,1))))</f>
        <v/>
      </c>
      <c r="G264" s="10">
        <f>IF(D264&gt;=$M$9,5,IF(D264&gt;=$M$8,4,IF(D264&gt;=$M$7,3,IF(D264&gt;=$M$6,2,1))))</f>
        <v/>
      </c>
      <c r="H264" s="10">
        <f>IF(AND(E264&gt;=4,F264&gt;=4),"Champions",IF(AND(E264&gt;=3,F264&gt;=3),"Loyal",IF(AND(E264&gt;=4,F264&lt;=2),"New customers",IF(AND(E264=3,F264&lt;=2),"Potential",IF(AND(E264&lt;=2,F264&gt;=3),"At risk","Inactive")))))</f>
        <v/>
      </c>
    </row>
    <row r="265">
      <c r="A265" s="10" t="inlineStr">
        <is>
          <t>C1257</t>
        </is>
      </c>
      <c r="B265" s="19">
        <f>$B$4-_xlfn.MAXIFS('Clean Data'!$B$2:$B$1565,'Clean Data'!$C$2:$C$1565,$A265)</f>
        <v/>
      </c>
      <c r="C265" s="10">
        <f>COUNTIF('Clean Data'!$C$2:$C$1565,$A265)</f>
        <v/>
      </c>
      <c r="D265" s="20">
        <f>SUMIF('Clean Data'!$C$2:$C$1565,$A265,'Clean Data'!$K$2:$K$1565)</f>
        <v/>
      </c>
      <c r="E265" s="10">
        <f>IF(B265&lt;=$K$6,5,IF(B265&lt;=$K$7,4,IF(B265&lt;=$K$8,3,IF(B265&lt;=$K$9,2,1))))</f>
        <v/>
      </c>
      <c r="F265" s="10">
        <f>IF(C265&gt;=$L$9,5,IF(C265&gt;=$L$8,4,IF(C265&gt;=$L$7,3,IF(C265&gt;=$L$6,2,1))))</f>
        <v/>
      </c>
      <c r="G265" s="10">
        <f>IF(D265&gt;=$M$9,5,IF(D265&gt;=$M$8,4,IF(D265&gt;=$M$7,3,IF(D265&gt;=$M$6,2,1))))</f>
        <v/>
      </c>
      <c r="H265" s="10">
        <f>IF(AND(E265&gt;=4,F265&gt;=4),"Champions",IF(AND(E265&gt;=3,F265&gt;=3),"Loyal",IF(AND(E265&gt;=4,F265&lt;=2),"New customers",IF(AND(E265=3,F265&lt;=2),"Potential",IF(AND(E265&lt;=2,F265&gt;=3),"At risk","Inactive")))))</f>
        <v/>
      </c>
    </row>
    <row r="266">
      <c r="A266" s="10" t="inlineStr">
        <is>
          <t>C1258</t>
        </is>
      </c>
      <c r="B266" s="19">
        <f>$B$4-_xlfn.MAXIFS('Clean Data'!$B$2:$B$1565,'Clean Data'!$C$2:$C$1565,$A266)</f>
        <v/>
      </c>
      <c r="C266" s="10">
        <f>COUNTIF('Clean Data'!$C$2:$C$1565,$A266)</f>
        <v/>
      </c>
      <c r="D266" s="20">
        <f>SUMIF('Clean Data'!$C$2:$C$1565,$A266,'Clean Data'!$K$2:$K$1565)</f>
        <v/>
      </c>
      <c r="E266" s="10">
        <f>IF(B266&lt;=$K$6,5,IF(B266&lt;=$K$7,4,IF(B266&lt;=$K$8,3,IF(B266&lt;=$K$9,2,1))))</f>
        <v/>
      </c>
      <c r="F266" s="10">
        <f>IF(C266&gt;=$L$9,5,IF(C266&gt;=$L$8,4,IF(C266&gt;=$L$7,3,IF(C266&gt;=$L$6,2,1))))</f>
        <v/>
      </c>
      <c r="G266" s="10">
        <f>IF(D266&gt;=$M$9,5,IF(D266&gt;=$M$8,4,IF(D266&gt;=$M$7,3,IF(D266&gt;=$M$6,2,1))))</f>
        <v/>
      </c>
      <c r="H266" s="10">
        <f>IF(AND(E266&gt;=4,F266&gt;=4),"Champions",IF(AND(E266&gt;=3,F266&gt;=3),"Loyal",IF(AND(E266&gt;=4,F266&lt;=2),"New customers",IF(AND(E266=3,F266&lt;=2),"Potential",IF(AND(E266&lt;=2,F266&gt;=3),"At risk","Inactive")))))</f>
        <v/>
      </c>
    </row>
    <row r="267">
      <c r="A267" s="10" t="inlineStr">
        <is>
          <t>C1259</t>
        </is>
      </c>
      <c r="B267" s="19">
        <f>$B$4-_xlfn.MAXIFS('Clean Data'!$B$2:$B$1565,'Clean Data'!$C$2:$C$1565,$A267)</f>
        <v/>
      </c>
      <c r="C267" s="10">
        <f>COUNTIF('Clean Data'!$C$2:$C$1565,$A267)</f>
        <v/>
      </c>
      <c r="D267" s="20">
        <f>SUMIF('Clean Data'!$C$2:$C$1565,$A267,'Clean Data'!$K$2:$K$1565)</f>
        <v/>
      </c>
      <c r="E267" s="10">
        <f>IF(B267&lt;=$K$6,5,IF(B267&lt;=$K$7,4,IF(B267&lt;=$K$8,3,IF(B267&lt;=$K$9,2,1))))</f>
        <v/>
      </c>
      <c r="F267" s="10">
        <f>IF(C267&gt;=$L$9,5,IF(C267&gt;=$L$8,4,IF(C267&gt;=$L$7,3,IF(C267&gt;=$L$6,2,1))))</f>
        <v/>
      </c>
      <c r="G267" s="10">
        <f>IF(D267&gt;=$M$9,5,IF(D267&gt;=$M$8,4,IF(D267&gt;=$M$7,3,IF(D267&gt;=$M$6,2,1))))</f>
        <v/>
      </c>
      <c r="H267" s="10">
        <f>IF(AND(E267&gt;=4,F267&gt;=4),"Champions",IF(AND(E267&gt;=3,F267&gt;=3),"Loyal",IF(AND(E267&gt;=4,F267&lt;=2),"New customers",IF(AND(E267=3,F267&lt;=2),"Potential",IF(AND(E267&lt;=2,F267&gt;=3),"At risk","Inactive")))))</f>
        <v/>
      </c>
    </row>
    <row r="268">
      <c r="A268" s="10" t="inlineStr">
        <is>
          <t>C1260</t>
        </is>
      </c>
      <c r="B268" s="19">
        <f>$B$4-_xlfn.MAXIFS('Clean Data'!$B$2:$B$1565,'Clean Data'!$C$2:$C$1565,$A268)</f>
        <v/>
      </c>
      <c r="C268" s="10">
        <f>COUNTIF('Clean Data'!$C$2:$C$1565,$A268)</f>
        <v/>
      </c>
      <c r="D268" s="20">
        <f>SUMIF('Clean Data'!$C$2:$C$1565,$A268,'Clean Data'!$K$2:$K$1565)</f>
        <v/>
      </c>
      <c r="E268" s="10">
        <f>IF(B268&lt;=$K$6,5,IF(B268&lt;=$K$7,4,IF(B268&lt;=$K$8,3,IF(B268&lt;=$K$9,2,1))))</f>
        <v/>
      </c>
      <c r="F268" s="10">
        <f>IF(C268&gt;=$L$9,5,IF(C268&gt;=$L$8,4,IF(C268&gt;=$L$7,3,IF(C268&gt;=$L$6,2,1))))</f>
        <v/>
      </c>
      <c r="G268" s="10">
        <f>IF(D268&gt;=$M$9,5,IF(D268&gt;=$M$8,4,IF(D268&gt;=$M$7,3,IF(D268&gt;=$M$6,2,1))))</f>
        <v/>
      </c>
      <c r="H268" s="10">
        <f>IF(AND(E268&gt;=4,F268&gt;=4),"Champions",IF(AND(E268&gt;=3,F268&gt;=3),"Loyal",IF(AND(E268&gt;=4,F268&lt;=2),"New customers",IF(AND(E268=3,F268&lt;=2),"Potential",IF(AND(E268&lt;=2,F268&gt;=3),"At risk","Inactive")))))</f>
        <v/>
      </c>
    </row>
    <row r="269">
      <c r="A269" s="10" t="inlineStr">
        <is>
          <t>C1261</t>
        </is>
      </c>
      <c r="B269" s="19">
        <f>$B$4-_xlfn.MAXIFS('Clean Data'!$B$2:$B$1565,'Clean Data'!$C$2:$C$1565,$A269)</f>
        <v/>
      </c>
      <c r="C269" s="10">
        <f>COUNTIF('Clean Data'!$C$2:$C$1565,$A269)</f>
        <v/>
      </c>
      <c r="D269" s="20">
        <f>SUMIF('Clean Data'!$C$2:$C$1565,$A269,'Clean Data'!$K$2:$K$1565)</f>
        <v/>
      </c>
      <c r="E269" s="10">
        <f>IF(B269&lt;=$K$6,5,IF(B269&lt;=$K$7,4,IF(B269&lt;=$K$8,3,IF(B269&lt;=$K$9,2,1))))</f>
        <v/>
      </c>
      <c r="F269" s="10">
        <f>IF(C269&gt;=$L$9,5,IF(C269&gt;=$L$8,4,IF(C269&gt;=$L$7,3,IF(C269&gt;=$L$6,2,1))))</f>
        <v/>
      </c>
      <c r="G269" s="10">
        <f>IF(D269&gt;=$M$9,5,IF(D269&gt;=$M$8,4,IF(D269&gt;=$M$7,3,IF(D269&gt;=$M$6,2,1))))</f>
        <v/>
      </c>
      <c r="H269" s="10">
        <f>IF(AND(E269&gt;=4,F269&gt;=4),"Champions",IF(AND(E269&gt;=3,F269&gt;=3),"Loyal",IF(AND(E269&gt;=4,F269&lt;=2),"New customers",IF(AND(E269=3,F269&lt;=2),"Potential",IF(AND(E269&lt;=2,F269&gt;=3),"At risk","Inactive")))))</f>
        <v/>
      </c>
    </row>
    <row r="270">
      <c r="A270" s="10" t="inlineStr">
        <is>
          <t>C1262</t>
        </is>
      </c>
      <c r="B270" s="19">
        <f>$B$4-_xlfn.MAXIFS('Clean Data'!$B$2:$B$1565,'Clean Data'!$C$2:$C$1565,$A270)</f>
        <v/>
      </c>
      <c r="C270" s="10">
        <f>COUNTIF('Clean Data'!$C$2:$C$1565,$A270)</f>
        <v/>
      </c>
      <c r="D270" s="20">
        <f>SUMIF('Clean Data'!$C$2:$C$1565,$A270,'Clean Data'!$K$2:$K$1565)</f>
        <v/>
      </c>
      <c r="E270" s="10">
        <f>IF(B270&lt;=$K$6,5,IF(B270&lt;=$K$7,4,IF(B270&lt;=$K$8,3,IF(B270&lt;=$K$9,2,1))))</f>
        <v/>
      </c>
      <c r="F270" s="10">
        <f>IF(C270&gt;=$L$9,5,IF(C270&gt;=$L$8,4,IF(C270&gt;=$L$7,3,IF(C270&gt;=$L$6,2,1))))</f>
        <v/>
      </c>
      <c r="G270" s="10">
        <f>IF(D270&gt;=$M$9,5,IF(D270&gt;=$M$8,4,IF(D270&gt;=$M$7,3,IF(D270&gt;=$M$6,2,1))))</f>
        <v/>
      </c>
      <c r="H270" s="10">
        <f>IF(AND(E270&gt;=4,F270&gt;=4),"Champions",IF(AND(E270&gt;=3,F270&gt;=3),"Loyal",IF(AND(E270&gt;=4,F270&lt;=2),"New customers",IF(AND(E270=3,F270&lt;=2),"Potential",IF(AND(E270&lt;=2,F270&gt;=3),"At risk","Inactive")))))</f>
        <v/>
      </c>
    </row>
    <row r="271">
      <c r="A271" s="10" t="inlineStr">
        <is>
          <t>C1263</t>
        </is>
      </c>
      <c r="B271" s="19">
        <f>$B$4-_xlfn.MAXIFS('Clean Data'!$B$2:$B$1565,'Clean Data'!$C$2:$C$1565,$A271)</f>
        <v/>
      </c>
      <c r="C271" s="10">
        <f>COUNTIF('Clean Data'!$C$2:$C$1565,$A271)</f>
        <v/>
      </c>
      <c r="D271" s="20">
        <f>SUMIF('Clean Data'!$C$2:$C$1565,$A271,'Clean Data'!$K$2:$K$1565)</f>
        <v/>
      </c>
      <c r="E271" s="10">
        <f>IF(B271&lt;=$K$6,5,IF(B271&lt;=$K$7,4,IF(B271&lt;=$K$8,3,IF(B271&lt;=$K$9,2,1))))</f>
        <v/>
      </c>
      <c r="F271" s="10">
        <f>IF(C271&gt;=$L$9,5,IF(C271&gt;=$L$8,4,IF(C271&gt;=$L$7,3,IF(C271&gt;=$L$6,2,1))))</f>
        <v/>
      </c>
      <c r="G271" s="10">
        <f>IF(D271&gt;=$M$9,5,IF(D271&gt;=$M$8,4,IF(D271&gt;=$M$7,3,IF(D271&gt;=$M$6,2,1))))</f>
        <v/>
      </c>
      <c r="H271" s="10">
        <f>IF(AND(E271&gt;=4,F271&gt;=4),"Champions",IF(AND(E271&gt;=3,F271&gt;=3),"Loyal",IF(AND(E271&gt;=4,F271&lt;=2),"New customers",IF(AND(E271=3,F271&lt;=2),"Potential",IF(AND(E271&lt;=2,F271&gt;=3),"At risk","Inactive")))))</f>
        <v/>
      </c>
    </row>
    <row r="272">
      <c r="A272" s="10" t="inlineStr">
        <is>
          <t>C1264</t>
        </is>
      </c>
      <c r="B272" s="19">
        <f>$B$4-_xlfn.MAXIFS('Clean Data'!$B$2:$B$1565,'Clean Data'!$C$2:$C$1565,$A272)</f>
        <v/>
      </c>
      <c r="C272" s="10">
        <f>COUNTIF('Clean Data'!$C$2:$C$1565,$A272)</f>
        <v/>
      </c>
      <c r="D272" s="20">
        <f>SUMIF('Clean Data'!$C$2:$C$1565,$A272,'Clean Data'!$K$2:$K$1565)</f>
        <v/>
      </c>
      <c r="E272" s="10">
        <f>IF(B272&lt;=$K$6,5,IF(B272&lt;=$K$7,4,IF(B272&lt;=$K$8,3,IF(B272&lt;=$K$9,2,1))))</f>
        <v/>
      </c>
      <c r="F272" s="10">
        <f>IF(C272&gt;=$L$9,5,IF(C272&gt;=$L$8,4,IF(C272&gt;=$L$7,3,IF(C272&gt;=$L$6,2,1))))</f>
        <v/>
      </c>
      <c r="G272" s="10">
        <f>IF(D272&gt;=$M$9,5,IF(D272&gt;=$M$8,4,IF(D272&gt;=$M$7,3,IF(D272&gt;=$M$6,2,1))))</f>
        <v/>
      </c>
      <c r="H272" s="10">
        <f>IF(AND(E272&gt;=4,F272&gt;=4),"Champions",IF(AND(E272&gt;=3,F272&gt;=3),"Loyal",IF(AND(E272&gt;=4,F272&lt;=2),"New customers",IF(AND(E272=3,F272&lt;=2),"Potential",IF(AND(E272&lt;=2,F272&gt;=3),"At risk","Inactive")))))</f>
        <v/>
      </c>
    </row>
    <row r="273">
      <c r="A273" s="10" t="inlineStr">
        <is>
          <t>C1265</t>
        </is>
      </c>
      <c r="B273" s="19">
        <f>$B$4-_xlfn.MAXIFS('Clean Data'!$B$2:$B$1565,'Clean Data'!$C$2:$C$1565,$A273)</f>
        <v/>
      </c>
      <c r="C273" s="10">
        <f>COUNTIF('Clean Data'!$C$2:$C$1565,$A273)</f>
        <v/>
      </c>
      <c r="D273" s="20">
        <f>SUMIF('Clean Data'!$C$2:$C$1565,$A273,'Clean Data'!$K$2:$K$1565)</f>
        <v/>
      </c>
      <c r="E273" s="10">
        <f>IF(B273&lt;=$K$6,5,IF(B273&lt;=$K$7,4,IF(B273&lt;=$K$8,3,IF(B273&lt;=$K$9,2,1))))</f>
        <v/>
      </c>
      <c r="F273" s="10">
        <f>IF(C273&gt;=$L$9,5,IF(C273&gt;=$L$8,4,IF(C273&gt;=$L$7,3,IF(C273&gt;=$L$6,2,1))))</f>
        <v/>
      </c>
      <c r="G273" s="10">
        <f>IF(D273&gt;=$M$9,5,IF(D273&gt;=$M$8,4,IF(D273&gt;=$M$7,3,IF(D273&gt;=$M$6,2,1))))</f>
        <v/>
      </c>
      <c r="H273" s="10">
        <f>IF(AND(E273&gt;=4,F273&gt;=4),"Champions",IF(AND(E273&gt;=3,F273&gt;=3),"Loyal",IF(AND(E273&gt;=4,F273&lt;=2),"New customers",IF(AND(E273=3,F273&lt;=2),"Potential",IF(AND(E273&lt;=2,F273&gt;=3),"At risk","Inactive")))))</f>
        <v/>
      </c>
    </row>
    <row r="274">
      <c r="A274" s="10" t="inlineStr">
        <is>
          <t>C1266</t>
        </is>
      </c>
      <c r="B274" s="19">
        <f>$B$4-_xlfn.MAXIFS('Clean Data'!$B$2:$B$1565,'Clean Data'!$C$2:$C$1565,$A274)</f>
        <v/>
      </c>
      <c r="C274" s="10">
        <f>COUNTIF('Clean Data'!$C$2:$C$1565,$A274)</f>
        <v/>
      </c>
      <c r="D274" s="20">
        <f>SUMIF('Clean Data'!$C$2:$C$1565,$A274,'Clean Data'!$K$2:$K$1565)</f>
        <v/>
      </c>
      <c r="E274" s="10">
        <f>IF(B274&lt;=$K$6,5,IF(B274&lt;=$K$7,4,IF(B274&lt;=$K$8,3,IF(B274&lt;=$K$9,2,1))))</f>
        <v/>
      </c>
      <c r="F274" s="10">
        <f>IF(C274&gt;=$L$9,5,IF(C274&gt;=$L$8,4,IF(C274&gt;=$L$7,3,IF(C274&gt;=$L$6,2,1))))</f>
        <v/>
      </c>
      <c r="G274" s="10">
        <f>IF(D274&gt;=$M$9,5,IF(D274&gt;=$M$8,4,IF(D274&gt;=$M$7,3,IF(D274&gt;=$M$6,2,1))))</f>
        <v/>
      </c>
      <c r="H274" s="10">
        <f>IF(AND(E274&gt;=4,F274&gt;=4),"Champions",IF(AND(E274&gt;=3,F274&gt;=3),"Loyal",IF(AND(E274&gt;=4,F274&lt;=2),"New customers",IF(AND(E274=3,F274&lt;=2),"Potential",IF(AND(E274&lt;=2,F274&gt;=3),"At risk","Inactive")))))</f>
        <v/>
      </c>
    </row>
    <row r="275">
      <c r="A275" s="10" t="inlineStr">
        <is>
          <t>C1267</t>
        </is>
      </c>
      <c r="B275" s="19">
        <f>$B$4-_xlfn.MAXIFS('Clean Data'!$B$2:$B$1565,'Clean Data'!$C$2:$C$1565,$A275)</f>
        <v/>
      </c>
      <c r="C275" s="10">
        <f>COUNTIF('Clean Data'!$C$2:$C$1565,$A275)</f>
        <v/>
      </c>
      <c r="D275" s="20">
        <f>SUMIF('Clean Data'!$C$2:$C$1565,$A275,'Clean Data'!$K$2:$K$1565)</f>
        <v/>
      </c>
      <c r="E275" s="10">
        <f>IF(B275&lt;=$K$6,5,IF(B275&lt;=$K$7,4,IF(B275&lt;=$K$8,3,IF(B275&lt;=$K$9,2,1))))</f>
        <v/>
      </c>
      <c r="F275" s="10">
        <f>IF(C275&gt;=$L$9,5,IF(C275&gt;=$L$8,4,IF(C275&gt;=$L$7,3,IF(C275&gt;=$L$6,2,1))))</f>
        <v/>
      </c>
      <c r="G275" s="10">
        <f>IF(D275&gt;=$M$9,5,IF(D275&gt;=$M$8,4,IF(D275&gt;=$M$7,3,IF(D275&gt;=$M$6,2,1))))</f>
        <v/>
      </c>
      <c r="H275" s="10">
        <f>IF(AND(E275&gt;=4,F275&gt;=4),"Champions",IF(AND(E275&gt;=3,F275&gt;=3),"Loyal",IF(AND(E275&gt;=4,F275&lt;=2),"New customers",IF(AND(E275=3,F275&lt;=2),"Potential",IF(AND(E275&lt;=2,F275&gt;=3),"At risk","Inactive")))))</f>
        <v/>
      </c>
    </row>
    <row r="276">
      <c r="A276" s="10" t="inlineStr">
        <is>
          <t>C1268</t>
        </is>
      </c>
      <c r="B276" s="19">
        <f>$B$4-_xlfn.MAXIFS('Clean Data'!$B$2:$B$1565,'Clean Data'!$C$2:$C$1565,$A276)</f>
        <v/>
      </c>
      <c r="C276" s="10">
        <f>COUNTIF('Clean Data'!$C$2:$C$1565,$A276)</f>
        <v/>
      </c>
      <c r="D276" s="20">
        <f>SUMIF('Clean Data'!$C$2:$C$1565,$A276,'Clean Data'!$K$2:$K$1565)</f>
        <v/>
      </c>
      <c r="E276" s="10">
        <f>IF(B276&lt;=$K$6,5,IF(B276&lt;=$K$7,4,IF(B276&lt;=$K$8,3,IF(B276&lt;=$K$9,2,1))))</f>
        <v/>
      </c>
      <c r="F276" s="10">
        <f>IF(C276&gt;=$L$9,5,IF(C276&gt;=$L$8,4,IF(C276&gt;=$L$7,3,IF(C276&gt;=$L$6,2,1))))</f>
        <v/>
      </c>
      <c r="G276" s="10">
        <f>IF(D276&gt;=$M$9,5,IF(D276&gt;=$M$8,4,IF(D276&gt;=$M$7,3,IF(D276&gt;=$M$6,2,1))))</f>
        <v/>
      </c>
      <c r="H276" s="10">
        <f>IF(AND(E276&gt;=4,F276&gt;=4),"Champions",IF(AND(E276&gt;=3,F276&gt;=3),"Loyal",IF(AND(E276&gt;=4,F276&lt;=2),"New customers",IF(AND(E276=3,F276&lt;=2),"Potential",IF(AND(E276&lt;=2,F276&gt;=3),"At risk","Inactive")))))</f>
        <v/>
      </c>
    </row>
    <row r="277">
      <c r="A277" s="10" t="inlineStr">
        <is>
          <t>C1269</t>
        </is>
      </c>
      <c r="B277" s="19">
        <f>$B$4-_xlfn.MAXIFS('Clean Data'!$B$2:$B$1565,'Clean Data'!$C$2:$C$1565,$A277)</f>
        <v/>
      </c>
      <c r="C277" s="10">
        <f>COUNTIF('Clean Data'!$C$2:$C$1565,$A277)</f>
        <v/>
      </c>
      <c r="D277" s="20">
        <f>SUMIF('Clean Data'!$C$2:$C$1565,$A277,'Clean Data'!$K$2:$K$1565)</f>
        <v/>
      </c>
      <c r="E277" s="10">
        <f>IF(B277&lt;=$K$6,5,IF(B277&lt;=$K$7,4,IF(B277&lt;=$K$8,3,IF(B277&lt;=$K$9,2,1))))</f>
        <v/>
      </c>
      <c r="F277" s="10">
        <f>IF(C277&gt;=$L$9,5,IF(C277&gt;=$L$8,4,IF(C277&gt;=$L$7,3,IF(C277&gt;=$L$6,2,1))))</f>
        <v/>
      </c>
      <c r="G277" s="10">
        <f>IF(D277&gt;=$M$9,5,IF(D277&gt;=$M$8,4,IF(D277&gt;=$M$7,3,IF(D277&gt;=$M$6,2,1))))</f>
        <v/>
      </c>
      <c r="H277" s="10">
        <f>IF(AND(E277&gt;=4,F277&gt;=4),"Champions",IF(AND(E277&gt;=3,F277&gt;=3),"Loyal",IF(AND(E277&gt;=4,F277&lt;=2),"New customers",IF(AND(E277=3,F277&lt;=2),"Potential",IF(AND(E277&lt;=2,F277&gt;=3),"At risk","Inactive")))))</f>
        <v/>
      </c>
    </row>
    <row r="278">
      <c r="A278" s="10" t="inlineStr">
        <is>
          <t>C1270</t>
        </is>
      </c>
      <c r="B278" s="19">
        <f>$B$4-_xlfn.MAXIFS('Clean Data'!$B$2:$B$1565,'Clean Data'!$C$2:$C$1565,$A278)</f>
        <v/>
      </c>
      <c r="C278" s="10">
        <f>COUNTIF('Clean Data'!$C$2:$C$1565,$A278)</f>
        <v/>
      </c>
      <c r="D278" s="20">
        <f>SUMIF('Clean Data'!$C$2:$C$1565,$A278,'Clean Data'!$K$2:$K$1565)</f>
        <v/>
      </c>
      <c r="E278" s="10">
        <f>IF(B278&lt;=$K$6,5,IF(B278&lt;=$K$7,4,IF(B278&lt;=$K$8,3,IF(B278&lt;=$K$9,2,1))))</f>
        <v/>
      </c>
      <c r="F278" s="10">
        <f>IF(C278&gt;=$L$9,5,IF(C278&gt;=$L$8,4,IF(C278&gt;=$L$7,3,IF(C278&gt;=$L$6,2,1))))</f>
        <v/>
      </c>
      <c r="G278" s="10">
        <f>IF(D278&gt;=$M$9,5,IF(D278&gt;=$M$8,4,IF(D278&gt;=$M$7,3,IF(D278&gt;=$M$6,2,1))))</f>
        <v/>
      </c>
      <c r="H278" s="10">
        <f>IF(AND(E278&gt;=4,F278&gt;=4),"Champions",IF(AND(E278&gt;=3,F278&gt;=3),"Loyal",IF(AND(E278&gt;=4,F278&lt;=2),"New customers",IF(AND(E278=3,F278&lt;=2),"Potential",IF(AND(E278&lt;=2,F278&gt;=3),"At risk","Inactive")))))</f>
        <v/>
      </c>
    </row>
    <row r="279">
      <c r="A279" s="10" t="inlineStr">
        <is>
          <t>C1271</t>
        </is>
      </c>
      <c r="B279" s="19">
        <f>$B$4-_xlfn.MAXIFS('Clean Data'!$B$2:$B$1565,'Clean Data'!$C$2:$C$1565,$A279)</f>
        <v/>
      </c>
      <c r="C279" s="10">
        <f>COUNTIF('Clean Data'!$C$2:$C$1565,$A279)</f>
        <v/>
      </c>
      <c r="D279" s="20">
        <f>SUMIF('Clean Data'!$C$2:$C$1565,$A279,'Clean Data'!$K$2:$K$1565)</f>
        <v/>
      </c>
      <c r="E279" s="10">
        <f>IF(B279&lt;=$K$6,5,IF(B279&lt;=$K$7,4,IF(B279&lt;=$K$8,3,IF(B279&lt;=$K$9,2,1))))</f>
        <v/>
      </c>
      <c r="F279" s="10">
        <f>IF(C279&gt;=$L$9,5,IF(C279&gt;=$L$8,4,IF(C279&gt;=$L$7,3,IF(C279&gt;=$L$6,2,1))))</f>
        <v/>
      </c>
      <c r="G279" s="10">
        <f>IF(D279&gt;=$M$9,5,IF(D279&gt;=$M$8,4,IF(D279&gt;=$M$7,3,IF(D279&gt;=$M$6,2,1))))</f>
        <v/>
      </c>
      <c r="H279" s="10">
        <f>IF(AND(E279&gt;=4,F279&gt;=4),"Champions",IF(AND(E279&gt;=3,F279&gt;=3),"Loyal",IF(AND(E279&gt;=4,F279&lt;=2),"New customers",IF(AND(E279=3,F279&lt;=2),"Potential",IF(AND(E279&lt;=2,F279&gt;=3),"At risk","Inactive")))))</f>
        <v/>
      </c>
    </row>
    <row r="280">
      <c r="A280" s="10" t="inlineStr">
        <is>
          <t>C1272</t>
        </is>
      </c>
      <c r="B280" s="19">
        <f>$B$4-_xlfn.MAXIFS('Clean Data'!$B$2:$B$1565,'Clean Data'!$C$2:$C$1565,$A280)</f>
        <v/>
      </c>
      <c r="C280" s="10">
        <f>COUNTIF('Clean Data'!$C$2:$C$1565,$A280)</f>
        <v/>
      </c>
      <c r="D280" s="20">
        <f>SUMIF('Clean Data'!$C$2:$C$1565,$A280,'Clean Data'!$K$2:$K$1565)</f>
        <v/>
      </c>
      <c r="E280" s="10">
        <f>IF(B280&lt;=$K$6,5,IF(B280&lt;=$K$7,4,IF(B280&lt;=$K$8,3,IF(B280&lt;=$K$9,2,1))))</f>
        <v/>
      </c>
      <c r="F280" s="10">
        <f>IF(C280&gt;=$L$9,5,IF(C280&gt;=$L$8,4,IF(C280&gt;=$L$7,3,IF(C280&gt;=$L$6,2,1))))</f>
        <v/>
      </c>
      <c r="G280" s="10">
        <f>IF(D280&gt;=$M$9,5,IF(D280&gt;=$M$8,4,IF(D280&gt;=$M$7,3,IF(D280&gt;=$M$6,2,1))))</f>
        <v/>
      </c>
      <c r="H280" s="10">
        <f>IF(AND(E280&gt;=4,F280&gt;=4),"Champions",IF(AND(E280&gt;=3,F280&gt;=3),"Loyal",IF(AND(E280&gt;=4,F280&lt;=2),"New customers",IF(AND(E280=3,F280&lt;=2),"Potential",IF(AND(E280&lt;=2,F280&gt;=3),"At risk","Inactive")))))</f>
        <v/>
      </c>
    </row>
    <row r="281">
      <c r="A281" s="10" t="inlineStr">
        <is>
          <t>C1273</t>
        </is>
      </c>
      <c r="B281" s="19">
        <f>$B$4-_xlfn.MAXIFS('Clean Data'!$B$2:$B$1565,'Clean Data'!$C$2:$C$1565,$A281)</f>
        <v/>
      </c>
      <c r="C281" s="10">
        <f>COUNTIF('Clean Data'!$C$2:$C$1565,$A281)</f>
        <v/>
      </c>
      <c r="D281" s="20">
        <f>SUMIF('Clean Data'!$C$2:$C$1565,$A281,'Clean Data'!$K$2:$K$1565)</f>
        <v/>
      </c>
      <c r="E281" s="10">
        <f>IF(B281&lt;=$K$6,5,IF(B281&lt;=$K$7,4,IF(B281&lt;=$K$8,3,IF(B281&lt;=$K$9,2,1))))</f>
        <v/>
      </c>
      <c r="F281" s="10">
        <f>IF(C281&gt;=$L$9,5,IF(C281&gt;=$L$8,4,IF(C281&gt;=$L$7,3,IF(C281&gt;=$L$6,2,1))))</f>
        <v/>
      </c>
      <c r="G281" s="10">
        <f>IF(D281&gt;=$M$9,5,IF(D281&gt;=$M$8,4,IF(D281&gt;=$M$7,3,IF(D281&gt;=$M$6,2,1))))</f>
        <v/>
      </c>
      <c r="H281" s="10">
        <f>IF(AND(E281&gt;=4,F281&gt;=4),"Champions",IF(AND(E281&gt;=3,F281&gt;=3),"Loyal",IF(AND(E281&gt;=4,F281&lt;=2),"New customers",IF(AND(E281=3,F281&lt;=2),"Potential",IF(AND(E281&lt;=2,F281&gt;=3),"At risk","Inactive")))))</f>
        <v/>
      </c>
    </row>
    <row r="282">
      <c r="A282" s="10" t="inlineStr">
        <is>
          <t>C1274</t>
        </is>
      </c>
      <c r="B282" s="19">
        <f>$B$4-_xlfn.MAXIFS('Clean Data'!$B$2:$B$1565,'Clean Data'!$C$2:$C$1565,$A282)</f>
        <v/>
      </c>
      <c r="C282" s="10">
        <f>COUNTIF('Clean Data'!$C$2:$C$1565,$A282)</f>
        <v/>
      </c>
      <c r="D282" s="20">
        <f>SUMIF('Clean Data'!$C$2:$C$1565,$A282,'Clean Data'!$K$2:$K$1565)</f>
        <v/>
      </c>
      <c r="E282" s="10">
        <f>IF(B282&lt;=$K$6,5,IF(B282&lt;=$K$7,4,IF(B282&lt;=$K$8,3,IF(B282&lt;=$K$9,2,1))))</f>
        <v/>
      </c>
      <c r="F282" s="10">
        <f>IF(C282&gt;=$L$9,5,IF(C282&gt;=$L$8,4,IF(C282&gt;=$L$7,3,IF(C282&gt;=$L$6,2,1))))</f>
        <v/>
      </c>
      <c r="G282" s="10">
        <f>IF(D282&gt;=$M$9,5,IF(D282&gt;=$M$8,4,IF(D282&gt;=$M$7,3,IF(D282&gt;=$M$6,2,1))))</f>
        <v/>
      </c>
      <c r="H282" s="10">
        <f>IF(AND(E282&gt;=4,F282&gt;=4),"Champions",IF(AND(E282&gt;=3,F282&gt;=3),"Loyal",IF(AND(E282&gt;=4,F282&lt;=2),"New customers",IF(AND(E282=3,F282&lt;=2),"Potential",IF(AND(E282&lt;=2,F282&gt;=3),"At risk","Inactive")))))</f>
        <v/>
      </c>
    </row>
    <row r="283">
      <c r="A283" s="10" t="inlineStr">
        <is>
          <t>C1275</t>
        </is>
      </c>
      <c r="B283" s="19">
        <f>$B$4-_xlfn.MAXIFS('Clean Data'!$B$2:$B$1565,'Clean Data'!$C$2:$C$1565,$A283)</f>
        <v/>
      </c>
      <c r="C283" s="10">
        <f>COUNTIF('Clean Data'!$C$2:$C$1565,$A283)</f>
        <v/>
      </c>
      <c r="D283" s="20">
        <f>SUMIF('Clean Data'!$C$2:$C$1565,$A283,'Clean Data'!$K$2:$K$1565)</f>
        <v/>
      </c>
      <c r="E283" s="10">
        <f>IF(B283&lt;=$K$6,5,IF(B283&lt;=$K$7,4,IF(B283&lt;=$K$8,3,IF(B283&lt;=$K$9,2,1))))</f>
        <v/>
      </c>
      <c r="F283" s="10">
        <f>IF(C283&gt;=$L$9,5,IF(C283&gt;=$L$8,4,IF(C283&gt;=$L$7,3,IF(C283&gt;=$L$6,2,1))))</f>
        <v/>
      </c>
      <c r="G283" s="10">
        <f>IF(D283&gt;=$M$9,5,IF(D283&gt;=$M$8,4,IF(D283&gt;=$M$7,3,IF(D283&gt;=$M$6,2,1))))</f>
        <v/>
      </c>
      <c r="H283" s="10">
        <f>IF(AND(E283&gt;=4,F283&gt;=4),"Champions",IF(AND(E283&gt;=3,F283&gt;=3),"Loyal",IF(AND(E283&gt;=4,F283&lt;=2),"New customers",IF(AND(E283=3,F283&lt;=2),"Potential",IF(AND(E283&lt;=2,F283&gt;=3),"At risk","Inactive")))))</f>
        <v/>
      </c>
    </row>
    <row r="284">
      <c r="A284" s="10" t="inlineStr">
        <is>
          <t>C1276</t>
        </is>
      </c>
      <c r="B284" s="19">
        <f>$B$4-_xlfn.MAXIFS('Clean Data'!$B$2:$B$1565,'Clean Data'!$C$2:$C$1565,$A284)</f>
        <v/>
      </c>
      <c r="C284" s="10">
        <f>COUNTIF('Clean Data'!$C$2:$C$1565,$A284)</f>
        <v/>
      </c>
      <c r="D284" s="20">
        <f>SUMIF('Clean Data'!$C$2:$C$1565,$A284,'Clean Data'!$K$2:$K$1565)</f>
        <v/>
      </c>
      <c r="E284" s="10">
        <f>IF(B284&lt;=$K$6,5,IF(B284&lt;=$K$7,4,IF(B284&lt;=$K$8,3,IF(B284&lt;=$K$9,2,1))))</f>
        <v/>
      </c>
      <c r="F284" s="10">
        <f>IF(C284&gt;=$L$9,5,IF(C284&gt;=$L$8,4,IF(C284&gt;=$L$7,3,IF(C284&gt;=$L$6,2,1))))</f>
        <v/>
      </c>
      <c r="G284" s="10">
        <f>IF(D284&gt;=$M$9,5,IF(D284&gt;=$M$8,4,IF(D284&gt;=$M$7,3,IF(D284&gt;=$M$6,2,1))))</f>
        <v/>
      </c>
      <c r="H284" s="10">
        <f>IF(AND(E284&gt;=4,F284&gt;=4),"Champions",IF(AND(E284&gt;=3,F284&gt;=3),"Loyal",IF(AND(E284&gt;=4,F284&lt;=2),"New customers",IF(AND(E284=3,F284&lt;=2),"Potential",IF(AND(E284&lt;=2,F284&gt;=3),"At risk","Inactive")))))</f>
        <v/>
      </c>
    </row>
    <row r="285">
      <c r="A285" s="10" t="inlineStr">
        <is>
          <t>C1277</t>
        </is>
      </c>
      <c r="B285" s="19">
        <f>$B$4-_xlfn.MAXIFS('Clean Data'!$B$2:$B$1565,'Clean Data'!$C$2:$C$1565,$A285)</f>
        <v/>
      </c>
      <c r="C285" s="10">
        <f>COUNTIF('Clean Data'!$C$2:$C$1565,$A285)</f>
        <v/>
      </c>
      <c r="D285" s="20">
        <f>SUMIF('Clean Data'!$C$2:$C$1565,$A285,'Clean Data'!$K$2:$K$1565)</f>
        <v/>
      </c>
      <c r="E285" s="10">
        <f>IF(B285&lt;=$K$6,5,IF(B285&lt;=$K$7,4,IF(B285&lt;=$K$8,3,IF(B285&lt;=$K$9,2,1))))</f>
        <v/>
      </c>
      <c r="F285" s="10">
        <f>IF(C285&gt;=$L$9,5,IF(C285&gt;=$L$8,4,IF(C285&gt;=$L$7,3,IF(C285&gt;=$L$6,2,1))))</f>
        <v/>
      </c>
      <c r="G285" s="10">
        <f>IF(D285&gt;=$M$9,5,IF(D285&gt;=$M$8,4,IF(D285&gt;=$M$7,3,IF(D285&gt;=$M$6,2,1))))</f>
        <v/>
      </c>
      <c r="H285" s="10">
        <f>IF(AND(E285&gt;=4,F285&gt;=4),"Champions",IF(AND(E285&gt;=3,F285&gt;=3),"Loyal",IF(AND(E285&gt;=4,F285&lt;=2),"New customers",IF(AND(E285=3,F285&lt;=2),"Potential",IF(AND(E285&lt;=2,F285&gt;=3),"At risk","Inactive")))))</f>
        <v/>
      </c>
    </row>
    <row r="286">
      <c r="A286" s="10" t="inlineStr">
        <is>
          <t>C1278</t>
        </is>
      </c>
      <c r="B286" s="19">
        <f>$B$4-_xlfn.MAXIFS('Clean Data'!$B$2:$B$1565,'Clean Data'!$C$2:$C$1565,$A286)</f>
        <v/>
      </c>
      <c r="C286" s="10">
        <f>COUNTIF('Clean Data'!$C$2:$C$1565,$A286)</f>
        <v/>
      </c>
      <c r="D286" s="20">
        <f>SUMIF('Clean Data'!$C$2:$C$1565,$A286,'Clean Data'!$K$2:$K$1565)</f>
        <v/>
      </c>
      <c r="E286" s="10">
        <f>IF(B286&lt;=$K$6,5,IF(B286&lt;=$K$7,4,IF(B286&lt;=$K$8,3,IF(B286&lt;=$K$9,2,1))))</f>
        <v/>
      </c>
      <c r="F286" s="10">
        <f>IF(C286&gt;=$L$9,5,IF(C286&gt;=$L$8,4,IF(C286&gt;=$L$7,3,IF(C286&gt;=$L$6,2,1))))</f>
        <v/>
      </c>
      <c r="G286" s="10">
        <f>IF(D286&gt;=$M$9,5,IF(D286&gt;=$M$8,4,IF(D286&gt;=$M$7,3,IF(D286&gt;=$M$6,2,1))))</f>
        <v/>
      </c>
      <c r="H286" s="10">
        <f>IF(AND(E286&gt;=4,F286&gt;=4),"Champions",IF(AND(E286&gt;=3,F286&gt;=3),"Loyal",IF(AND(E286&gt;=4,F286&lt;=2),"New customers",IF(AND(E286=3,F286&lt;=2),"Potential",IF(AND(E286&lt;=2,F286&gt;=3),"At risk","Inactive")))))</f>
        <v/>
      </c>
    </row>
    <row r="287">
      <c r="A287" s="10" t="inlineStr">
        <is>
          <t>C1279</t>
        </is>
      </c>
      <c r="B287" s="19">
        <f>$B$4-_xlfn.MAXIFS('Clean Data'!$B$2:$B$1565,'Clean Data'!$C$2:$C$1565,$A287)</f>
        <v/>
      </c>
      <c r="C287" s="10">
        <f>COUNTIF('Clean Data'!$C$2:$C$1565,$A287)</f>
        <v/>
      </c>
      <c r="D287" s="20">
        <f>SUMIF('Clean Data'!$C$2:$C$1565,$A287,'Clean Data'!$K$2:$K$1565)</f>
        <v/>
      </c>
      <c r="E287" s="10">
        <f>IF(B287&lt;=$K$6,5,IF(B287&lt;=$K$7,4,IF(B287&lt;=$K$8,3,IF(B287&lt;=$K$9,2,1))))</f>
        <v/>
      </c>
      <c r="F287" s="10">
        <f>IF(C287&gt;=$L$9,5,IF(C287&gt;=$L$8,4,IF(C287&gt;=$L$7,3,IF(C287&gt;=$L$6,2,1))))</f>
        <v/>
      </c>
      <c r="G287" s="10">
        <f>IF(D287&gt;=$M$9,5,IF(D287&gt;=$M$8,4,IF(D287&gt;=$M$7,3,IF(D287&gt;=$M$6,2,1))))</f>
        <v/>
      </c>
      <c r="H287" s="10">
        <f>IF(AND(E287&gt;=4,F287&gt;=4),"Champions",IF(AND(E287&gt;=3,F287&gt;=3),"Loyal",IF(AND(E287&gt;=4,F287&lt;=2),"New customers",IF(AND(E287=3,F287&lt;=2),"Potential",IF(AND(E287&lt;=2,F287&gt;=3),"At risk","Inactive")))))</f>
        <v/>
      </c>
    </row>
    <row r="288">
      <c r="A288" s="10" t="inlineStr">
        <is>
          <t>C1280</t>
        </is>
      </c>
      <c r="B288" s="19">
        <f>$B$4-_xlfn.MAXIFS('Clean Data'!$B$2:$B$1565,'Clean Data'!$C$2:$C$1565,$A288)</f>
        <v/>
      </c>
      <c r="C288" s="10">
        <f>COUNTIF('Clean Data'!$C$2:$C$1565,$A288)</f>
        <v/>
      </c>
      <c r="D288" s="20">
        <f>SUMIF('Clean Data'!$C$2:$C$1565,$A288,'Clean Data'!$K$2:$K$1565)</f>
        <v/>
      </c>
      <c r="E288" s="10">
        <f>IF(B288&lt;=$K$6,5,IF(B288&lt;=$K$7,4,IF(B288&lt;=$K$8,3,IF(B288&lt;=$K$9,2,1))))</f>
        <v/>
      </c>
      <c r="F288" s="10">
        <f>IF(C288&gt;=$L$9,5,IF(C288&gt;=$L$8,4,IF(C288&gt;=$L$7,3,IF(C288&gt;=$L$6,2,1))))</f>
        <v/>
      </c>
      <c r="G288" s="10">
        <f>IF(D288&gt;=$M$9,5,IF(D288&gt;=$M$8,4,IF(D288&gt;=$M$7,3,IF(D288&gt;=$M$6,2,1))))</f>
        <v/>
      </c>
      <c r="H288" s="10">
        <f>IF(AND(E288&gt;=4,F288&gt;=4),"Champions",IF(AND(E288&gt;=3,F288&gt;=3),"Loyal",IF(AND(E288&gt;=4,F288&lt;=2),"New customers",IF(AND(E288=3,F288&lt;=2),"Potential",IF(AND(E288&lt;=2,F288&gt;=3),"At risk","Inactive")))))</f>
        <v/>
      </c>
    </row>
    <row r="289">
      <c r="A289" s="10" t="inlineStr">
        <is>
          <t>C1281</t>
        </is>
      </c>
      <c r="B289" s="19">
        <f>$B$4-_xlfn.MAXIFS('Clean Data'!$B$2:$B$1565,'Clean Data'!$C$2:$C$1565,$A289)</f>
        <v/>
      </c>
      <c r="C289" s="10">
        <f>COUNTIF('Clean Data'!$C$2:$C$1565,$A289)</f>
        <v/>
      </c>
      <c r="D289" s="20">
        <f>SUMIF('Clean Data'!$C$2:$C$1565,$A289,'Clean Data'!$K$2:$K$1565)</f>
        <v/>
      </c>
      <c r="E289" s="10">
        <f>IF(B289&lt;=$K$6,5,IF(B289&lt;=$K$7,4,IF(B289&lt;=$K$8,3,IF(B289&lt;=$K$9,2,1))))</f>
        <v/>
      </c>
      <c r="F289" s="10">
        <f>IF(C289&gt;=$L$9,5,IF(C289&gt;=$L$8,4,IF(C289&gt;=$L$7,3,IF(C289&gt;=$L$6,2,1))))</f>
        <v/>
      </c>
      <c r="G289" s="10">
        <f>IF(D289&gt;=$M$9,5,IF(D289&gt;=$M$8,4,IF(D289&gt;=$M$7,3,IF(D289&gt;=$M$6,2,1))))</f>
        <v/>
      </c>
      <c r="H289" s="10">
        <f>IF(AND(E289&gt;=4,F289&gt;=4),"Champions",IF(AND(E289&gt;=3,F289&gt;=3),"Loyal",IF(AND(E289&gt;=4,F289&lt;=2),"New customers",IF(AND(E289=3,F289&lt;=2),"Potential",IF(AND(E289&lt;=2,F289&gt;=3),"At risk","Inactive")))))</f>
        <v/>
      </c>
    </row>
    <row r="290">
      <c r="A290" s="10" t="inlineStr">
        <is>
          <t>C1282</t>
        </is>
      </c>
      <c r="B290" s="19">
        <f>$B$4-_xlfn.MAXIFS('Clean Data'!$B$2:$B$1565,'Clean Data'!$C$2:$C$1565,$A290)</f>
        <v/>
      </c>
      <c r="C290" s="10">
        <f>COUNTIF('Clean Data'!$C$2:$C$1565,$A290)</f>
        <v/>
      </c>
      <c r="D290" s="20">
        <f>SUMIF('Clean Data'!$C$2:$C$1565,$A290,'Clean Data'!$K$2:$K$1565)</f>
        <v/>
      </c>
      <c r="E290" s="10">
        <f>IF(B290&lt;=$K$6,5,IF(B290&lt;=$K$7,4,IF(B290&lt;=$K$8,3,IF(B290&lt;=$K$9,2,1))))</f>
        <v/>
      </c>
      <c r="F290" s="10">
        <f>IF(C290&gt;=$L$9,5,IF(C290&gt;=$L$8,4,IF(C290&gt;=$L$7,3,IF(C290&gt;=$L$6,2,1))))</f>
        <v/>
      </c>
      <c r="G290" s="10">
        <f>IF(D290&gt;=$M$9,5,IF(D290&gt;=$M$8,4,IF(D290&gt;=$M$7,3,IF(D290&gt;=$M$6,2,1))))</f>
        <v/>
      </c>
      <c r="H290" s="10">
        <f>IF(AND(E290&gt;=4,F290&gt;=4),"Champions",IF(AND(E290&gt;=3,F290&gt;=3),"Loyal",IF(AND(E290&gt;=4,F290&lt;=2),"New customers",IF(AND(E290=3,F290&lt;=2),"Potential",IF(AND(E290&lt;=2,F290&gt;=3),"At risk","Inactive")))))</f>
        <v/>
      </c>
    </row>
    <row r="291">
      <c r="A291" s="10" t="inlineStr">
        <is>
          <t>C1283</t>
        </is>
      </c>
      <c r="B291" s="19">
        <f>$B$4-_xlfn.MAXIFS('Clean Data'!$B$2:$B$1565,'Clean Data'!$C$2:$C$1565,$A291)</f>
        <v/>
      </c>
      <c r="C291" s="10">
        <f>COUNTIF('Clean Data'!$C$2:$C$1565,$A291)</f>
        <v/>
      </c>
      <c r="D291" s="20">
        <f>SUMIF('Clean Data'!$C$2:$C$1565,$A291,'Clean Data'!$K$2:$K$1565)</f>
        <v/>
      </c>
      <c r="E291" s="10">
        <f>IF(B291&lt;=$K$6,5,IF(B291&lt;=$K$7,4,IF(B291&lt;=$K$8,3,IF(B291&lt;=$K$9,2,1))))</f>
        <v/>
      </c>
      <c r="F291" s="10">
        <f>IF(C291&gt;=$L$9,5,IF(C291&gt;=$L$8,4,IF(C291&gt;=$L$7,3,IF(C291&gt;=$L$6,2,1))))</f>
        <v/>
      </c>
      <c r="G291" s="10">
        <f>IF(D291&gt;=$M$9,5,IF(D291&gt;=$M$8,4,IF(D291&gt;=$M$7,3,IF(D291&gt;=$M$6,2,1))))</f>
        <v/>
      </c>
      <c r="H291" s="10">
        <f>IF(AND(E291&gt;=4,F291&gt;=4),"Champions",IF(AND(E291&gt;=3,F291&gt;=3),"Loyal",IF(AND(E291&gt;=4,F291&lt;=2),"New customers",IF(AND(E291=3,F291&lt;=2),"Potential",IF(AND(E291&lt;=2,F291&gt;=3),"At risk","Inactive")))))</f>
        <v/>
      </c>
    </row>
    <row r="292">
      <c r="A292" s="10" t="inlineStr">
        <is>
          <t>C1284</t>
        </is>
      </c>
      <c r="B292" s="19">
        <f>$B$4-_xlfn.MAXIFS('Clean Data'!$B$2:$B$1565,'Clean Data'!$C$2:$C$1565,$A292)</f>
        <v/>
      </c>
      <c r="C292" s="10">
        <f>COUNTIF('Clean Data'!$C$2:$C$1565,$A292)</f>
        <v/>
      </c>
      <c r="D292" s="20">
        <f>SUMIF('Clean Data'!$C$2:$C$1565,$A292,'Clean Data'!$K$2:$K$1565)</f>
        <v/>
      </c>
      <c r="E292" s="10">
        <f>IF(B292&lt;=$K$6,5,IF(B292&lt;=$K$7,4,IF(B292&lt;=$K$8,3,IF(B292&lt;=$K$9,2,1))))</f>
        <v/>
      </c>
      <c r="F292" s="10">
        <f>IF(C292&gt;=$L$9,5,IF(C292&gt;=$L$8,4,IF(C292&gt;=$L$7,3,IF(C292&gt;=$L$6,2,1))))</f>
        <v/>
      </c>
      <c r="G292" s="10">
        <f>IF(D292&gt;=$M$9,5,IF(D292&gt;=$M$8,4,IF(D292&gt;=$M$7,3,IF(D292&gt;=$M$6,2,1))))</f>
        <v/>
      </c>
      <c r="H292" s="10">
        <f>IF(AND(E292&gt;=4,F292&gt;=4),"Champions",IF(AND(E292&gt;=3,F292&gt;=3),"Loyal",IF(AND(E292&gt;=4,F292&lt;=2),"New customers",IF(AND(E292=3,F292&lt;=2),"Potential",IF(AND(E292&lt;=2,F292&gt;=3),"At risk","Inactive")))))</f>
        <v/>
      </c>
    </row>
    <row r="293">
      <c r="A293" s="10" t="inlineStr">
        <is>
          <t>C1285</t>
        </is>
      </c>
      <c r="B293" s="19">
        <f>$B$4-_xlfn.MAXIFS('Clean Data'!$B$2:$B$1565,'Clean Data'!$C$2:$C$1565,$A293)</f>
        <v/>
      </c>
      <c r="C293" s="10">
        <f>COUNTIF('Clean Data'!$C$2:$C$1565,$A293)</f>
        <v/>
      </c>
      <c r="D293" s="20">
        <f>SUMIF('Clean Data'!$C$2:$C$1565,$A293,'Clean Data'!$K$2:$K$1565)</f>
        <v/>
      </c>
      <c r="E293" s="10">
        <f>IF(B293&lt;=$K$6,5,IF(B293&lt;=$K$7,4,IF(B293&lt;=$K$8,3,IF(B293&lt;=$K$9,2,1))))</f>
        <v/>
      </c>
      <c r="F293" s="10">
        <f>IF(C293&gt;=$L$9,5,IF(C293&gt;=$L$8,4,IF(C293&gt;=$L$7,3,IF(C293&gt;=$L$6,2,1))))</f>
        <v/>
      </c>
      <c r="G293" s="10">
        <f>IF(D293&gt;=$M$9,5,IF(D293&gt;=$M$8,4,IF(D293&gt;=$M$7,3,IF(D293&gt;=$M$6,2,1))))</f>
        <v/>
      </c>
      <c r="H293" s="10">
        <f>IF(AND(E293&gt;=4,F293&gt;=4),"Champions",IF(AND(E293&gt;=3,F293&gt;=3),"Loyal",IF(AND(E293&gt;=4,F293&lt;=2),"New customers",IF(AND(E293=3,F293&lt;=2),"Potential",IF(AND(E293&lt;=2,F293&gt;=3),"At risk","Inactive")))))</f>
        <v/>
      </c>
    </row>
    <row r="294">
      <c r="A294" s="10" t="inlineStr">
        <is>
          <t>C1286</t>
        </is>
      </c>
      <c r="B294" s="19">
        <f>$B$4-_xlfn.MAXIFS('Clean Data'!$B$2:$B$1565,'Clean Data'!$C$2:$C$1565,$A294)</f>
        <v/>
      </c>
      <c r="C294" s="10">
        <f>COUNTIF('Clean Data'!$C$2:$C$1565,$A294)</f>
        <v/>
      </c>
      <c r="D294" s="20">
        <f>SUMIF('Clean Data'!$C$2:$C$1565,$A294,'Clean Data'!$K$2:$K$1565)</f>
        <v/>
      </c>
      <c r="E294" s="10">
        <f>IF(B294&lt;=$K$6,5,IF(B294&lt;=$K$7,4,IF(B294&lt;=$K$8,3,IF(B294&lt;=$K$9,2,1))))</f>
        <v/>
      </c>
      <c r="F294" s="10">
        <f>IF(C294&gt;=$L$9,5,IF(C294&gt;=$L$8,4,IF(C294&gt;=$L$7,3,IF(C294&gt;=$L$6,2,1))))</f>
        <v/>
      </c>
      <c r="G294" s="10">
        <f>IF(D294&gt;=$M$9,5,IF(D294&gt;=$M$8,4,IF(D294&gt;=$M$7,3,IF(D294&gt;=$M$6,2,1))))</f>
        <v/>
      </c>
      <c r="H294" s="10">
        <f>IF(AND(E294&gt;=4,F294&gt;=4),"Champions",IF(AND(E294&gt;=3,F294&gt;=3),"Loyal",IF(AND(E294&gt;=4,F294&lt;=2),"New customers",IF(AND(E294=3,F294&lt;=2),"Potential",IF(AND(E294&lt;=2,F294&gt;=3),"At risk","Inactive")))))</f>
        <v/>
      </c>
    </row>
    <row r="295">
      <c r="A295" s="10" t="inlineStr">
        <is>
          <t>C1287</t>
        </is>
      </c>
      <c r="B295" s="19">
        <f>$B$4-_xlfn.MAXIFS('Clean Data'!$B$2:$B$1565,'Clean Data'!$C$2:$C$1565,$A295)</f>
        <v/>
      </c>
      <c r="C295" s="10">
        <f>COUNTIF('Clean Data'!$C$2:$C$1565,$A295)</f>
        <v/>
      </c>
      <c r="D295" s="20">
        <f>SUMIF('Clean Data'!$C$2:$C$1565,$A295,'Clean Data'!$K$2:$K$1565)</f>
        <v/>
      </c>
      <c r="E295" s="10">
        <f>IF(B295&lt;=$K$6,5,IF(B295&lt;=$K$7,4,IF(B295&lt;=$K$8,3,IF(B295&lt;=$K$9,2,1))))</f>
        <v/>
      </c>
      <c r="F295" s="10">
        <f>IF(C295&gt;=$L$9,5,IF(C295&gt;=$L$8,4,IF(C295&gt;=$L$7,3,IF(C295&gt;=$L$6,2,1))))</f>
        <v/>
      </c>
      <c r="G295" s="10">
        <f>IF(D295&gt;=$M$9,5,IF(D295&gt;=$M$8,4,IF(D295&gt;=$M$7,3,IF(D295&gt;=$M$6,2,1))))</f>
        <v/>
      </c>
      <c r="H295" s="10">
        <f>IF(AND(E295&gt;=4,F295&gt;=4),"Champions",IF(AND(E295&gt;=3,F295&gt;=3),"Loyal",IF(AND(E295&gt;=4,F295&lt;=2),"New customers",IF(AND(E295=3,F295&lt;=2),"Potential",IF(AND(E295&lt;=2,F295&gt;=3),"At risk","Inactive")))))</f>
        <v/>
      </c>
    </row>
    <row r="296">
      <c r="A296" s="10" t="inlineStr">
        <is>
          <t>C1288</t>
        </is>
      </c>
      <c r="B296" s="19">
        <f>$B$4-_xlfn.MAXIFS('Clean Data'!$B$2:$B$1565,'Clean Data'!$C$2:$C$1565,$A296)</f>
        <v/>
      </c>
      <c r="C296" s="10">
        <f>COUNTIF('Clean Data'!$C$2:$C$1565,$A296)</f>
        <v/>
      </c>
      <c r="D296" s="20">
        <f>SUMIF('Clean Data'!$C$2:$C$1565,$A296,'Clean Data'!$K$2:$K$1565)</f>
        <v/>
      </c>
      <c r="E296" s="10">
        <f>IF(B296&lt;=$K$6,5,IF(B296&lt;=$K$7,4,IF(B296&lt;=$K$8,3,IF(B296&lt;=$K$9,2,1))))</f>
        <v/>
      </c>
      <c r="F296" s="10">
        <f>IF(C296&gt;=$L$9,5,IF(C296&gt;=$L$8,4,IF(C296&gt;=$L$7,3,IF(C296&gt;=$L$6,2,1))))</f>
        <v/>
      </c>
      <c r="G296" s="10">
        <f>IF(D296&gt;=$M$9,5,IF(D296&gt;=$M$8,4,IF(D296&gt;=$M$7,3,IF(D296&gt;=$M$6,2,1))))</f>
        <v/>
      </c>
      <c r="H296" s="10">
        <f>IF(AND(E296&gt;=4,F296&gt;=4),"Champions",IF(AND(E296&gt;=3,F296&gt;=3),"Loyal",IF(AND(E296&gt;=4,F296&lt;=2),"New customers",IF(AND(E296=3,F296&lt;=2),"Potential",IF(AND(E296&lt;=2,F296&gt;=3),"At risk","Inactive")))))</f>
        <v/>
      </c>
    </row>
    <row r="297">
      <c r="A297" s="10" t="inlineStr">
        <is>
          <t>C1289</t>
        </is>
      </c>
      <c r="B297" s="19">
        <f>$B$4-_xlfn.MAXIFS('Clean Data'!$B$2:$B$1565,'Clean Data'!$C$2:$C$1565,$A297)</f>
        <v/>
      </c>
      <c r="C297" s="10">
        <f>COUNTIF('Clean Data'!$C$2:$C$1565,$A297)</f>
        <v/>
      </c>
      <c r="D297" s="20">
        <f>SUMIF('Clean Data'!$C$2:$C$1565,$A297,'Clean Data'!$K$2:$K$1565)</f>
        <v/>
      </c>
      <c r="E297" s="10">
        <f>IF(B297&lt;=$K$6,5,IF(B297&lt;=$K$7,4,IF(B297&lt;=$K$8,3,IF(B297&lt;=$K$9,2,1))))</f>
        <v/>
      </c>
      <c r="F297" s="10">
        <f>IF(C297&gt;=$L$9,5,IF(C297&gt;=$L$8,4,IF(C297&gt;=$L$7,3,IF(C297&gt;=$L$6,2,1))))</f>
        <v/>
      </c>
      <c r="G297" s="10">
        <f>IF(D297&gt;=$M$9,5,IF(D297&gt;=$M$8,4,IF(D297&gt;=$M$7,3,IF(D297&gt;=$M$6,2,1))))</f>
        <v/>
      </c>
      <c r="H297" s="10">
        <f>IF(AND(E297&gt;=4,F297&gt;=4),"Champions",IF(AND(E297&gt;=3,F297&gt;=3),"Loyal",IF(AND(E297&gt;=4,F297&lt;=2),"New customers",IF(AND(E297=3,F297&lt;=2),"Potential",IF(AND(E297&lt;=2,F297&gt;=3),"At risk","Inactive")))))</f>
        <v/>
      </c>
    </row>
    <row r="298">
      <c r="A298" s="10" t="inlineStr">
        <is>
          <t>C1290</t>
        </is>
      </c>
      <c r="B298" s="19">
        <f>$B$4-_xlfn.MAXIFS('Clean Data'!$B$2:$B$1565,'Clean Data'!$C$2:$C$1565,$A298)</f>
        <v/>
      </c>
      <c r="C298" s="10">
        <f>COUNTIF('Clean Data'!$C$2:$C$1565,$A298)</f>
        <v/>
      </c>
      <c r="D298" s="20">
        <f>SUMIF('Clean Data'!$C$2:$C$1565,$A298,'Clean Data'!$K$2:$K$1565)</f>
        <v/>
      </c>
      <c r="E298" s="10">
        <f>IF(B298&lt;=$K$6,5,IF(B298&lt;=$K$7,4,IF(B298&lt;=$K$8,3,IF(B298&lt;=$K$9,2,1))))</f>
        <v/>
      </c>
      <c r="F298" s="10">
        <f>IF(C298&gt;=$L$9,5,IF(C298&gt;=$L$8,4,IF(C298&gt;=$L$7,3,IF(C298&gt;=$L$6,2,1))))</f>
        <v/>
      </c>
      <c r="G298" s="10">
        <f>IF(D298&gt;=$M$9,5,IF(D298&gt;=$M$8,4,IF(D298&gt;=$M$7,3,IF(D298&gt;=$M$6,2,1))))</f>
        <v/>
      </c>
      <c r="H298" s="10">
        <f>IF(AND(E298&gt;=4,F298&gt;=4),"Champions",IF(AND(E298&gt;=3,F298&gt;=3),"Loyal",IF(AND(E298&gt;=4,F298&lt;=2),"New customers",IF(AND(E298=3,F298&lt;=2),"Potential",IF(AND(E298&lt;=2,F298&gt;=3),"At risk","Inactive")))))</f>
        <v/>
      </c>
    </row>
    <row r="299">
      <c r="A299" s="10" t="inlineStr">
        <is>
          <t>C1291</t>
        </is>
      </c>
      <c r="B299" s="19">
        <f>$B$4-_xlfn.MAXIFS('Clean Data'!$B$2:$B$1565,'Clean Data'!$C$2:$C$1565,$A299)</f>
        <v/>
      </c>
      <c r="C299" s="10">
        <f>COUNTIF('Clean Data'!$C$2:$C$1565,$A299)</f>
        <v/>
      </c>
      <c r="D299" s="20">
        <f>SUMIF('Clean Data'!$C$2:$C$1565,$A299,'Clean Data'!$K$2:$K$1565)</f>
        <v/>
      </c>
      <c r="E299" s="10">
        <f>IF(B299&lt;=$K$6,5,IF(B299&lt;=$K$7,4,IF(B299&lt;=$K$8,3,IF(B299&lt;=$K$9,2,1))))</f>
        <v/>
      </c>
      <c r="F299" s="10">
        <f>IF(C299&gt;=$L$9,5,IF(C299&gt;=$L$8,4,IF(C299&gt;=$L$7,3,IF(C299&gt;=$L$6,2,1))))</f>
        <v/>
      </c>
      <c r="G299" s="10">
        <f>IF(D299&gt;=$M$9,5,IF(D299&gt;=$M$8,4,IF(D299&gt;=$M$7,3,IF(D299&gt;=$M$6,2,1))))</f>
        <v/>
      </c>
      <c r="H299" s="10">
        <f>IF(AND(E299&gt;=4,F299&gt;=4),"Champions",IF(AND(E299&gt;=3,F299&gt;=3),"Loyal",IF(AND(E299&gt;=4,F299&lt;=2),"New customers",IF(AND(E299=3,F299&lt;=2),"Potential",IF(AND(E299&lt;=2,F299&gt;=3),"At risk","Inactive")))))</f>
        <v/>
      </c>
    </row>
    <row r="300">
      <c r="A300" s="10" t="inlineStr">
        <is>
          <t>C1292</t>
        </is>
      </c>
      <c r="B300" s="19">
        <f>$B$4-_xlfn.MAXIFS('Clean Data'!$B$2:$B$1565,'Clean Data'!$C$2:$C$1565,$A300)</f>
        <v/>
      </c>
      <c r="C300" s="10">
        <f>COUNTIF('Clean Data'!$C$2:$C$1565,$A300)</f>
        <v/>
      </c>
      <c r="D300" s="20">
        <f>SUMIF('Clean Data'!$C$2:$C$1565,$A300,'Clean Data'!$K$2:$K$1565)</f>
        <v/>
      </c>
      <c r="E300" s="10">
        <f>IF(B300&lt;=$K$6,5,IF(B300&lt;=$K$7,4,IF(B300&lt;=$K$8,3,IF(B300&lt;=$K$9,2,1))))</f>
        <v/>
      </c>
      <c r="F300" s="10">
        <f>IF(C300&gt;=$L$9,5,IF(C300&gt;=$L$8,4,IF(C300&gt;=$L$7,3,IF(C300&gt;=$L$6,2,1))))</f>
        <v/>
      </c>
      <c r="G300" s="10">
        <f>IF(D300&gt;=$M$9,5,IF(D300&gt;=$M$8,4,IF(D300&gt;=$M$7,3,IF(D300&gt;=$M$6,2,1))))</f>
        <v/>
      </c>
      <c r="H300" s="10">
        <f>IF(AND(E300&gt;=4,F300&gt;=4),"Champions",IF(AND(E300&gt;=3,F300&gt;=3),"Loyal",IF(AND(E300&gt;=4,F300&lt;=2),"New customers",IF(AND(E300=3,F300&lt;=2),"Potential",IF(AND(E300&lt;=2,F300&gt;=3),"At risk","Inactive")))))</f>
        <v/>
      </c>
    </row>
    <row r="301">
      <c r="A301" s="10" t="inlineStr">
        <is>
          <t>C1293</t>
        </is>
      </c>
      <c r="B301" s="19">
        <f>$B$4-_xlfn.MAXIFS('Clean Data'!$B$2:$B$1565,'Clean Data'!$C$2:$C$1565,$A301)</f>
        <v/>
      </c>
      <c r="C301" s="10">
        <f>COUNTIF('Clean Data'!$C$2:$C$1565,$A301)</f>
        <v/>
      </c>
      <c r="D301" s="20">
        <f>SUMIF('Clean Data'!$C$2:$C$1565,$A301,'Clean Data'!$K$2:$K$1565)</f>
        <v/>
      </c>
      <c r="E301" s="10">
        <f>IF(B301&lt;=$K$6,5,IF(B301&lt;=$K$7,4,IF(B301&lt;=$K$8,3,IF(B301&lt;=$K$9,2,1))))</f>
        <v/>
      </c>
      <c r="F301" s="10">
        <f>IF(C301&gt;=$L$9,5,IF(C301&gt;=$L$8,4,IF(C301&gt;=$L$7,3,IF(C301&gt;=$L$6,2,1))))</f>
        <v/>
      </c>
      <c r="G301" s="10">
        <f>IF(D301&gt;=$M$9,5,IF(D301&gt;=$M$8,4,IF(D301&gt;=$M$7,3,IF(D301&gt;=$M$6,2,1))))</f>
        <v/>
      </c>
      <c r="H301" s="10">
        <f>IF(AND(E301&gt;=4,F301&gt;=4),"Champions",IF(AND(E301&gt;=3,F301&gt;=3),"Loyal",IF(AND(E301&gt;=4,F301&lt;=2),"New customers",IF(AND(E301=3,F301&lt;=2),"Potential",IF(AND(E301&lt;=2,F301&gt;=3),"At risk","Inactive")))))</f>
        <v/>
      </c>
    </row>
    <row r="302">
      <c r="A302" s="10" t="inlineStr">
        <is>
          <t>C1294</t>
        </is>
      </c>
      <c r="B302" s="19">
        <f>$B$4-_xlfn.MAXIFS('Clean Data'!$B$2:$B$1565,'Clean Data'!$C$2:$C$1565,$A302)</f>
        <v/>
      </c>
      <c r="C302" s="10">
        <f>COUNTIF('Clean Data'!$C$2:$C$1565,$A302)</f>
        <v/>
      </c>
      <c r="D302" s="20">
        <f>SUMIF('Clean Data'!$C$2:$C$1565,$A302,'Clean Data'!$K$2:$K$1565)</f>
        <v/>
      </c>
      <c r="E302" s="10">
        <f>IF(B302&lt;=$K$6,5,IF(B302&lt;=$K$7,4,IF(B302&lt;=$K$8,3,IF(B302&lt;=$K$9,2,1))))</f>
        <v/>
      </c>
      <c r="F302" s="10">
        <f>IF(C302&gt;=$L$9,5,IF(C302&gt;=$L$8,4,IF(C302&gt;=$L$7,3,IF(C302&gt;=$L$6,2,1))))</f>
        <v/>
      </c>
      <c r="G302" s="10">
        <f>IF(D302&gt;=$M$9,5,IF(D302&gt;=$M$8,4,IF(D302&gt;=$M$7,3,IF(D302&gt;=$M$6,2,1))))</f>
        <v/>
      </c>
      <c r="H302" s="10">
        <f>IF(AND(E302&gt;=4,F302&gt;=4),"Champions",IF(AND(E302&gt;=3,F302&gt;=3),"Loyal",IF(AND(E302&gt;=4,F302&lt;=2),"New customers",IF(AND(E302=3,F302&lt;=2),"Potential",IF(AND(E302&lt;=2,F302&gt;=3),"At risk","Inactive")))))</f>
        <v/>
      </c>
    </row>
    <row r="303">
      <c r="A303" s="10" t="inlineStr">
        <is>
          <t>C1295</t>
        </is>
      </c>
      <c r="B303" s="19">
        <f>$B$4-_xlfn.MAXIFS('Clean Data'!$B$2:$B$1565,'Clean Data'!$C$2:$C$1565,$A303)</f>
        <v/>
      </c>
      <c r="C303" s="10">
        <f>COUNTIF('Clean Data'!$C$2:$C$1565,$A303)</f>
        <v/>
      </c>
      <c r="D303" s="20">
        <f>SUMIF('Clean Data'!$C$2:$C$1565,$A303,'Clean Data'!$K$2:$K$1565)</f>
        <v/>
      </c>
      <c r="E303" s="10">
        <f>IF(B303&lt;=$K$6,5,IF(B303&lt;=$K$7,4,IF(B303&lt;=$K$8,3,IF(B303&lt;=$K$9,2,1))))</f>
        <v/>
      </c>
      <c r="F303" s="10">
        <f>IF(C303&gt;=$L$9,5,IF(C303&gt;=$L$8,4,IF(C303&gt;=$L$7,3,IF(C303&gt;=$L$6,2,1))))</f>
        <v/>
      </c>
      <c r="G303" s="10">
        <f>IF(D303&gt;=$M$9,5,IF(D303&gt;=$M$8,4,IF(D303&gt;=$M$7,3,IF(D303&gt;=$M$6,2,1))))</f>
        <v/>
      </c>
      <c r="H303" s="10">
        <f>IF(AND(E303&gt;=4,F303&gt;=4),"Champions",IF(AND(E303&gt;=3,F303&gt;=3),"Loyal",IF(AND(E303&gt;=4,F303&lt;=2),"New customers",IF(AND(E303=3,F303&lt;=2),"Potential",IF(AND(E303&lt;=2,F303&gt;=3),"At risk","Inactive")))))</f>
        <v/>
      </c>
    </row>
    <row r="304">
      <c r="A304" s="10" t="inlineStr">
        <is>
          <t>C1296</t>
        </is>
      </c>
      <c r="B304" s="19">
        <f>$B$4-_xlfn.MAXIFS('Clean Data'!$B$2:$B$1565,'Clean Data'!$C$2:$C$1565,$A304)</f>
        <v/>
      </c>
      <c r="C304" s="10">
        <f>COUNTIF('Clean Data'!$C$2:$C$1565,$A304)</f>
        <v/>
      </c>
      <c r="D304" s="20">
        <f>SUMIF('Clean Data'!$C$2:$C$1565,$A304,'Clean Data'!$K$2:$K$1565)</f>
        <v/>
      </c>
      <c r="E304" s="10">
        <f>IF(B304&lt;=$K$6,5,IF(B304&lt;=$K$7,4,IF(B304&lt;=$K$8,3,IF(B304&lt;=$K$9,2,1))))</f>
        <v/>
      </c>
      <c r="F304" s="10">
        <f>IF(C304&gt;=$L$9,5,IF(C304&gt;=$L$8,4,IF(C304&gt;=$L$7,3,IF(C304&gt;=$L$6,2,1))))</f>
        <v/>
      </c>
      <c r="G304" s="10">
        <f>IF(D304&gt;=$M$9,5,IF(D304&gt;=$M$8,4,IF(D304&gt;=$M$7,3,IF(D304&gt;=$M$6,2,1))))</f>
        <v/>
      </c>
      <c r="H304" s="10">
        <f>IF(AND(E304&gt;=4,F304&gt;=4),"Champions",IF(AND(E304&gt;=3,F304&gt;=3),"Loyal",IF(AND(E304&gt;=4,F304&lt;=2),"New customers",IF(AND(E304=3,F304&lt;=2),"Potential",IF(AND(E304&lt;=2,F304&gt;=3),"At risk","Inactive")))))</f>
        <v/>
      </c>
    </row>
    <row r="305">
      <c r="A305" s="10" t="inlineStr">
        <is>
          <t>C1297</t>
        </is>
      </c>
      <c r="B305" s="19">
        <f>$B$4-_xlfn.MAXIFS('Clean Data'!$B$2:$B$1565,'Clean Data'!$C$2:$C$1565,$A305)</f>
        <v/>
      </c>
      <c r="C305" s="10">
        <f>COUNTIF('Clean Data'!$C$2:$C$1565,$A305)</f>
        <v/>
      </c>
      <c r="D305" s="20">
        <f>SUMIF('Clean Data'!$C$2:$C$1565,$A305,'Clean Data'!$K$2:$K$1565)</f>
        <v/>
      </c>
      <c r="E305" s="10">
        <f>IF(B305&lt;=$K$6,5,IF(B305&lt;=$K$7,4,IF(B305&lt;=$K$8,3,IF(B305&lt;=$K$9,2,1))))</f>
        <v/>
      </c>
      <c r="F305" s="10">
        <f>IF(C305&gt;=$L$9,5,IF(C305&gt;=$L$8,4,IF(C305&gt;=$L$7,3,IF(C305&gt;=$L$6,2,1))))</f>
        <v/>
      </c>
      <c r="G305" s="10">
        <f>IF(D305&gt;=$M$9,5,IF(D305&gt;=$M$8,4,IF(D305&gt;=$M$7,3,IF(D305&gt;=$M$6,2,1))))</f>
        <v/>
      </c>
      <c r="H305" s="10">
        <f>IF(AND(E305&gt;=4,F305&gt;=4),"Champions",IF(AND(E305&gt;=3,F305&gt;=3),"Loyal",IF(AND(E305&gt;=4,F305&lt;=2),"New customers",IF(AND(E305=3,F305&lt;=2),"Potential",IF(AND(E305&lt;=2,F305&gt;=3),"At risk","Inactive")))))</f>
        <v/>
      </c>
    </row>
    <row r="306">
      <c r="A306" s="10" t="inlineStr">
        <is>
          <t>C1298</t>
        </is>
      </c>
      <c r="B306" s="19">
        <f>$B$4-_xlfn.MAXIFS('Clean Data'!$B$2:$B$1565,'Clean Data'!$C$2:$C$1565,$A306)</f>
        <v/>
      </c>
      <c r="C306" s="10">
        <f>COUNTIF('Clean Data'!$C$2:$C$1565,$A306)</f>
        <v/>
      </c>
      <c r="D306" s="20">
        <f>SUMIF('Clean Data'!$C$2:$C$1565,$A306,'Clean Data'!$K$2:$K$1565)</f>
        <v/>
      </c>
      <c r="E306" s="10">
        <f>IF(B306&lt;=$K$6,5,IF(B306&lt;=$K$7,4,IF(B306&lt;=$K$8,3,IF(B306&lt;=$K$9,2,1))))</f>
        <v/>
      </c>
      <c r="F306" s="10">
        <f>IF(C306&gt;=$L$9,5,IF(C306&gt;=$L$8,4,IF(C306&gt;=$L$7,3,IF(C306&gt;=$L$6,2,1))))</f>
        <v/>
      </c>
      <c r="G306" s="10">
        <f>IF(D306&gt;=$M$9,5,IF(D306&gt;=$M$8,4,IF(D306&gt;=$M$7,3,IF(D306&gt;=$M$6,2,1))))</f>
        <v/>
      </c>
      <c r="H306" s="10">
        <f>IF(AND(E306&gt;=4,F306&gt;=4),"Champions",IF(AND(E306&gt;=3,F306&gt;=3),"Loyal",IF(AND(E306&gt;=4,F306&lt;=2),"New customers",IF(AND(E306=3,F306&lt;=2),"Potential",IF(AND(E306&lt;=2,F306&gt;=3),"At risk","Inactive")))))</f>
        <v/>
      </c>
    </row>
    <row r="307">
      <c r="A307" s="10" t="inlineStr">
        <is>
          <t>C1299</t>
        </is>
      </c>
      <c r="B307" s="19">
        <f>$B$4-_xlfn.MAXIFS('Clean Data'!$B$2:$B$1565,'Clean Data'!$C$2:$C$1565,$A307)</f>
        <v/>
      </c>
      <c r="C307" s="10">
        <f>COUNTIF('Clean Data'!$C$2:$C$1565,$A307)</f>
        <v/>
      </c>
      <c r="D307" s="20">
        <f>SUMIF('Clean Data'!$C$2:$C$1565,$A307,'Clean Data'!$K$2:$K$1565)</f>
        <v/>
      </c>
      <c r="E307" s="10">
        <f>IF(B307&lt;=$K$6,5,IF(B307&lt;=$K$7,4,IF(B307&lt;=$K$8,3,IF(B307&lt;=$K$9,2,1))))</f>
        <v/>
      </c>
      <c r="F307" s="10">
        <f>IF(C307&gt;=$L$9,5,IF(C307&gt;=$L$8,4,IF(C307&gt;=$L$7,3,IF(C307&gt;=$L$6,2,1))))</f>
        <v/>
      </c>
      <c r="G307" s="10">
        <f>IF(D307&gt;=$M$9,5,IF(D307&gt;=$M$8,4,IF(D307&gt;=$M$7,3,IF(D307&gt;=$M$6,2,1))))</f>
        <v/>
      </c>
      <c r="H307" s="10">
        <f>IF(AND(E307&gt;=4,F307&gt;=4),"Champions",IF(AND(E307&gt;=3,F307&gt;=3),"Loyal",IF(AND(E307&gt;=4,F307&lt;=2),"New customers",IF(AND(E307=3,F307&lt;=2),"Potential",IF(AND(E307&lt;=2,F307&gt;=3),"At risk","Inactive")))))</f>
        <v/>
      </c>
    </row>
    <row r="308">
      <c r="A308" s="10" t="inlineStr">
        <is>
          <t>C1300</t>
        </is>
      </c>
      <c r="B308" s="19">
        <f>$B$4-_xlfn.MAXIFS('Clean Data'!$B$2:$B$1565,'Clean Data'!$C$2:$C$1565,$A308)</f>
        <v/>
      </c>
      <c r="C308" s="10">
        <f>COUNTIF('Clean Data'!$C$2:$C$1565,$A308)</f>
        <v/>
      </c>
      <c r="D308" s="20">
        <f>SUMIF('Clean Data'!$C$2:$C$1565,$A308,'Clean Data'!$K$2:$K$1565)</f>
        <v/>
      </c>
      <c r="E308" s="10">
        <f>IF(B308&lt;=$K$6,5,IF(B308&lt;=$K$7,4,IF(B308&lt;=$K$8,3,IF(B308&lt;=$K$9,2,1))))</f>
        <v/>
      </c>
      <c r="F308" s="10">
        <f>IF(C308&gt;=$L$9,5,IF(C308&gt;=$L$8,4,IF(C308&gt;=$L$7,3,IF(C308&gt;=$L$6,2,1))))</f>
        <v/>
      </c>
      <c r="G308" s="10">
        <f>IF(D308&gt;=$M$9,5,IF(D308&gt;=$M$8,4,IF(D308&gt;=$M$7,3,IF(D308&gt;=$M$6,2,1))))</f>
        <v/>
      </c>
      <c r="H308" s="10">
        <f>IF(AND(E308&gt;=4,F308&gt;=4),"Champions",IF(AND(E308&gt;=3,F308&gt;=3),"Loyal",IF(AND(E308&gt;=4,F308&lt;=2),"New customers",IF(AND(E308=3,F308&lt;=2),"Potential",IF(AND(E308&lt;=2,F308&gt;=3),"At risk","Inactive")))))</f>
        <v/>
      </c>
    </row>
    <row r="309">
      <c r="A309" s="10" t="inlineStr">
        <is>
          <t>C1301</t>
        </is>
      </c>
      <c r="B309" s="19">
        <f>$B$4-_xlfn.MAXIFS('Clean Data'!$B$2:$B$1565,'Clean Data'!$C$2:$C$1565,$A309)</f>
        <v/>
      </c>
      <c r="C309" s="10">
        <f>COUNTIF('Clean Data'!$C$2:$C$1565,$A309)</f>
        <v/>
      </c>
      <c r="D309" s="20">
        <f>SUMIF('Clean Data'!$C$2:$C$1565,$A309,'Clean Data'!$K$2:$K$1565)</f>
        <v/>
      </c>
      <c r="E309" s="10">
        <f>IF(B309&lt;=$K$6,5,IF(B309&lt;=$K$7,4,IF(B309&lt;=$K$8,3,IF(B309&lt;=$K$9,2,1))))</f>
        <v/>
      </c>
      <c r="F309" s="10">
        <f>IF(C309&gt;=$L$9,5,IF(C309&gt;=$L$8,4,IF(C309&gt;=$L$7,3,IF(C309&gt;=$L$6,2,1))))</f>
        <v/>
      </c>
      <c r="G309" s="10">
        <f>IF(D309&gt;=$M$9,5,IF(D309&gt;=$M$8,4,IF(D309&gt;=$M$7,3,IF(D309&gt;=$M$6,2,1))))</f>
        <v/>
      </c>
      <c r="H309" s="10">
        <f>IF(AND(E309&gt;=4,F309&gt;=4),"Champions",IF(AND(E309&gt;=3,F309&gt;=3),"Loyal",IF(AND(E309&gt;=4,F309&lt;=2),"New customers",IF(AND(E309=3,F309&lt;=2),"Potential",IF(AND(E309&lt;=2,F309&gt;=3),"At risk","Inactive")))))</f>
        <v/>
      </c>
    </row>
    <row r="310">
      <c r="A310" s="10" t="inlineStr">
        <is>
          <t>C1302</t>
        </is>
      </c>
      <c r="B310" s="19">
        <f>$B$4-_xlfn.MAXIFS('Clean Data'!$B$2:$B$1565,'Clean Data'!$C$2:$C$1565,$A310)</f>
        <v/>
      </c>
      <c r="C310" s="10">
        <f>COUNTIF('Clean Data'!$C$2:$C$1565,$A310)</f>
        <v/>
      </c>
      <c r="D310" s="20">
        <f>SUMIF('Clean Data'!$C$2:$C$1565,$A310,'Clean Data'!$K$2:$K$1565)</f>
        <v/>
      </c>
      <c r="E310" s="10">
        <f>IF(B310&lt;=$K$6,5,IF(B310&lt;=$K$7,4,IF(B310&lt;=$K$8,3,IF(B310&lt;=$K$9,2,1))))</f>
        <v/>
      </c>
      <c r="F310" s="10">
        <f>IF(C310&gt;=$L$9,5,IF(C310&gt;=$L$8,4,IF(C310&gt;=$L$7,3,IF(C310&gt;=$L$6,2,1))))</f>
        <v/>
      </c>
      <c r="G310" s="10">
        <f>IF(D310&gt;=$M$9,5,IF(D310&gt;=$M$8,4,IF(D310&gt;=$M$7,3,IF(D310&gt;=$M$6,2,1))))</f>
        <v/>
      </c>
      <c r="H310" s="10">
        <f>IF(AND(E310&gt;=4,F310&gt;=4),"Champions",IF(AND(E310&gt;=3,F310&gt;=3),"Loyal",IF(AND(E310&gt;=4,F310&lt;=2),"New customers",IF(AND(E310=3,F310&lt;=2),"Potential",IF(AND(E310&lt;=2,F310&gt;=3),"At risk","Inactive")))))</f>
        <v/>
      </c>
    </row>
    <row r="311">
      <c r="A311" s="10" t="inlineStr">
        <is>
          <t>C1303</t>
        </is>
      </c>
      <c r="B311" s="19">
        <f>$B$4-_xlfn.MAXIFS('Clean Data'!$B$2:$B$1565,'Clean Data'!$C$2:$C$1565,$A311)</f>
        <v/>
      </c>
      <c r="C311" s="10">
        <f>COUNTIF('Clean Data'!$C$2:$C$1565,$A311)</f>
        <v/>
      </c>
      <c r="D311" s="20">
        <f>SUMIF('Clean Data'!$C$2:$C$1565,$A311,'Clean Data'!$K$2:$K$1565)</f>
        <v/>
      </c>
      <c r="E311" s="10">
        <f>IF(B311&lt;=$K$6,5,IF(B311&lt;=$K$7,4,IF(B311&lt;=$K$8,3,IF(B311&lt;=$K$9,2,1))))</f>
        <v/>
      </c>
      <c r="F311" s="10">
        <f>IF(C311&gt;=$L$9,5,IF(C311&gt;=$L$8,4,IF(C311&gt;=$L$7,3,IF(C311&gt;=$L$6,2,1))))</f>
        <v/>
      </c>
      <c r="G311" s="10">
        <f>IF(D311&gt;=$M$9,5,IF(D311&gt;=$M$8,4,IF(D311&gt;=$M$7,3,IF(D311&gt;=$M$6,2,1))))</f>
        <v/>
      </c>
      <c r="H311" s="10">
        <f>IF(AND(E311&gt;=4,F311&gt;=4),"Champions",IF(AND(E311&gt;=3,F311&gt;=3),"Loyal",IF(AND(E311&gt;=4,F311&lt;=2),"New customers",IF(AND(E311=3,F311&lt;=2),"Potential",IF(AND(E311&lt;=2,F311&gt;=3),"At risk","Inactive")))))</f>
        <v/>
      </c>
    </row>
    <row r="312">
      <c r="A312" s="10" t="inlineStr">
        <is>
          <t>C1304</t>
        </is>
      </c>
      <c r="B312" s="19">
        <f>$B$4-_xlfn.MAXIFS('Clean Data'!$B$2:$B$1565,'Clean Data'!$C$2:$C$1565,$A312)</f>
        <v/>
      </c>
      <c r="C312" s="10">
        <f>COUNTIF('Clean Data'!$C$2:$C$1565,$A312)</f>
        <v/>
      </c>
      <c r="D312" s="20">
        <f>SUMIF('Clean Data'!$C$2:$C$1565,$A312,'Clean Data'!$K$2:$K$1565)</f>
        <v/>
      </c>
      <c r="E312" s="10">
        <f>IF(B312&lt;=$K$6,5,IF(B312&lt;=$K$7,4,IF(B312&lt;=$K$8,3,IF(B312&lt;=$K$9,2,1))))</f>
        <v/>
      </c>
      <c r="F312" s="10">
        <f>IF(C312&gt;=$L$9,5,IF(C312&gt;=$L$8,4,IF(C312&gt;=$L$7,3,IF(C312&gt;=$L$6,2,1))))</f>
        <v/>
      </c>
      <c r="G312" s="10">
        <f>IF(D312&gt;=$M$9,5,IF(D312&gt;=$M$8,4,IF(D312&gt;=$M$7,3,IF(D312&gt;=$M$6,2,1))))</f>
        <v/>
      </c>
      <c r="H312" s="10">
        <f>IF(AND(E312&gt;=4,F312&gt;=4),"Champions",IF(AND(E312&gt;=3,F312&gt;=3),"Loyal",IF(AND(E312&gt;=4,F312&lt;=2),"New customers",IF(AND(E312=3,F312&lt;=2),"Potential",IF(AND(E312&lt;=2,F312&gt;=3),"At risk","Inactive")))))</f>
        <v/>
      </c>
    </row>
    <row r="313">
      <c r="A313" s="10" t="inlineStr">
        <is>
          <t>C1305</t>
        </is>
      </c>
      <c r="B313" s="19">
        <f>$B$4-_xlfn.MAXIFS('Clean Data'!$B$2:$B$1565,'Clean Data'!$C$2:$C$1565,$A313)</f>
        <v/>
      </c>
      <c r="C313" s="10">
        <f>COUNTIF('Clean Data'!$C$2:$C$1565,$A313)</f>
        <v/>
      </c>
      <c r="D313" s="20">
        <f>SUMIF('Clean Data'!$C$2:$C$1565,$A313,'Clean Data'!$K$2:$K$1565)</f>
        <v/>
      </c>
      <c r="E313" s="10">
        <f>IF(B313&lt;=$K$6,5,IF(B313&lt;=$K$7,4,IF(B313&lt;=$K$8,3,IF(B313&lt;=$K$9,2,1))))</f>
        <v/>
      </c>
      <c r="F313" s="10">
        <f>IF(C313&gt;=$L$9,5,IF(C313&gt;=$L$8,4,IF(C313&gt;=$L$7,3,IF(C313&gt;=$L$6,2,1))))</f>
        <v/>
      </c>
      <c r="G313" s="10">
        <f>IF(D313&gt;=$M$9,5,IF(D313&gt;=$M$8,4,IF(D313&gt;=$M$7,3,IF(D313&gt;=$M$6,2,1))))</f>
        <v/>
      </c>
      <c r="H313" s="10">
        <f>IF(AND(E313&gt;=4,F313&gt;=4),"Champions",IF(AND(E313&gt;=3,F313&gt;=3),"Loyal",IF(AND(E313&gt;=4,F313&lt;=2),"New customers",IF(AND(E313=3,F313&lt;=2),"Potential",IF(AND(E313&lt;=2,F313&gt;=3),"At risk","Inactive")))))</f>
        <v/>
      </c>
    </row>
    <row r="314">
      <c r="A314" s="10" t="inlineStr">
        <is>
          <t>C1306</t>
        </is>
      </c>
      <c r="B314" s="19">
        <f>$B$4-_xlfn.MAXIFS('Clean Data'!$B$2:$B$1565,'Clean Data'!$C$2:$C$1565,$A314)</f>
        <v/>
      </c>
      <c r="C314" s="10">
        <f>COUNTIF('Clean Data'!$C$2:$C$1565,$A314)</f>
        <v/>
      </c>
      <c r="D314" s="20">
        <f>SUMIF('Clean Data'!$C$2:$C$1565,$A314,'Clean Data'!$K$2:$K$1565)</f>
        <v/>
      </c>
      <c r="E314" s="10">
        <f>IF(B314&lt;=$K$6,5,IF(B314&lt;=$K$7,4,IF(B314&lt;=$K$8,3,IF(B314&lt;=$K$9,2,1))))</f>
        <v/>
      </c>
      <c r="F314" s="10">
        <f>IF(C314&gt;=$L$9,5,IF(C314&gt;=$L$8,4,IF(C314&gt;=$L$7,3,IF(C314&gt;=$L$6,2,1))))</f>
        <v/>
      </c>
      <c r="G314" s="10">
        <f>IF(D314&gt;=$M$9,5,IF(D314&gt;=$M$8,4,IF(D314&gt;=$M$7,3,IF(D314&gt;=$M$6,2,1))))</f>
        <v/>
      </c>
      <c r="H314" s="10">
        <f>IF(AND(E314&gt;=4,F314&gt;=4),"Champions",IF(AND(E314&gt;=3,F314&gt;=3),"Loyal",IF(AND(E314&gt;=4,F314&lt;=2),"New customers",IF(AND(E314=3,F314&lt;=2),"Potential",IF(AND(E314&lt;=2,F314&gt;=3),"At risk","Inactive")))))</f>
        <v/>
      </c>
    </row>
    <row r="315">
      <c r="A315" s="10" t="inlineStr">
        <is>
          <t>C1307</t>
        </is>
      </c>
      <c r="B315" s="19">
        <f>$B$4-_xlfn.MAXIFS('Clean Data'!$B$2:$B$1565,'Clean Data'!$C$2:$C$1565,$A315)</f>
        <v/>
      </c>
      <c r="C315" s="10">
        <f>COUNTIF('Clean Data'!$C$2:$C$1565,$A315)</f>
        <v/>
      </c>
      <c r="D315" s="20">
        <f>SUMIF('Clean Data'!$C$2:$C$1565,$A315,'Clean Data'!$K$2:$K$1565)</f>
        <v/>
      </c>
      <c r="E315" s="10">
        <f>IF(B315&lt;=$K$6,5,IF(B315&lt;=$K$7,4,IF(B315&lt;=$K$8,3,IF(B315&lt;=$K$9,2,1))))</f>
        <v/>
      </c>
      <c r="F315" s="10">
        <f>IF(C315&gt;=$L$9,5,IF(C315&gt;=$L$8,4,IF(C315&gt;=$L$7,3,IF(C315&gt;=$L$6,2,1))))</f>
        <v/>
      </c>
      <c r="G315" s="10">
        <f>IF(D315&gt;=$M$9,5,IF(D315&gt;=$M$8,4,IF(D315&gt;=$M$7,3,IF(D315&gt;=$M$6,2,1))))</f>
        <v/>
      </c>
      <c r="H315" s="10">
        <f>IF(AND(E315&gt;=4,F315&gt;=4),"Champions",IF(AND(E315&gt;=3,F315&gt;=3),"Loyal",IF(AND(E315&gt;=4,F315&lt;=2),"New customers",IF(AND(E315=3,F315&lt;=2),"Potential",IF(AND(E315&lt;=2,F315&gt;=3),"At risk","Inactive")))))</f>
        <v/>
      </c>
    </row>
    <row r="316">
      <c r="A316" s="10" t="inlineStr">
        <is>
          <t>C1308</t>
        </is>
      </c>
      <c r="B316" s="19">
        <f>$B$4-_xlfn.MAXIFS('Clean Data'!$B$2:$B$1565,'Clean Data'!$C$2:$C$1565,$A316)</f>
        <v/>
      </c>
      <c r="C316" s="10">
        <f>COUNTIF('Clean Data'!$C$2:$C$1565,$A316)</f>
        <v/>
      </c>
      <c r="D316" s="20">
        <f>SUMIF('Clean Data'!$C$2:$C$1565,$A316,'Clean Data'!$K$2:$K$1565)</f>
        <v/>
      </c>
      <c r="E316" s="10">
        <f>IF(B316&lt;=$K$6,5,IF(B316&lt;=$K$7,4,IF(B316&lt;=$K$8,3,IF(B316&lt;=$K$9,2,1))))</f>
        <v/>
      </c>
      <c r="F316" s="10">
        <f>IF(C316&gt;=$L$9,5,IF(C316&gt;=$L$8,4,IF(C316&gt;=$L$7,3,IF(C316&gt;=$L$6,2,1))))</f>
        <v/>
      </c>
      <c r="G316" s="10">
        <f>IF(D316&gt;=$M$9,5,IF(D316&gt;=$M$8,4,IF(D316&gt;=$M$7,3,IF(D316&gt;=$M$6,2,1))))</f>
        <v/>
      </c>
      <c r="H316" s="10">
        <f>IF(AND(E316&gt;=4,F316&gt;=4),"Champions",IF(AND(E316&gt;=3,F316&gt;=3),"Loyal",IF(AND(E316&gt;=4,F316&lt;=2),"New customers",IF(AND(E316=3,F316&lt;=2),"Potential",IF(AND(E316&lt;=2,F316&gt;=3),"At risk","Inactive")))))</f>
        <v/>
      </c>
    </row>
    <row r="317">
      <c r="A317" s="10" t="inlineStr">
        <is>
          <t>C1309</t>
        </is>
      </c>
      <c r="B317" s="19">
        <f>$B$4-_xlfn.MAXIFS('Clean Data'!$B$2:$B$1565,'Clean Data'!$C$2:$C$1565,$A317)</f>
        <v/>
      </c>
      <c r="C317" s="10">
        <f>COUNTIF('Clean Data'!$C$2:$C$1565,$A317)</f>
        <v/>
      </c>
      <c r="D317" s="20">
        <f>SUMIF('Clean Data'!$C$2:$C$1565,$A317,'Clean Data'!$K$2:$K$1565)</f>
        <v/>
      </c>
      <c r="E317" s="10">
        <f>IF(B317&lt;=$K$6,5,IF(B317&lt;=$K$7,4,IF(B317&lt;=$K$8,3,IF(B317&lt;=$K$9,2,1))))</f>
        <v/>
      </c>
      <c r="F317" s="10">
        <f>IF(C317&gt;=$L$9,5,IF(C317&gt;=$L$8,4,IF(C317&gt;=$L$7,3,IF(C317&gt;=$L$6,2,1))))</f>
        <v/>
      </c>
      <c r="G317" s="10">
        <f>IF(D317&gt;=$M$9,5,IF(D317&gt;=$M$8,4,IF(D317&gt;=$M$7,3,IF(D317&gt;=$M$6,2,1))))</f>
        <v/>
      </c>
      <c r="H317" s="10">
        <f>IF(AND(E317&gt;=4,F317&gt;=4),"Champions",IF(AND(E317&gt;=3,F317&gt;=3),"Loyal",IF(AND(E317&gt;=4,F317&lt;=2),"New customers",IF(AND(E317=3,F317&lt;=2),"Potential",IF(AND(E317&lt;=2,F317&gt;=3),"At risk","Inactive")))))</f>
        <v/>
      </c>
    </row>
    <row r="318">
      <c r="A318" s="10" t="inlineStr">
        <is>
          <t>C1310</t>
        </is>
      </c>
      <c r="B318" s="19">
        <f>$B$4-_xlfn.MAXIFS('Clean Data'!$B$2:$B$1565,'Clean Data'!$C$2:$C$1565,$A318)</f>
        <v/>
      </c>
      <c r="C318" s="10">
        <f>COUNTIF('Clean Data'!$C$2:$C$1565,$A318)</f>
        <v/>
      </c>
      <c r="D318" s="20">
        <f>SUMIF('Clean Data'!$C$2:$C$1565,$A318,'Clean Data'!$K$2:$K$1565)</f>
        <v/>
      </c>
      <c r="E318" s="10">
        <f>IF(B318&lt;=$K$6,5,IF(B318&lt;=$K$7,4,IF(B318&lt;=$K$8,3,IF(B318&lt;=$K$9,2,1))))</f>
        <v/>
      </c>
      <c r="F318" s="10">
        <f>IF(C318&gt;=$L$9,5,IF(C318&gt;=$L$8,4,IF(C318&gt;=$L$7,3,IF(C318&gt;=$L$6,2,1))))</f>
        <v/>
      </c>
      <c r="G318" s="10">
        <f>IF(D318&gt;=$M$9,5,IF(D318&gt;=$M$8,4,IF(D318&gt;=$M$7,3,IF(D318&gt;=$M$6,2,1))))</f>
        <v/>
      </c>
      <c r="H318" s="10">
        <f>IF(AND(E318&gt;=4,F318&gt;=4),"Champions",IF(AND(E318&gt;=3,F318&gt;=3),"Loyal",IF(AND(E318&gt;=4,F318&lt;=2),"New customers",IF(AND(E318=3,F318&lt;=2),"Potential",IF(AND(E318&lt;=2,F318&gt;=3),"At risk","Inactive")))))</f>
        <v/>
      </c>
    </row>
    <row r="319">
      <c r="A319" s="10" t="inlineStr">
        <is>
          <t>C1311</t>
        </is>
      </c>
      <c r="B319" s="19">
        <f>$B$4-_xlfn.MAXIFS('Clean Data'!$B$2:$B$1565,'Clean Data'!$C$2:$C$1565,$A319)</f>
        <v/>
      </c>
      <c r="C319" s="10">
        <f>COUNTIF('Clean Data'!$C$2:$C$1565,$A319)</f>
        <v/>
      </c>
      <c r="D319" s="20">
        <f>SUMIF('Clean Data'!$C$2:$C$1565,$A319,'Clean Data'!$K$2:$K$1565)</f>
        <v/>
      </c>
      <c r="E319" s="10">
        <f>IF(B319&lt;=$K$6,5,IF(B319&lt;=$K$7,4,IF(B319&lt;=$K$8,3,IF(B319&lt;=$K$9,2,1))))</f>
        <v/>
      </c>
      <c r="F319" s="10">
        <f>IF(C319&gt;=$L$9,5,IF(C319&gt;=$L$8,4,IF(C319&gt;=$L$7,3,IF(C319&gt;=$L$6,2,1))))</f>
        <v/>
      </c>
      <c r="G319" s="10">
        <f>IF(D319&gt;=$M$9,5,IF(D319&gt;=$M$8,4,IF(D319&gt;=$M$7,3,IF(D319&gt;=$M$6,2,1))))</f>
        <v/>
      </c>
      <c r="H319" s="10">
        <f>IF(AND(E319&gt;=4,F319&gt;=4),"Champions",IF(AND(E319&gt;=3,F319&gt;=3),"Loyal",IF(AND(E319&gt;=4,F319&lt;=2),"New customers",IF(AND(E319=3,F319&lt;=2),"Potential",IF(AND(E319&lt;=2,F319&gt;=3),"At risk","Inactive")))))</f>
        <v/>
      </c>
    </row>
    <row r="320">
      <c r="A320" s="10" t="inlineStr">
        <is>
          <t>C1312</t>
        </is>
      </c>
      <c r="B320" s="19">
        <f>$B$4-_xlfn.MAXIFS('Clean Data'!$B$2:$B$1565,'Clean Data'!$C$2:$C$1565,$A320)</f>
        <v/>
      </c>
      <c r="C320" s="10">
        <f>COUNTIF('Clean Data'!$C$2:$C$1565,$A320)</f>
        <v/>
      </c>
      <c r="D320" s="20">
        <f>SUMIF('Clean Data'!$C$2:$C$1565,$A320,'Clean Data'!$K$2:$K$1565)</f>
        <v/>
      </c>
      <c r="E320" s="10">
        <f>IF(B320&lt;=$K$6,5,IF(B320&lt;=$K$7,4,IF(B320&lt;=$K$8,3,IF(B320&lt;=$K$9,2,1))))</f>
        <v/>
      </c>
      <c r="F320" s="10">
        <f>IF(C320&gt;=$L$9,5,IF(C320&gt;=$L$8,4,IF(C320&gt;=$L$7,3,IF(C320&gt;=$L$6,2,1))))</f>
        <v/>
      </c>
      <c r="G320" s="10">
        <f>IF(D320&gt;=$M$9,5,IF(D320&gt;=$M$8,4,IF(D320&gt;=$M$7,3,IF(D320&gt;=$M$6,2,1))))</f>
        <v/>
      </c>
      <c r="H320" s="10">
        <f>IF(AND(E320&gt;=4,F320&gt;=4),"Champions",IF(AND(E320&gt;=3,F320&gt;=3),"Loyal",IF(AND(E320&gt;=4,F320&lt;=2),"New customers",IF(AND(E320=3,F320&lt;=2),"Potential",IF(AND(E320&lt;=2,F320&gt;=3),"At risk","Inactive")))))</f>
        <v/>
      </c>
    </row>
    <row r="321">
      <c r="A321" s="10" t="inlineStr">
        <is>
          <t>C1313</t>
        </is>
      </c>
      <c r="B321" s="19">
        <f>$B$4-_xlfn.MAXIFS('Clean Data'!$B$2:$B$1565,'Clean Data'!$C$2:$C$1565,$A321)</f>
        <v/>
      </c>
      <c r="C321" s="10">
        <f>COUNTIF('Clean Data'!$C$2:$C$1565,$A321)</f>
        <v/>
      </c>
      <c r="D321" s="20">
        <f>SUMIF('Clean Data'!$C$2:$C$1565,$A321,'Clean Data'!$K$2:$K$1565)</f>
        <v/>
      </c>
      <c r="E321" s="10">
        <f>IF(B321&lt;=$K$6,5,IF(B321&lt;=$K$7,4,IF(B321&lt;=$K$8,3,IF(B321&lt;=$K$9,2,1))))</f>
        <v/>
      </c>
      <c r="F321" s="10">
        <f>IF(C321&gt;=$L$9,5,IF(C321&gt;=$L$8,4,IF(C321&gt;=$L$7,3,IF(C321&gt;=$L$6,2,1))))</f>
        <v/>
      </c>
      <c r="G321" s="10">
        <f>IF(D321&gt;=$M$9,5,IF(D321&gt;=$M$8,4,IF(D321&gt;=$M$7,3,IF(D321&gt;=$M$6,2,1))))</f>
        <v/>
      </c>
      <c r="H321" s="10">
        <f>IF(AND(E321&gt;=4,F321&gt;=4),"Champions",IF(AND(E321&gt;=3,F321&gt;=3),"Loyal",IF(AND(E321&gt;=4,F321&lt;=2),"New customers",IF(AND(E321=3,F321&lt;=2),"Potential",IF(AND(E321&lt;=2,F321&gt;=3),"At risk","Inactive")))))</f>
        <v/>
      </c>
    </row>
    <row r="322">
      <c r="A322" s="10" t="inlineStr">
        <is>
          <t>C1314</t>
        </is>
      </c>
      <c r="B322" s="19">
        <f>$B$4-_xlfn.MAXIFS('Clean Data'!$B$2:$B$1565,'Clean Data'!$C$2:$C$1565,$A322)</f>
        <v/>
      </c>
      <c r="C322" s="10">
        <f>COUNTIF('Clean Data'!$C$2:$C$1565,$A322)</f>
        <v/>
      </c>
      <c r="D322" s="20">
        <f>SUMIF('Clean Data'!$C$2:$C$1565,$A322,'Clean Data'!$K$2:$K$1565)</f>
        <v/>
      </c>
      <c r="E322" s="10">
        <f>IF(B322&lt;=$K$6,5,IF(B322&lt;=$K$7,4,IF(B322&lt;=$K$8,3,IF(B322&lt;=$K$9,2,1))))</f>
        <v/>
      </c>
      <c r="F322" s="10">
        <f>IF(C322&gt;=$L$9,5,IF(C322&gt;=$L$8,4,IF(C322&gt;=$L$7,3,IF(C322&gt;=$L$6,2,1))))</f>
        <v/>
      </c>
      <c r="G322" s="10">
        <f>IF(D322&gt;=$M$9,5,IF(D322&gt;=$M$8,4,IF(D322&gt;=$M$7,3,IF(D322&gt;=$M$6,2,1))))</f>
        <v/>
      </c>
      <c r="H322" s="10">
        <f>IF(AND(E322&gt;=4,F322&gt;=4),"Champions",IF(AND(E322&gt;=3,F322&gt;=3),"Loyal",IF(AND(E322&gt;=4,F322&lt;=2),"New customers",IF(AND(E322=3,F322&lt;=2),"Potential",IF(AND(E322&lt;=2,F322&gt;=3),"At risk","Inactive")))))</f>
        <v/>
      </c>
    </row>
    <row r="323">
      <c r="A323" s="10" t="inlineStr">
        <is>
          <t>C1315</t>
        </is>
      </c>
      <c r="B323" s="19">
        <f>$B$4-_xlfn.MAXIFS('Clean Data'!$B$2:$B$1565,'Clean Data'!$C$2:$C$1565,$A323)</f>
        <v/>
      </c>
      <c r="C323" s="10">
        <f>COUNTIF('Clean Data'!$C$2:$C$1565,$A323)</f>
        <v/>
      </c>
      <c r="D323" s="20">
        <f>SUMIF('Clean Data'!$C$2:$C$1565,$A323,'Clean Data'!$K$2:$K$1565)</f>
        <v/>
      </c>
      <c r="E323" s="10">
        <f>IF(B323&lt;=$K$6,5,IF(B323&lt;=$K$7,4,IF(B323&lt;=$K$8,3,IF(B323&lt;=$K$9,2,1))))</f>
        <v/>
      </c>
      <c r="F323" s="10">
        <f>IF(C323&gt;=$L$9,5,IF(C323&gt;=$L$8,4,IF(C323&gt;=$L$7,3,IF(C323&gt;=$L$6,2,1))))</f>
        <v/>
      </c>
      <c r="G323" s="10">
        <f>IF(D323&gt;=$M$9,5,IF(D323&gt;=$M$8,4,IF(D323&gt;=$M$7,3,IF(D323&gt;=$M$6,2,1))))</f>
        <v/>
      </c>
      <c r="H323" s="10">
        <f>IF(AND(E323&gt;=4,F323&gt;=4),"Champions",IF(AND(E323&gt;=3,F323&gt;=3),"Loyal",IF(AND(E323&gt;=4,F323&lt;=2),"New customers",IF(AND(E323=3,F323&lt;=2),"Potential",IF(AND(E323&lt;=2,F323&gt;=3),"At risk","Inactive")))))</f>
        <v/>
      </c>
    </row>
    <row r="324">
      <c r="A324" s="10" t="inlineStr">
        <is>
          <t>C1316</t>
        </is>
      </c>
      <c r="B324" s="19">
        <f>$B$4-_xlfn.MAXIFS('Clean Data'!$B$2:$B$1565,'Clean Data'!$C$2:$C$1565,$A324)</f>
        <v/>
      </c>
      <c r="C324" s="10">
        <f>COUNTIF('Clean Data'!$C$2:$C$1565,$A324)</f>
        <v/>
      </c>
      <c r="D324" s="20">
        <f>SUMIF('Clean Data'!$C$2:$C$1565,$A324,'Clean Data'!$K$2:$K$1565)</f>
        <v/>
      </c>
      <c r="E324" s="10">
        <f>IF(B324&lt;=$K$6,5,IF(B324&lt;=$K$7,4,IF(B324&lt;=$K$8,3,IF(B324&lt;=$K$9,2,1))))</f>
        <v/>
      </c>
      <c r="F324" s="10">
        <f>IF(C324&gt;=$L$9,5,IF(C324&gt;=$L$8,4,IF(C324&gt;=$L$7,3,IF(C324&gt;=$L$6,2,1))))</f>
        <v/>
      </c>
      <c r="G324" s="10">
        <f>IF(D324&gt;=$M$9,5,IF(D324&gt;=$M$8,4,IF(D324&gt;=$M$7,3,IF(D324&gt;=$M$6,2,1))))</f>
        <v/>
      </c>
      <c r="H324" s="10">
        <f>IF(AND(E324&gt;=4,F324&gt;=4),"Champions",IF(AND(E324&gt;=3,F324&gt;=3),"Loyal",IF(AND(E324&gt;=4,F324&lt;=2),"New customers",IF(AND(E324=3,F324&lt;=2),"Potential",IF(AND(E324&lt;=2,F324&gt;=3),"At risk","Inactive")))))</f>
        <v/>
      </c>
    </row>
    <row r="325">
      <c r="A325" s="10" t="inlineStr">
        <is>
          <t>C1317</t>
        </is>
      </c>
      <c r="B325" s="19">
        <f>$B$4-_xlfn.MAXIFS('Clean Data'!$B$2:$B$1565,'Clean Data'!$C$2:$C$1565,$A325)</f>
        <v/>
      </c>
      <c r="C325" s="10">
        <f>COUNTIF('Clean Data'!$C$2:$C$1565,$A325)</f>
        <v/>
      </c>
      <c r="D325" s="20">
        <f>SUMIF('Clean Data'!$C$2:$C$1565,$A325,'Clean Data'!$K$2:$K$1565)</f>
        <v/>
      </c>
      <c r="E325" s="10">
        <f>IF(B325&lt;=$K$6,5,IF(B325&lt;=$K$7,4,IF(B325&lt;=$K$8,3,IF(B325&lt;=$K$9,2,1))))</f>
        <v/>
      </c>
      <c r="F325" s="10">
        <f>IF(C325&gt;=$L$9,5,IF(C325&gt;=$L$8,4,IF(C325&gt;=$L$7,3,IF(C325&gt;=$L$6,2,1))))</f>
        <v/>
      </c>
      <c r="G325" s="10">
        <f>IF(D325&gt;=$M$9,5,IF(D325&gt;=$M$8,4,IF(D325&gt;=$M$7,3,IF(D325&gt;=$M$6,2,1))))</f>
        <v/>
      </c>
      <c r="H325" s="10">
        <f>IF(AND(E325&gt;=4,F325&gt;=4),"Champions",IF(AND(E325&gt;=3,F325&gt;=3),"Loyal",IF(AND(E325&gt;=4,F325&lt;=2),"New customers",IF(AND(E325=3,F325&lt;=2),"Potential",IF(AND(E325&lt;=2,F325&gt;=3),"At risk","Inactive")))))</f>
        <v/>
      </c>
    </row>
    <row r="326">
      <c r="A326" s="10" t="inlineStr">
        <is>
          <t>C1318</t>
        </is>
      </c>
      <c r="B326" s="19">
        <f>$B$4-_xlfn.MAXIFS('Clean Data'!$B$2:$B$1565,'Clean Data'!$C$2:$C$1565,$A326)</f>
        <v/>
      </c>
      <c r="C326" s="10">
        <f>COUNTIF('Clean Data'!$C$2:$C$1565,$A326)</f>
        <v/>
      </c>
      <c r="D326" s="20">
        <f>SUMIF('Clean Data'!$C$2:$C$1565,$A326,'Clean Data'!$K$2:$K$1565)</f>
        <v/>
      </c>
      <c r="E326" s="10">
        <f>IF(B326&lt;=$K$6,5,IF(B326&lt;=$K$7,4,IF(B326&lt;=$K$8,3,IF(B326&lt;=$K$9,2,1))))</f>
        <v/>
      </c>
      <c r="F326" s="10">
        <f>IF(C326&gt;=$L$9,5,IF(C326&gt;=$L$8,4,IF(C326&gt;=$L$7,3,IF(C326&gt;=$L$6,2,1))))</f>
        <v/>
      </c>
      <c r="G326" s="10">
        <f>IF(D326&gt;=$M$9,5,IF(D326&gt;=$M$8,4,IF(D326&gt;=$M$7,3,IF(D326&gt;=$M$6,2,1))))</f>
        <v/>
      </c>
      <c r="H326" s="10">
        <f>IF(AND(E326&gt;=4,F326&gt;=4),"Champions",IF(AND(E326&gt;=3,F326&gt;=3),"Loyal",IF(AND(E326&gt;=4,F326&lt;=2),"New customers",IF(AND(E326=3,F326&lt;=2),"Potential",IF(AND(E326&lt;=2,F326&gt;=3),"At risk","Inactive")))))</f>
        <v/>
      </c>
    </row>
    <row r="327">
      <c r="A327" s="10" t="inlineStr">
        <is>
          <t>C1319</t>
        </is>
      </c>
      <c r="B327" s="19">
        <f>$B$4-_xlfn.MAXIFS('Clean Data'!$B$2:$B$1565,'Clean Data'!$C$2:$C$1565,$A327)</f>
        <v/>
      </c>
      <c r="C327" s="10">
        <f>COUNTIF('Clean Data'!$C$2:$C$1565,$A327)</f>
        <v/>
      </c>
      <c r="D327" s="20">
        <f>SUMIF('Clean Data'!$C$2:$C$1565,$A327,'Clean Data'!$K$2:$K$1565)</f>
        <v/>
      </c>
      <c r="E327" s="10">
        <f>IF(B327&lt;=$K$6,5,IF(B327&lt;=$K$7,4,IF(B327&lt;=$K$8,3,IF(B327&lt;=$K$9,2,1))))</f>
        <v/>
      </c>
      <c r="F327" s="10">
        <f>IF(C327&gt;=$L$9,5,IF(C327&gt;=$L$8,4,IF(C327&gt;=$L$7,3,IF(C327&gt;=$L$6,2,1))))</f>
        <v/>
      </c>
      <c r="G327" s="10">
        <f>IF(D327&gt;=$M$9,5,IF(D327&gt;=$M$8,4,IF(D327&gt;=$M$7,3,IF(D327&gt;=$M$6,2,1))))</f>
        <v/>
      </c>
      <c r="H327" s="10">
        <f>IF(AND(E327&gt;=4,F327&gt;=4),"Champions",IF(AND(E327&gt;=3,F327&gt;=3),"Loyal",IF(AND(E327&gt;=4,F327&lt;=2),"New customers",IF(AND(E327=3,F327&lt;=2),"Potential",IF(AND(E327&lt;=2,F327&gt;=3),"At risk","Inactive")))))</f>
        <v/>
      </c>
    </row>
    <row r="328">
      <c r="A328" s="10" t="inlineStr">
        <is>
          <t>C1320</t>
        </is>
      </c>
      <c r="B328" s="19">
        <f>$B$4-_xlfn.MAXIFS('Clean Data'!$B$2:$B$1565,'Clean Data'!$C$2:$C$1565,$A328)</f>
        <v/>
      </c>
      <c r="C328" s="10">
        <f>COUNTIF('Clean Data'!$C$2:$C$1565,$A328)</f>
        <v/>
      </c>
      <c r="D328" s="20">
        <f>SUMIF('Clean Data'!$C$2:$C$1565,$A328,'Clean Data'!$K$2:$K$1565)</f>
        <v/>
      </c>
      <c r="E328" s="10">
        <f>IF(B328&lt;=$K$6,5,IF(B328&lt;=$K$7,4,IF(B328&lt;=$K$8,3,IF(B328&lt;=$K$9,2,1))))</f>
        <v/>
      </c>
      <c r="F328" s="10">
        <f>IF(C328&gt;=$L$9,5,IF(C328&gt;=$L$8,4,IF(C328&gt;=$L$7,3,IF(C328&gt;=$L$6,2,1))))</f>
        <v/>
      </c>
      <c r="G328" s="10">
        <f>IF(D328&gt;=$M$9,5,IF(D328&gt;=$M$8,4,IF(D328&gt;=$M$7,3,IF(D328&gt;=$M$6,2,1))))</f>
        <v/>
      </c>
      <c r="H328" s="10">
        <f>IF(AND(E328&gt;=4,F328&gt;=4),"Champions",IF(AND(E328&gt;=3,F328&gt;=3),"Loyal",IF(AND(E328&gt;=4,F328&lt;=2),"New customers",IF(AND(E328=3,F328&lt;=2),"Potential",IF(AND(E328&lt;=2,F328&gt;=3),"At risk","Inactive")))))</f>
        <v/>
      </c>
    </row>
    <row r="329">
      <c r="A329" s="10" t="inlineStr">
        <is>
          <t>C1321</t>
        </is>
      </c>
      <c r="B329" s="19">
        <f>$B$4-_xlfn.MAXIFS('Clean Data'!$B$2:$B$1565,'Clean Data'!$C$2:$C$1565,$A329)</f>
        <v/>
      </c>
      <c r="C329" s="10">
        <f>COUNTIF('Clean Data'!$C$2:$C$1565,$A329)</f>
        <v/>
      </c>
      <c r="D329" s="20">
        <f>SUMIF('Clean Data'!$C$2:$C$1565,$A329,'Clean Data'!$K$2:$K$1565)</f>
        <v/>
      </c>
      <c r="E329" s="10">
        <f>IF(B329&lt;=$K$6,5,IF(B329&lt;=$K$7,4,IF(B329&lt;=$K$8,3,IF(B329&lt;=$K$9,2,1))))</f>
        <v/>
      </c>
      <c r="F329" s="10">
        <f>IF(C329&gt;=$L$9,5,IF(C329&gt;=$L$8,4,IF(C329&gt;=$L$7,3,IF(C329&gt;=$L$6,2,1))))</f>
        <v/>
      </c>
      <c r="G329" s="10">
        <f>IF(D329&gt;=$M$9,5,IF(D329&gt;=$M$8,4,IF(D329&gt;=$M$7,3,IF(D329&gt;=$M$6,2,1))))</f>
        <v/>
      </c>
      <c r="H329" s="10">
        <f>IF(AND(E329&gt;=4,F329&gt;=4),"Champions",IF(AND(E329&gt;=3,F329&gt;=3),"Loyal",IF(AND(E329&gt;=4,F329&lt;=2),"New customers",IF(AND(E329=3,F329&lt;=2),"Potential",IF(AND(E329&lt;=2,F329&gt;=3),"At risk","Inactive")))))</f>
        <v/>
      </c>
    </row>
    <row r="330">
      <c r="A330" s="10" t="inlineStr">
        <is>
          <t>C1322</t>
        </is>
      </c>
      <c r="B330" s="19">
        <f>$B$4-_xlfn.MAXIFS('Clean Data'!$B$2:$B$1565,'Clean Data'!$C$2:$C$1565,$A330)</f>
        <v/>
      </c>
      <c r="C330" s="10">
        <f>COUNTIF('Clean Data'!$C$2:$C$1565,$A330)</f>
        <v/>
      </c>
      <c r="D330" s="20">
        <f>SUMIF('Clean Data'!$C$2:$C$1565,$A330,'Clean Data'!$K$2:$K$1565)</f>
        <v/>
      </c>
      <c r="E330" s="10">
        <f>IF(B330&lt;=$K$6,5,IF(B330&lt;=$K$7,4,IF(B330&lt;=$K$8,3,IF(B330&lt;=$K$9,2,1))))</f>
        <v/>
      </c>
      <c r="F330" s="10">
        <f>IF(C330&gt;=$L$9,5,IF(C330&gt;=$L$8,4,IF(C330&gt;=$L$7,3,IF(C330&gt;=$L$6,2,1))))</f>
        <v/>
      </c>
      <c r="G330" s="10">
        <f>IF(D330&gt;=$M$9,5,IF(D330&gt;=$M$8,4,IF(D330&gt;=$M$7,3,IF(D330&gt;=$M$6,2,1))))</f>
        <v/>
      </c>
      <c r="H330" s="10">
        <f>IF(AND(E330&gt;=4,F330&gt;=4),"Champions",IF(AND(E330&gt;=3,F330&gt;=3),"Loyal",IF(AND(E330&gt;=4,F330&lt;=2),"New customers",IF(AND(E330=3,F330&lt;=2),"Potential",IF(AND(E330&lt;=2,F330&gt;=3),"At risk","Inactive")))))</f>
        <v/>
      </c>
    </row>
    <row r="331">
      <c r="A331" s="10" t="inlineStr">
        <is>
          <t>C1323</t>
        </is>
      </c>
      <c r="B331" s="19">
        <f>$B$4-_xlfn.MAXIFS('Clean Data'!$B$2:$B$1565,'Clean Data'!$C$2:$C$1565,$A331)</f>
        <v/>
      </c>
      <c r="C331" s="10">
        <f>COUNTIF('Clean Data'!$C$2:$C$1565,$A331)</f>
        <v/>
      </c>
      <c r="D331" s="20">
        <f>SUMIF('Clean Data'!$C$2:$C$1565,$A331,'Clean Data'!$K$2:$K$1565)</f>
        <v/>
      </c>
      <c r="E331" s="10">
        <f>IF(B331&lt;=$K$6,5,IF(B331&lt;=$K$7,4,IF(B331&lt;=$K$8,3,IF(B331&lt;=$K$9,2,1))))</f>
        <v/>
      </c>
      <c r="F331" s="10">
        <f>IF(C331&gt;=$L$9,5,IF(C331&gt;=$L$8,4,IF(C331&gt;=$L$7,3,IF(C331&gt;=$L$6,2,1))))</f>
        <v/>
      </c>
      <c r="G331" s="10">
        <f>IF(D331&gt;=$M$9,5,IF(D331&gt;=$M$8,4,IF(D331&gt;=$M$7,3,IF(D331&gt;=$M$6,2,1))))</f>
        <v/>
      </c>
      <c r="H331" s="10">
        <f>IF(AND(E331&gt;=4,F331&gt;=4),"Champions",IF(AND(E331&gt;=3,F331&gt;=3),"Loyal",IF(AND(E331&gt;=4,F331&lt;=2),"New customers",IF(AND(E331=3,F331&lt;=2),"Potential",IF(AND(E331&lt;=2,F331&gt;=3),"At risk","Inactive")))))</f>
        <v/>
      </c>
    </row>
    <row r="332">
      <c r="A332" s="10" t="inlineStr">
        <is>
          <t>C1324</t>
        </is>
      </c>
      <c r="B332" s="19">
        <f>$B$4-_xlfn.MAXIFS('Clean Data'!$B$2:$B$1565,'Clean Data'!$C$2:$C$1565,$A332)</f>
        <v/>
      </c>
      <c r="C332" s="10">
        <f>COUNTIF('Clean Data'!$C$2:$C$1565,$A332)</f>
        <v/>
      </c>
      <c r="D332" s="20">
        <f>SUMIF('Clean Data'!$C$2:$C$1565,$A332,'Clean Data'!$K$2:$K$1565)</f>
        <v/>
      </c>
      <c r="E332" s="10">
        <f>IF(B332&lt;=$K$6,5,IF(B332&lt;=$K$7,4,IF(B332&lt;=$K$8,3,IF(B332&lt;=$K$9,2,1))))</f>
        <v/>
      </c>
      <c r="F332" s="10">
        <f>IF(C332&gt;=$L$9,5,IF(C332&gt;=$L$8,4,IF(C332&gt;=$L$7,3,IF(C332&gt;=$L$6,2,1))))</f>
        <v/>
      </c>
      <c r="G332" s="10">
        <f>IF(D332&gt;=$M$9,5,IF(D332&gt;=$M$8,4,IF(D332&gt;=$M$7,3,IF(D332&gt;=$M$6,2,1))))</f>
        <v/>
      </c>
      <c r="H332" s="10">
        <f>IF(AND(E332&gt;=4,F332&gt;=4),"Champions",IF(AND(E332&gt;=3,F332&gt;=3),"Loyal",IF(AND(E332&gt;=4,F332&lt;=2),"New customers",IF(AND(E332=3,F332&lt;=2),"Potential",IF(AND(E332&lt;=2,F332&gt;=3),"At risk","Inactive")))))</f>
        <v/>
      </c>
    </row>
    <row r="333">
      <c r="A333" s="10" t="inlineStr">
        <is>
          <t>C1325</t>
        </is>
      </c>
      <c r="B333" s="19">
        <f>$B$4-_xlfn.MAXIFS('Clean Data'!$B$2:$B$1565,'Clean Data'!$C$2:$C$1565,$A333)</f>
        <v/>
      </c>
      <c r="C333" s="10">
        <f>COUNTIF('Clean Data'!$C$2:$C$1565,$A333)</f>
        <v/>
      </c>
      <c r="D333" s="20">
        <f>SUMIF('Clean Data'!$C$2:$C$1565,$A333,'Clean Data'!$K$2:$K$1565)</f>
        <v/>
      </c>
      <c r="E333" s="10">
        <f>IF(B333&lt;=$K$6,5,IF(B333&lt;=$K$7,4,IF(B333&lt;=$K$8,3,IF(B333&lt;=$K$9,2,1))))</f>
        <v/>
      </c>
      <c r="F333" s="10">
        <f>IF(C333&gt;=$L$9,5,IF(C333&gt;=$L$8,4,IF(C333&gt;=$L$7,3,IF(C333&gt;=$L$6,2,1))))</f>
        <v/>
      </c>
      <c r="G333" s="10">
        <f>IF(D333&gt;=$M$9,5,IF(D333&gt;=$M$8,4,IF(D333&gt;=$M$7,3,IF(D333&gt;=$M$6,2,1))))</f>
        <v/>
      </c>
      <c r="H333" s="10">
        <f>IF(AND(E333&gt;=4,F333&gt;=4),"Champions",IF(AND(E333&gt;=3,F333&gt;=3),"Loyal",IF(AND(E333&gt;=4,F333&lt;=2),"New customers",IF(AND(E333=3,F333&lt;=2),"Potential",IF(AND(E333&lt;=2,F333&gt;=3),"At risk","Inactive")))))</f>
        <v/>
      </c>
    </row>
    <row r="334">
      <c r="A334" s="10" t="inlineStr">
        <is>
          <t>C1326</t>
        </is>
      </c>
      <c r="B334" s="19">
        <f>$B$4-_xlfn.MAXIFS('Clean Data'!$B$2:$B$1565,'Clean Data'!$C$2:$C$1565,$A334)</f>
        <v/>
      </c>
      <c r="C334" s="10">
        <f>COUNTIF('Clean Data'!$C$2:$C$1565,$A334)</f>
        <v/>
      </c>
      <c r="D334" s="20">
        <f>SUMIF('Clean Data'!$C$2:$C$1565,$A334,'Clean Data'!$K$2:$K$1565)</f>
        <v/>
      </c>
      <c r="E334" s="10">
        <f>IF(B334&lt;=$K$6,5,IF(B334&lt;=$K$7,4,IF(B334&lt;=$K$8,3,IF(B334&lt;=$K$9,2,1))))</f>
        <v/>
      </c>
      <c r="F334" s="10">
        <f>IF(C334&gt;=$L$9,5,IF(C334&gt;=$L$8,4,IF(C334&gt;=$L$7,3,IF(C334&gt;=$L$6,2,1))))</f>
        <v/>
      </c>
      <c r="G334" s="10">
        <f>IF(D334&gt;=$M$9,5,IF(D334&gt;=$M$8,4,IF(D334&gt;=$M$7,3,IF(D334&gt;=$M$6,2,1))))</f>
        <v/>
      </c>
      <c r="H334" s="10">
        <f>IF(AND(E334&gt;=4,F334&gt;=4),"Champions",IF(AND(E334&gt;=3,F334&gt;=3),"Loyal",IF(AND(E334&gt;=4,F334&lt;=2),"New customers",IF(AND(E334=3,F334&lt;=2),"Potential",IF(AND(E334&lt;=2,F334&gt;=3),"At risk","Inactive")))))</f>
        <v/>
      </c>
    </row>
    <row r="335">
      <c r="A335" s="10" t="inlineStr">
        <is>
          <t>C1327</t>
        </is>
      </c>
      <c r="B335" s="19">
        <f>$B$4-_xlfn.MAXIFS('Clean Data'!$B$2:$B$1565,'Clean Data'!$C$2:$C$1565,$A335)</f>
        <v/>
      </c>
      <c r="C335" s="10">
        <f>COUNTIF('Clean Data'!$C$2:$C$1565,$A335)</f>
        <v/>
      </c>
      <c r="D335" s="20">
        <f>SUMIF('Clean Data'!$C$2:$C$1565,$A335,'Clean Data'!$K$2:$K$1565)</f>
        <v/>
      </c>
      <c r="E335" s="10">
        <f>IF(B335&lt;=$K$6,5,IF(B335&lt;=$K$7,4,IF(B335&lt;=$K$8,3,IF(B335&lt;=$K$9,2,1))))</f>
        <v/>
      </c>
      <c r="F335" s="10">
        <f>IF(C335&gt;=$L$9,5,IF(C335&gt;=$L$8,4,IF(C335&gt;=$L$7,3,IF(C335&gt;=$L$6,2,1))))</f>
        <v/>
      </c>
      <c r="G335" s="10">
        <f>IF(D335&gt;=$M$9,5,IF(D335&gt;=$M$8,4,IF(D335&gt;=$M$7,3,IF(D335&gt;=$M$6,2,1))))</f>
        <v/>
      </c>
      <c r="H335" s="10">
        <f>IF(AND(E335&gt;=4,F335&gt;=4),"Champions",IF(AND(E335&gt;=3,F335&gt;=3),"Loyal",IF(AND(E335&gt;=4,F335&lt;=2),"New customers",IF(AND(E335=3,F335&lt;=2),"Potential",IF(AND(E335&lt;=2,F335&gt;=3),"At risk","Inactive")))))</f>
        <v/>
      </c>
    </row>
    <row r="336">
      <c r="A336" s="10" t="inlineStr">
        <is>
          <t>C1328</t>
        </is>
      </c>
      <c r="B336" s="19">
        <f>$B$4-_xlfn.MAXIFS('Clean Data'!$B$2:$B$1565,'Clean Data'!$C$2:$C$1565,$A336)</f>
        <v/>
      </c>
      <c r="C336" s="10">
        <f>COUNTIF('Clean Data'!$C$2:$C$1565,$A336)</f>
        <v/>
      </c>
      <c r="D336" s="20">
        <f>SUMIF('Clean Data'!$C$2:$C$1565,$A336,'Clean Data'!$K$2:$K$1565)</f>
        <v/>
      </c>
      <c r="E336" s="10">
        <f>IF(B336&lt;=$K$6,5,IF(B336&lt;=$K$7,4,IF(B336&lt;=$K$8,3,IF(B336&lt;=$K$9,2,1))))</f>
        <v/>
      </c>
      <c r="F336" s="10">
        <f>IF(C336&gt;=$L$9,5,IF(C336&gt;=$L$8,4,IF(C336&gt;=$L$7,3,IF(C336&gt;=$L$6,2,1))))</f>
        <v/>
      </c>
      <c r="G336" s="10">
        <f>IF(D336&gt;=$M$9,5,IF(D336&gt;=$M$8,4,IF(D336&gt;=$M$7,3,IF(D336&gt;=$M$6,2,1))))</f>
        <v/>
      </c>
      <c r="H336" s="10">
        <f>IF(AND(E336&gt;=4,F336&gt;=4),"Champions",IF(AND(E336&gt;=3,F336&gt;=3),"Loyal",IF(AND(E336&gt;=4,F336&lt;=2),"New customers",IF(AND(E336=3,F336&lt;=2),"Potential",IF(AND(E336&lt;=2,F336&gt;=3),"At risk","Inactive")))))</f>
        <v/>
      </c>
    </row>
    <row r="337">
      <c r="A337" s="10" t="inlineStr">
        <is>
          <t>C1329</t>
        </is>
      </c>
      <c r="B337" s="19">
        <f>$B$4-_xlfn.MAXIFS('Clean Data'!$B$2:$B$1565,'Clean Data'!$C$2:$C$1565,$A337)</f>
        <v/>
      </c>
      <c r="C337" s="10">
        <f>COUNTIF('Clean Data'!$C$2:$C$1565,$A337)</f>
        <v/>
      </c>
      <c r="D337" s="20">
        <f>SUMIF('Clean Data'!$C$2:$C$1565,$A337,'Clean Data'!$K$2:$K$1565)</f>
        <v/>
      </c>
      <c r="E337" s="10">
        <f>IF(B337&lt;=$K$6,5,IF(B337&lt;=$K$7,4,IF(B337&lt;=$K$8,3,IF(B337&lt;=$K$9,2,1))))</f>
        <v/>
      </c>
      <c r="F337" s="10">
        <f>IF(C337&gt;=$L$9,5,IF(C337&gt;=$L$8,4,IF(C337&gt;=$L$7,3,IF(C337&gt;=$L$6,2,1))))</f>
        <v/>
      </c>
      <c r="G337" s="10">
        <f>IF(D337&gt;=$M$9,5,IF(D337&gt;=$M$8,4,IF(D337&gt;=$M$7,3,IF(D337&gt;=$M$6,2,1))))</f>
        <v/>
      </c>
      <c r="H337" s="10">
        <f>IF(AND(E337&gt;=4,F337&gt;=4),"Champions",IF(AND(E337&gt;=3,F337&gt;=3),"Loyal",IF(AND(E337&gt;=4,F337&lt;=2),"New customers",IF(AND(E337=3,F337&lt;=2),"Potential",IF(AND(E337&lt;=2,F337&gt;=3),"At risk","Inactive")))))</f>
        <v/>
      </c>
    </row>
    <row r="338">
      <c r="A338" s="10" t="inlineStr">
        <is>
          <t>C1330</t>
        </is>
      </c>
      <c r="B338" s="19">
        <f>$B$4-_xlfn.MAXIFS('Clean Data'!$B$2:$B$1565,'Clean Data'!$C$2:$C$1565,$A338)</f>
        <v/>
      </c>
      <c r="C338" s="10">
        <f>COUNTIF('Clean Data'!$C$2:$C$1565,$A338)</f>
        <v/>
      </c>
      <c r="D338" s="20">
        <f>SUMIF('Clean Data'!$C$2:$C$1565,$A338,'Clean Data'!$K$2:$K$1565)</f>
        <v/>
      </c>
      <c r="E338" s="10">
        <f>IF(B338&lt;=$K$6,5,IF(B338&lt;=$K$7,4,IF(B338&lt;=$K$8,3,IF(B338&lt;=$K$9,2,1))))</f>
        <v/>
      </c>
      <c r="F338" s="10">
        <f>IF(C338&gt;=$L$9,5,IF(C338&gt;=$L$8,4,IF(C338&gt;=$L$7,3,IF(C338&gt;=$L$6,2,1))))</f>
        <v/>
      </c>
      <c r="G338" s="10">
        <f>IF(D338&gt;=$M$9,5,IF(D338&gt;=$M$8,4,IF(D338&gt;=$M$7,3,IF(D338&gt;=$M$6,2,1))))</f>
        <v/>
      </c>
      <c r="H338" s="10">
        <f>IF(AND(E338&gt;=4,F338&gt;=4),"Champions",IF(AND(E338&gt;=3,F338&gt;=3),"Loyal",IF(AND(E338&gt;=4,F338&lt;=2),"New customers",IF(AND(E338=3,F338&lt;=2),"Potential",IF(AND(E338&lt;=2,F338&gt;=3),"At risk","Inactive")))))</f>
        <v/>
      </c>
    </row>
    <row r="339">
      <c r="A339" s="10" t="inlineStr">
        <is>
          <t>C1331</t>
        </is>
      </c>
      <c r="B339" s="19">
        <f>$B$4-_xlfn.MAXIFS('Clean Data'!$B$2:$B$1565,'Clean Data'!$C$2:$C$1565,$A339)</f>
        <v/>
      </c>
      <c r="C339" s="10">
        <f>COUNTIF('Clean Data'!$C$2:$C$1565,$A339)</f>
        <v/>
      </c>
      <c r="D339" s="20">
        <f>SUMIF('Clean Data'!$C$2:$C$1565,$A339,'Clean Data'!$K$2:$K$1565)</f>
        <v/>
      </c>
      <c r="E339" s="10">
        <f>IF(B339&lt;=$K$6,5,IF(B339&lt;=$K$7,4,IF(B339&lt;=$K$8,3,IF(B339&lt;=$K$9,2,1))))</f>
        <v/>
      </c>
      <c r="F339" s="10">
        <f>IF(C339&gt;=$L$9,5,IF(C339&gt;=$L$8,4,IF(C339&gt;=$L$7,3,IF(C339&gt;=$L$6,2,1))))</f>
        <v/>
      </c>
      <c r="G339" s="10">
        <f>IF(D339&gt;=$M$9,5,IF(D339&gt;=$M$8,4,IF(D339&gt;=$M$7,3,IF(D339&gt;=$M$6,2,1))))</f>
        <v/>
      </c>
      <c r="H339" s="10">
        <f>IF(AND(E339&gt;=4,F339&gt;=4),"Champions",IF(AND(E339&gt;=3,F339&gt;=3),"Loyal",IF(AND(E339&gt;=4,F339&lt;=2),"New customers",IF(AND(E339=3,F339&lt;=2),"Potential",IF(AND(E339&lt;=2,F339&gt;=3),"At risk","Inactive")))))</f>
        <v/>
      </c>
    </row>
    <row r="340">
      <c r="A340" s="10" t="inlineStr">
        <is>
          <t>C1332</t>
        </is>
      </c>
      <c r="B340" s="19">
        <f>$B$4-_xlfn.MAXIFS('Clean Data'!$B$2:$B$1565,'Clean Data'!$C$2:$C$1565,$A340)</f>
        <v/>
      </c>
      <c r="C340" s="10">
        <f>COUNTIF('Clean Data'!$C$2:$C$1565,$A340)</f>
        <v/>
      </c>
      <c r="D340" s="20">
        <f>SUMIF('Clean Data'!$C$2:$C$1565,$A340,'Clean Data'!$K$2:$K$1565)</f>
        <v/>
      </c>
      <c r="E340" s="10">
        <f>IF(B340&lt;=$K$6,5,IF(B340&lt;=$K$7,4,IF(B340&lt;=$K$8,3,IF(B340&lt;=$K$9,2,1))))</f>
        <v/>
      </c>
      <c r="F340" s="10">
        <f>IF(C340&gt;=$L$9,5,IF(C340&gt;=$L$8,4,IF(C340&gt;=$L$7,3,IF(C340&gt;=$L$6,2,1))))</f>
        <v/>
      </c>
      <c r="G340" s="10">
        <f>IF(D340&gt;=$M$9,5,IF(D340&gt;=$M$8,4,IF(D340&gt;=$M$7,3,IF(D340&gt;=$M$6,2,1))))</f>
        <v/>
      </c>
      <c r="H340" s="10">
        <f>IF(AND(E340&gt;=4,F340&gt;=4),"Champions",IF(AND(E340&gt;=3,F340&gt;=3),"Loyal",IF(AND(E340&gt;=4,F340&lt;=2),"New customers",IF(AND(E340=3,F340&lt;=2),"Potential",IF(AND(E340&lt;=2,F340&gt;=3),"At risk","Inactive")))))</f>
        <v/>
      </c>
    </row>
    <row r="341">
      <c r="A341" s="10" t="inlineStr">
        <is>
          <t>C1333</t>
        </is>
      </c>
      <c r="B341" s="19">
        <f>$B$4-_xlfn.MAXIFS('Clean Data'!$B$2:$B$1565,'Clean Data'!$C$2:$C$1565,$A341)</f>
        <v/>
      </c>
      <c r="C341" s="10">
        <f>COUNTIF('Clean Data'!$C$2:$C$1565,$A341)</f>
        <v/>
      </c>
      <c r="D341" s="20">
        <f>SUMIF('Clean Data'!$C$2:$C$1565,$A341,'Clean Data'!$K$2:$K$1565)</f>
        <v/>
      </c>
      <c r="E341" s="10">
        <f>IF(B341&lt;=$K$6,5,IF(B341&lt;=$K$7,4,IF(B341&lt;=$K$8,3,IF(B341&lt;=$K$9,2,1))))</f>
        <v/>
      </c>
      <c r="F341" s="10">
        <f>IF(C341&gt;=$L$9,5,IF(C341&gt;=$L$8,4,IF(C341&gt;=$L$7,3,IF(C341&gt;=$L$6,2,1))))</f>
        <v/>
      </c>
      <c r="G341" s="10">
        <f>IF(D341&gt;=$M$9,5,IF(D341&gt;=$M$8,4,IF(D341&gt;=$M$7,3,IF(D341&gt;=$M$6,2,1))))</f>
        <v/>
      </c>
      <c r="H341" s="10">
        <f>IF(AND(E341&gt;=4,F341&gt;=4),"Champions",IF(AND(E341&gt;=3,F341&gt;=3),"Loyal",IF(AND(E341&gt;=4,F341&lt;=2),"New customers",IF(AND(E341=3,F341&lt;=2),"Potential",IF(AND(E341&lt;=2,F341&gt;=3),"At risk","Inactive")))))</f>
        <v/>
      </c>
    </row>
    <row r="342">
      <c r="A342" s="10" t="inlineStr">
        <is>
          <t>C1334</t>
        </is>
      </c>
      <c r="B342" s="19">
        <f>$B$4-_xlfn.MAXIFS('Clean Data'!$B$2:$B$1565,'Clean Data'!$C$2:$C$1565,$A342)</f>
        <v/>
      </c>
      <c r="C342" s="10">
        <f>COUNTIF('Clean Data'!$C$2:$C$1565,$A342)</f>
        <v/>
      </c>
      <c r="D342" s="20">
        <f>SUMIF('Clean Data'!$C$2:$C$1565,$A342,'Clean Data'!$K$2:$K$1565)</f>
        <v/>
      </c>
      <c r="E342" s="10">
        <f>IF(B342&lt;=$K$6,5,IF(B342&lt;=$K$7,4,IF(B342&lt;=$K$8,3,IF(B342&lt;=$K$9,2,1))))</f>
        <v/>
      </c>
      <c r="F342" s="10">
        <f>IF(C342&gt;=$L$9,5,IF(C342&gt;=$L$8,4,IF(C342&gt;=$L$7,3,IF(C342&gt;=$L$6,2,1))))</f>
        <v/>
      </c>
      <c r="G342" s="10">
        <f>IF(D342&gt;=$M$9,5,IF(D342&gt;=$M$8,4,IF(D342&gt;=$M$7,3,IF(D342&gt;=$M$6,2,1))))</f>
        <v/>
      </c>
      <c r="H342" s="10">
        <f>IF(AND(E342&gt;=4,F342&gt;=4),"Champions",IF(AND(E342&gt;=3,F342&gt;=3),"Loyal",IF(AND(E342&gt;=4,F342&lt;=2),"New customers",IF(AND(E342=3,F342&lt;=2),"Potential",IF(AND(E342&lt;=2,F342&gt;=3),"At risk","Inactive")))))</f>
        <v/>
      </c>
    </row>
    <row r="343">
      <c r="A343" s="10" t="inlineStr">
        <is>
          <t>C1335</t>
        </is>
      </c>
      <c r="B343" s="19">
        <f>$B$4-_xlfn.MAXIFS('Clean Data'!$B$2:$B$1565,'Clean Data'!$C$2:$C$1565,$A343)</f>
        <v/>
      </c>
      <c r="C343" s="10">
        <f>COUNTIF('Clean Data'!$C$2:$C$1565,$A343)</f>
        <v/>
      </c>
      <c r="D343" s="20">
        <f>SUMIF('Clean Data'!$C$2:$C$1565,$A343,'Clean Data'!$K$2:$K$1565)</f>
        <v/>
      </c>
      <c r="E343" s="10">
        <f>IF(B343&lt;=$K$6,5,IF(B343&lt;=$K$7,4,IF(B343&lt;=$K$8,3,IF(B343&lt;=$K$9,2,1))))</f>
        <v/>
      </c>
      <c r="F343" s="10">
        <f>IF(C343&gt;=$L$9,5,IF(C343&gt;=$L$8,4,IF(C343&gt;=$L$7,3,IF(C343&gt;=$L$6,2,1))))</f>
        <v/>
      </c>
      <c r="G343" s="10">
        <f>IF(D343&gt;=$M$9,5,IF(D343&gt;=$M$8,4,IF(D343&gt;=$M$7,3,IF(D343&gt;=$M$6,2,1))))</f>
        <v/>
      </c>
      <c r="H343" s="10">
        <f>IF(AND(E343&gt;=4,F343&gt;=4),"Champions",IF(AND(E343&gt;=3,F343&gt;=3),"Loyal",IF(AND(E343&gt;=4,F343&lt;=2),"New customers",IF(AND(E343=3,F343&lt;=2),"Potential",IF(AND(E343&lt;=2,F343&gt;=3),"At risk","Inactive")))))</f>
        <v/>
      </c>
    </row>
    <row r="344">
      <c r="A344" s="10" t="inlineStr">
        <is>
          <t>C1336</t>
        </is>
      </c>
      <c r="B344" s="19">
        <f>$B$4-_xlfn.MAXIFS('Clean Data'!$B$2:$B$1565,'Clean Data'!$C$2:$C$1565,$A344)</f>
        <v/>
      </c>
      <c r="C344" s="10">
        <f>COUNTIF('Clean Data'!$C$2:$C$1565,$A344)</f>
        <v/>
      </c>
      <c r="D344" s="20">
        <f>SUMIF('Clean Data'!$C$2:$C$1565,$A344,'Clean Data'!$K$2:$K$1565)</f>
        <v/>
      </c>
      <c r="E344" s="10">
        <f>IF(B344&lt;=$K$6,5,IF(B344&lt;=$K$7,4,IF(B344&lt;=$K$8,3,IF(B344&lt;=$K$9,2,1))))</f>
        <v/>
      </c>
      <c r="F344" s="10">
        <f>IF(C344&gt;=$L$9,5,IF(C344&gt;=$L$8,4,IF(C344&gt;=$L$7,3,IF(C344&gt;=$L$6,2,1))))</f>
        <v/>
      </c>
      <c r="G344" s="10">
        <f>IF(D344&gt;=$M$9,5,IF(D344&gt;=$M$8,4,IF(D344&gt;=$M$7,3,IF(D344&gt;=$M$6,2,1))))</f>
        <v/>
      </c>
      <c r="H344" s="10">
        <f>IF(AND(E344&gt;=4,F344&gt;=4),"Champions",IF(AND(E344&gt;=3,F344&gt;=3),"Loyal",IF(AND(E344&gt;=4,F344&lt;=2),"New customers",IF(AND(E344=3,F344&lt;=2),"Potential",IF(AND(E344&lt;=2,F344&gt;=3),"At risk","Inactive")))))</f>
        <v/>
      </c>
    </row>
    <row r="345">
      <c r="A345" s="10" t="inlineStr">
        <is>
          <t>C1337</t>
        </is>
      </c>
      <c r="B345" s="19">
        <f>$B$4-_xlfn.MAXIFS('Clean Data'!$B$2:$B$1565,'Clean Data'!$C$2:$C$1565,$A345)</f>
        <v/>
      </c>
      <c r="C345" s="10">
        <f>COUNTIF('Clean Data'!$C$2:$C$1565,$A345)</f>
        <v/>
      </c>
      <c r="D345" s="20">
        <f>SUMIF('Clean Data'!$C$2:$C$1565,$A345,'Clean Data'!$K$2:$K$1565)</f>
        <v/>
      </c>
      <c r="E345" s="10">
        <f>IF(B345&lt;=$K$6,5,IF(B345&lt;=$K$7,4,IF(B345&lt;=$K$8,3,IF(B345&lt;=$K$9,2,1))))</f>
        <v/>
      </c>
      <c r="F345" s="10">
        <f>IF(C345&gt;=$L$9,5,IF(C345&gt;=$L$8,4,IF(C345&gt;=$L$7,3,IF(C345&gt;=$L$6,2,1))))</f>
        <v/>
      </c>
      <c r="G345" s="10">
        <f>IF(D345&gt;=$M$9,5,IF(D345&gt;=$M$8,4,IF(D345&gt;=$M$7,3,IF(D345&gt;=$M$6,2,1))))</f>
        <v/>
      </c>
      <c r="H345" s="10">
        <f>IF(AND(E345&gt;=4,F345&gt;=4),"Champions",IF(AND(E345&gt;=3,F345&gt;=3),"Loyal",IF(AND(E345&gt;=4,F345&lt;=2),"New customers",IF(AND(E345=3,F345&lt;=2),"Potential",IF(AND(E345&lt;=2,F345&gt;=3),"At risk","Inactive")))))</f>
        <v/>
      </c>
    </row>
    <row r="346">
      <c r="A346" s="10" t="inlineStr">
        <is>
          <t>C1338</t>
        </is>
      </c>
      <c r="B346" s="19">
        <f>$B$4-_xlfn.MAXIFS('Clean Data'!$B$2:$B$1565,'Clean Data'!$C$2:$C$1565,$A346)</f>
        <v/>
      </c>
      <c r="C346" s="10">
        <f>COUNTIF('Clean Data'!$C$2:$C$1565,$A346)</f>
        <v/>
      </c>
      <c r="D346" s="20">
        <f>SUMIF('Clean Data'!$C$2:$C$1565,$A346,'Clean Data'!$K$2:$K$1565)</f>
        <v/>
      </c>
      <c r="E346" s="10">
        <f>IF(B346&lt;=$K$6,5,IF(B346&lt;=$K$7,4,IF(B346&lt;=$K$8,3,IF(B346&lt;=$K$9,2,1))))</f>
        <v/>
      </c>
      <c r="F346" s="10">
        <f>IF(C346&gt;=$L$9,5,IF(C346&gt;=$L$8,4,IF(C346&gt;=$L$7,3,IF(C346&gt;=$L$6,2,1))))</f>
        <v/>
      </c>
      <c r="G346" s="10">
        <f>IF(D346&gt;=$M$9,5,IF(D346&gt;=$M$8,4,IF(D346&gt;=$M$7,3,IF(D346&gt;=$M$6,2,1))))</f>
        <v/>
      </c>
      <c r="H346" s="10">
        <f>IF(AND(E346&gt;=4,F346&gt;=4),"Champions",IF(AND(E346&gt;=3,F346&gt;=3),"Loyal",IF(AND(E346&gt;=4,F346&lt;=2),"New customers",IF(AND(E346=3,F346&lt;=2),"Potential",IF(AND(E346&lt;=2,F346&gt;=3),"At risk","Inactive")))))</f>
        <v/>
      </c>
    </row>
    <row r="347">
      <c r="A347" s="10" t="inlineStr">
        <is>
          <t>C1339</t>
        </is>
      </c>
      <c r="B347" s="19">
        <f>$B$4-_xlfn.MAXIFS('Clean Data'!$B$2:$B$1565,'Clean Data'!$C$2:$C$1565,$A347)</f>
        <v/>
      </c>
      <c r="C347" s="10">
        <f>COUNTIF('Clean Data'!$C$2:$C$1565,$A347)</f>
        <v/>
      </c>
      <c r="D347" s="20">
        <f>SUMIF('Clean Data'!$C$2:$C$1565,$A347,'Clean Data'!$K$2:$K$1565)</f>
        <v/>
      </c>
      <c r="E347" s="10">
        <f>IF(B347&lt;=$K$6,5,IF(B347&lt;=$K$7,4,IF(B347&lt;=$K$8,3,IF(B347&lt;=$K$9,2,1))))</f>
        <v/>
      </c>
      <c r="F347" s="10">
        <f>IF(C347&gt;=$L$9,5,IF(C347&gt;=$L$8,4,IF(C347&gt;=$L$7,3,IF(C347&gt;=$L$6,2,1))))</f>
        <v/>
      </c>
      <c r="G347" s="10">
        <f>IF(D347&gt;=$M$9,5,IF(D347&gt;=$M$8,4,IF(D347&gt;=$M$7,3,IF(D347&gt;=$M$6,2,1))))</f>
        <v/>
      </c>
      <c r="H347" s="10">
        <f>IF(AND(E347&gt;=4,F347&gt;=4),"Champions",IF(AND(E347&gt;=3,F347&gt;=3),"Loyal",IF(AND(E347&gt;=4,F347&lt;=2),"New customers",IF(AND(E347=3,F347&lt;=2),"Potential",IF(AND(E347&lt;=2,F347&gt;=3),"At risk","Inactive")))))</f>
        <v/>
      </c>
    </row>
    <row r="348">
      <c r="A348" s="10" t="inlineStr">
        <is>
          <t>C1340</t>
        </is>
      </c>
      <c r="B348" s="19">
        <f>$B$4-_xlfn.MAXIFS('Clean Data'!$B$2:$B$1565,'Clean Data'!$C$2:$C$1565,$A348)</f>
        <v/>
      </c>
      <c r="C348" s="10">
        <f>COUNTIF('Clean Data'!$C$2:$C$1565,$A348)</f>
        <v/>
      </c>
      <c r="D348" s="20">
        <f>SUMIF('Clean Data'!$C$2:$C$1565,$A348,'Clean Data'!$K$2:$K$1565)</f>
        <v/>
      </c>
      <c r="E348" s="10">
        <f>IF(B348&lt;=$K$6,5,IF(B348&lt;=$K$7,4,IF(B348&lt;=$K$8,3,IF(B348&lt;=$K$9,2,1))))</f>
        <v/>
      </c>
      <c r="F348" s="10">
        <f>IF(C348&gt;=$L$9,5,IF(C348&gt;=$L$8,4,IF(C348&gt;=$L$7,3,IF(C348&gt;=$L$6,2,1))))</f>
        <v/>
      </c>
      <c r="G348" s="10">
        <f>IF(D348&gt;=$M$9,5,IF(D348&gt;=$M$8,4,IF(D348&gt;=$M$7,3,IF(D348&gt;=$M$6,2,1))))</f>
        <v/>
      </c>
      <c r="H348" s="10">
        <f>IF(AND(E348&gt;=4,F348&gt;=4),"Champions",IF(AND(E348&gt;=3,F348&gt;=3),"Loyal",IF(AND(E348&gt;=4,F348&lt;=2),"New customers",IF(AND(E348=3,F348&lt;=2),"Potential",IF(AND(E348&lt;=2,F348&gt;=3),"At risk","Inactive")))))</f>
        <v/>
      </c>
    </row>
    <row r="349">
      <c r="A349" s="10" t="inlineStr">
        <is>
          <t>C1341</t>
        </is>
      </c>
      <c r="B349" s="19">
        <f>$B$4-_xlfn.MAXIFS('Clean Data'!$B$2:$B$1565,'Clean Data'!$C$2:$C$1565,$A349)</f>
        <v/>
      </c>
      <c r="C349" s="10">
        <f>COUNTIF('Clean Data'!$C$2:$C$1565,$A349)</f>
        <v/>
      </c>
      <c r="D349" s="20">
        <f>SUMIF('Clean Data'!$C$2:$C$1565,$A349,'Clean Data'!$K$2:$K$1565)</f>
        <v/>
      </c>
      <c r="E349" s="10">
        <f>IF(B349&lt;=$K$6,5,IF(B349&lt;=$K$7,4,IF(B349&lt;=$K$8,3,IF(B349&lt;=$K$9,2,1))))</f>
        <v/>
      </c>
      <c r="F349" s="10">
        <f>IF(C349&gt;=$L$9,5,IF(C349&gt;=$L$8,4,IF(C349&gt;=$L$7,3,IF(C349&gt;=$L$6,2,1))))</f>
        <v/>
      </c>
      <c r="G349" s="10">
        <f>IF(D349&gt;=$M$9,5,IF(D349&gt;=$M$8,4,IF(D349&gt;=$M$7,3,IF(D349&gt;=$M$6,2,1))))</f>
        <v/>
      </c>
      <c r="H349" s="10">
        <f>IF(AND(E349&gt;=4,F349&gt;=4),"Champions",IF(AND(E349&gt;=3,F349&gt;=3),"Loyal",IF(AND(E349&gt;=4,F349&lt;=2),"New customers",IF(AND(E349=3,F349&lt;=2),"Potential",IF(AND(E349&lt;=2,F349&gt;=3),"At risk","Inactive")))))</f>
        <v/>
      </c>
    </row>
    <row r="350">
      <c r="A350" s="10" t="inlineStr">
        <is>
          <t>C1342</t>
        </is>
      </c>
      <c r="B350" s="19">
        <f>$B$4-_xlfn.MAXIFS('Clean Data'!$B$2:$B$1565,'Clean Data'!$C$2:$C$1565,$A350)</f>
        <v/>
      </c>
      <c r="C350" s="10">
        <f>COUNTIF('Clean Data'!$C$2:$C$1565,$A350)</f>
        <v/>
      </c>
      <c r="D350" s="20">
        <f>SUMIF('Clean Data'!$C$2:$C$1565,$A350,'Clean Data'!$K$2:$K$1565)</f>
        <v/>
      </c>
      <c r="E350" s="10">
        <f>IF(B350&lt;=$K$6,5,IF(B350&lt;=$K$7,4,IF(B350&lt;=$K$8,3,IF(B350&lt;=$K$9,2,1))))</f>
        <v/>
      </c>
      <c r="F350" s="10">
        <f>IF(C350&gt;=$L$9,5,IF(C350&gt;=$L$8,4,IF(C350&gt;=$L$7,3,IF(C350&gt;=$L$6,2,1))))</f>
        <v/>
      </c>
      <c r="G350" s="10">
        <f>IF(D350&gt;=$M$9,5,IF(D350&gt;=$M$8,4,IF(D350&gt;=$M$7,3,IF(D350&gt;=$M$6,2,1))))</f>
        <v/>
      </c>
      <c r="H350" s="10">
        <f>IF(AND(E350&gt;=4,F350&gt;=4),"Champions",IF(AND(E350&gt;=3,F350&gt;=3),"Loyal",IF(AND(E350&gt;=4,F350&lt;=2),"New customers",IF(AND(E350=3,F350&lt;=2),"Potential",IF(AND(E350&lt;=2,F350&gt;=3),"At risk","Inactive")))))</f>
        <v/>
      </c>
    </row>
    <row r="351">
      <c r="A351" s="10" t="inlineStr">
        <is>
          <t>C1343</t>
        </is>
      </c>
      <c r="B351" s="19">
        <f>$B$4-_xlfn.MAXIFS('Clean Data'!$B$2:$B$1565,'Clean Data'!$C$2:$C$1565,$A351)</f>
        <v/>
      </c>
      <c r="C351" s="10">
        <f>COUNTIF('Clean Data'!$C$2:$C$1565,$A351)</f>
        <v/>
      </c>
      <c r="D351" s="20">
        <f>SUMIF('Clean Data'!$C$2:$C$1565,$A351,'Clean Data'!$K$2:$K$1565)</f>
        <v/>
      </c>
      <c r="E351" s="10">
        <f>IF(B351&lt;=$K$6,5,IF(B351&lt;=$K$7,4,IF(B351&lt;=$K$8,3,IF(B351&lt;=$K$9,2,1))))</f>
        <v/>
      </c>
      <c r="F351" s="10">
        <f>IF(C351&gt;=$L$9,5,IF(C351&gt;=$L$8,4,IF(C351&gt;=$L$7,3,IF(C351&gt;=$L$6,2,1))))</f>
        <v/>
      </c>
      <c r="G351" s="10">
        <f>IF(D351&gt;=$M$9,5,IF(D351&gt;=$M$8,4,IF(D351&gt;=$M$7,3,IF(D351&gt;=$M$6,2,1))))</f>
        <v/>
      </c>
      <c r="H351" s="10">
        <f>IF(AND(E351&gt;=4,F351&gt;=4),"Champions",IF(AND(E351&gt;=3,F351&gt;=3),"Loyal",IF(AND(E351&gt;=4,F351&lt;=2),"New customers",IF(AND(E351=3,F351&lt;=2),"Potential",IF(AND(E351&lt;=2,F351&gt;=3),"At risk","Inactive")))))</f>
        <v/>
      </c>
    </row>
    <row r="352">
      <c r="A352" s="10" t="inlineStr">
        <is>
          <t>C1344</t>
        </is>
      </c>
      <c r="B352" s="19">
        <f>$B$4-_xlfn.MAXIFS('Clean Data'!$B$2:$B$1565,'Clean Data'!$C$2:$C$1565,$A352)</f>
        <v/>
      </c>
      <c r="C352" s="10">
        <f>COUNTIF('Clean Data'!$C$2:$C$1565,$A352)</f>
        <v/>
      </c>
      <c r="D352" s="20">
        <f>SUMIF('Clean Data'!$C$2:$C$1565,$A352,'Clean Data'!$K$2:$K$1565)</f>
        <v/>
      </c>
      <c r="E352" s="10">
        <f>IF(B352&lt;=$K$6,5,IF(B352&lt;=$K$7,4,IF(B352&lt;=$K$8,3,IF(B352&lt;=$K$9,2,1))))</f>
        <v/>
      </c>
      <c r="F352" s="10">
        <f>IF(C352&gt;=$L$9,5,IF(C352&gt;=$L$8,4,IF(C352&gt;=$L$7,3,IF(C352&gt;=$L$6,2,1))))</f>
        <v/>
      </c>
      <c r="G352" s="10">
        <f>IF(D352&gt;=$M$9,5,IF(D352&gt;=$M$8,4,IF(D352&gt;=$M$7,3,IF(D352&gt;=$M$6,2,1))))</f>
        <v/>
      </c>
      <c r="H352" s="10">
        <f>IF(AND(E352&gt;=4,F352&gt;=4),"Champions",IF(AND(E352&gt;=3,F352&gt;=3),"Loyal",IF(AND(E352&gt;=4,F352&lt;=2),"New customers",IF(AND(E352=3,F352&lt;=2),"Potential",IF(AND(E352&lt;=2,F352&gt;=3),"At risk","Inactive")))))</f>
        <v/>
      </c>
    </row>
    <row r="353">
      <c r="A353" s="10" t="inlineStr">
        <is>
          <t>C1345</t>
        </is>
      </c>
      <c r="B353" s="19">
        <f>$B$4-_xlfn.MAXIFS('Clean Data'!$B$2:$B$1565,'Clean Data'!$C$2:$C$1565,$A353)</f>
        <v/>
      </c>
      <c r="C353" s="10">
        <f>COUNTIF('Clean Data'!$C$2:$C$1565,$A353)</f>
        <v/>
      </c>
      <c r="D353" s="20">
        <f>SUMIF('Clean Data'!$C$2:$C$1565,$A353,'Clean Data'!$K$2:$K$1565)</f>
        <v/>
      </c>
      <c r="E353" s="10">
        <f>IF(B353&lt;=$K$6,5,IF(B353&lt;=$K$7,4,IF(B353&lt;=$K$8,3,IF(B353&lt;=$K$9,2,1))))</f>
        <v/>
      </c>
      <c r="F353" s="10">
        <f>IF(C353&gt;=$L$9,5,IF(C353&gt;=$L$8,4,IF(C353&gt;=$L$7,3,IF(C353&gt;=$L$6,2,1))))</f>
        <v/>
      </c>
      <c r="G353" s="10">
        <f>IF(D353&gt;=$M$9,5,IF(D353&gt;=$M$8,4,IF(D353&gt;=$M$7,3,IF(D353&gt;=$M$6,2,1))))</f>
        <v/>
      </c>
      <c r="H353" s="10">
        <f>IF(AND(E353&gt;=4,F353&gt;=4),"Champions",IF(AND(E353&gt;=3,F353&gt;=3),"Loyal",IF(AND(E353&gt;=4,F353&lt;=2),"New customers",IF(AND(E353=3,F353&lt;=2),"Potential",IF(AND(E353&lt;=2,F353&gt;=3),"At risk","Inactive")))))</f>
        <v/>
      </c>
    </row>
    <row r="354">
      <c r="A354" s="10" t="inlineStr">
        <is>
          <t>C1346</t>
        </is>
      </c>
      <c r="B354" s="19">
        <f>$B$4-_xlfn.MAXIFS('Clean Data'!$B$2:$B$1565,'Clean Data'!$C$2:$C$1565,$A354)</f>
        <v/>
      </c>
      <c r="C354" s="10">
        <f>COUNTIF('Clean Data'!$C$2:$C$1565,$A354)</f>
        <v/>
      </c>
      <c r="D354" s="20">
        <f>SUMIF('Clean Data'!$C$2:$C$1565,$A354,'Clean Data'!$K$2:$K$1565)</f>
        <v/>
      </c>
      <c r="E354" s="10">
        <f>IF(B354&lt;=$K$6,5,IF(B354&lt;=$K$7,4,IF(B354&lt;=$K$8,3,IF(B354&lt;=$K$9,2,1))))</f>
        <v/>
      </c>
      <c r="F354" s="10">
        <f>IF(C354&gt;=$L$9,5,IF(C354&gt;=$L$8,4,IF(C354&gt;=$L$7,3,IF(C354&gt;=$L$6,2,1))))</f>
        <v/>
      </c>
      <c r="G354" s="10">
        <f>IF(D354&gt;=$M$9,5,IF(D354&gt;=$M$8,4,IF(D354&gt;=$M$7,3,IF(D354&gt;=$M$6,2,1))))</f>
        <v/>
      </c>
      <c r="H354" s="10">
        <f>IF(AND(E354&gt;=4,F354&gt;=4),"Champions",IF(AND(E354&gt;=3,F354&gt;=3),"Loyal",IF(AND(E354&gt;=4,F354&lt;=2),"New customers",IF(AND(E354=3,F354&lt;=2),"Potential",IF(AND(E354&lt;=2,F354&gt;=3),"At risk","Inactive")))))</f>
        <v/>
      </c>
    </row>
    <row r="355">
      <c r="A355" s="10" t="inlineStr">
        <is>
          <t>C1347</t>
        </is>
      </c>
      <c r="B355" s="19">
        <f>$B$4-_xlfn.MAXIFS('Clean Data'!$B$2:$B$1565,'Clean Data'!$C$2:$C$1565,$A355)</f>
        <v/>
      </c>
      <c r="C355" s="10">
        <f>COUNTIF('Clean Data'!$C$2:$C$1565,$A355)</f>
        <v/>
      </c>
      <c r="D355" s="20">
        <f>SUMIF('Clean Data'!$C$2:$C$1565,$A355,'Clean Data'!$K$2:$K$1565)</f>
        <v/>
      </c>
      <c r="E355" s="10">
        <f>IF(B355&lt;=$K$6,5,IF(B355&lt;=$K$7,4,IF(B355&lt;=$K$8,3,IF(B355&lt;=$K$9,2,1))))</f>
        <v/>
      </c>
      <c r="F355" s="10">
        <f>IF(C355&gt;=$L$9,5,IF(C355&gt;=$L$8,4,IF(C355&gt;=$L$7,3,IF(C355&gt;=$L$6,2,1))))</f>
        <v/>
      </c>
      <c r="G355" s="10">
        <f>IF(D355&gt;=$M$9,5,IF(D355&gt;=$M$8,4,IF(D355&gt;=$M$7,3,IF(D355&gt;=$M$6,2,1))))</f>
        <v/>
      </c>
      <c r="H355" s="10">
        <f>IF(AND(E355&gt;=4,F355&gt;=4),"Champions",IF(AND(E355&gt;=3,F355&gt;=3),"Loyal",IF(AND(E355&gt;=4,F355&lt;=2),"New customers",IF(AND(E355=3,F355&lt;=2),"Potential",IF(AND(E355&lt;=2,F355&gt;=3),"At risk","Inactive")))))</f>
        <v/>
      </c>
    </row>
    <row r="356">
      <c r="A356" s="10" t="inlineStr">
        <is>
          <t>C1348</t>
        </is>
      </c>
      <c r="B356" s="19">
        <f>$B$4-_xlfn.MAXIFS('Clean Data'!$B$2:$B$1565,'Clean Data'!$C$2:$C$1565,$A356)</f>
        <v/>
      </c>
      <c r="C356" s="10">
        <f>COUNTIF('Clean Data'!$C$2:$C$1565,$A356)</f>
        <v/>
      </c>
      <c r="D356" s="20">
        <f>SUMIF('Clean Data'!$C$2:$C$1565,$A356,'Clean Data'!$K$2:$K$1565)</f>
        <v/>
      </c>
      <c r="E356" s="10">
        <f>IF(B356&lt;=$K$6,5,IF(B356&lt;=$K$7,4,IF(B356&lt;=$K$8,3,IF(B356&lt;=$K$9,2,1))))</f>
        <v/>
      </c>
      <c r="F356" s="10">
        <f>IF(C356&gt;=$L$9,5,IF(C356&gt;=$L$8,4,IF(C356&gt;=$L$7,3,IF(C356&gt;=$L$6,2,1))))</f>
        <v/>
      </c>
      <c r="G356" s="10">
        <f>IF(D356&gt;=$M$9,5,IF(D356&gt;=$M$8,4,IF(D356&gt;=$M$7,3,IF(D356&gt;=$M$6,2,1))))</f>
        <v/>
      </c>
      <c r="H356" s="10">
        <f>IF(AND(E356&gt;=4,F356&gt;=4),"Champions",IF(AND(E356&gt;=3,F356&gt;=3),"Loyal",IF(AND(E356&gt;=4,F356&lt;=2),"New customers",IF(AND(E356=3,F356&lt;=2),"Potential",IF(AND(E356&lt;=2,F356&gt;=3),"At risk","Inactive")))))</f>
        <v/>
      </c>
    </row>
    <row r="357">
      <c r="A357" s="10" t="inlineStr">
        <is>
          <t>C1349</t>
        </is>
      </c>
      <c r="B357" s="19">
        <f>$B$4-_xlfn.MAXIFS('Clean Data'!$B$2:$B$1565,'Clean Data'!$C$2:$C$1565,$A357)</f>
        <v/>
      </c>
      <c r="C357" s="10">
        <f>COUNTIF('Clean Data'!$C$2:$C$1565,$A357)</f>
        <v/>
      </c>
      <c r="D357" s="20">
        <f>SUMIF('Clean Data'!$C$2:$C$1565,$A357,'Clean Data'!$K$2:$K$1565)</f>
        <v/>
      </c>
      <c r="E357" s="10">
        <f>IF(B357&lt;=$K$6,5,IF(B357&lt;=$K$7,4,IF(B357&lt;=$K$8,3,IF(B357&lt;=$K$9,2,1))))</f>
        <v/>
      </c>
      <c r="F357" s="10">
        <f>IF(C357&gt;=$L$9,5,IF(C357&gt;=$L$8,4,IF(C357&gt;=$L$7,3,IF(C357&gt;=$L$6,2,1))))</f>
        <v/>
      </c>
      <c r="G357" s="10">
        <f>IF(D357&gt;=$M$9,5,IF(D357&gt;=$M$8,4,IF(D357&gt;=$M$7,3,IF(D357&gt;=$M$6,2,1))))</f>
        <v/>
      </c>
      <c r="H357" s="10">
        <f>IF(AND(E357&gt;=4,F357&gt;=4),"Champions",IF(AND(E357&gt;=3,F357&gt;=3),"Loyal",IF(AND(E357&gt;=4,F357&lt;=2),"New customers",IF(AND(E357=3,F357&lt;=2),"Potential",IF(AND(E357&lt;=2,F357&gt;=3),"At risk","Inactive")))))</f>
        <v/>
      </c>
    </row>
    <row r="358">
      <c r="A358" s="10" t="inlineStr">
        <is>
          <t>C1350</t>
        </is>
      </c>
      <c r="B358" s="19">
        <f>$B$4-_xlfn.MAXIFS('Clean Data'!$B$2:$B$1565,'Clean Data'!$C$2:$C$1565,$A358)</f>
        <v/>
      </c>
      <c r="C358" s="10">
        <f>COUNTIF('Clean Data'!$C$2:$C$1565,$A358)</f>
        <v/>
      </c>
      <c r="D358" s="20">
        <f>SUMIF('Clean Data'!$C$2:$C$1565,$A358,'Clean Data'!$K$2:$K$1565)</f>
        <v/>
      </c>
      <c r="E358" s="10">
        <f>IF(B358&lt;=$K$6,5,IF(B358&lt;=$K$7,4,IF(B358&lt;=$K$8,3,IF(B358&lt;=$K$9,2,1))))</f>
        <v/>
      </c>
      <c r="F358" s="10">
        <f>IF(C358&gt;=$L$9,5,IF(C358&gt;=$L$8,4,IF(C358&gt;=$L$7,3,IF(C358&gt;=$L$6,2,1))))</f>
        <v/>
      </c>
      <c r="G358" s="10">
        <f>IF(D358&gt;=$M$9,5,IF(D358&gt;=$M$8,4,IF(D358&gt;=$M$7,3,IF(D358&gt;=$M$6,2,1))))</f>
        <v/>
      </c>
      <c r="H358" s="10">
        <f>IF(AND(E358&gt;=4,F358&gt;=4),"Champions",IF(AND(E358&gt;=3,F358&gt;=3),"Loyal",IF(AND(E358&gt;=4,F358&lt;=2),"New customers",IF(AND(E358=3,F358&lt;=2),"Potential",IF(AND(E358&lt;=2,F358&gt;=3),"At risk","Inactive")))))</f>
        <v/>
      </c>
    </row>
    <row r="359">
      <c r="A359" s="10" t="inlineStr">
        <is>
          <t>C1351</t>
        </is>
      </c>
      <c r="B359" s="19">
        <f>$B$4-_xlfn.MAXIFS('Clean Data'!$B$2:$B$1565,'Clean Data'!$C$2:$C$1565,$A359)</f>
        <v/>
      </c>
      <c r="C359" s="10">
        <f>COUNTIF('Clean Data'!$C$2:$C$1565,$A359)</f>
        <v/>
      </c>
      <c r="D359" s="20">
        <f>SUMIF('Clean Data'!$C$2:$C$1565,$A359,'Clean Data'!$K$2:$K$1565)</f>
        <v/>
      </c>
      <c r="E359" s="10">
        <f>IF(B359&lt;=$K$6,5,IF(B359&lt;=$K$7,4,IF(B359&lt;=$K$8,3,IF(B359&lt;=$K$9,2,1))))</f>
        <v/>
      </c>
      <c r="F359" s="10">
        <f>IF(C359&gt;=$L$9,5,IF(C359&gt;=$L$8,4,IF(C359&gt;=$L$7,3,IF(C359&gt;=$L$6,2,1))))</f>
        <v/>
      </c>
      <c r="G359" s="10">
        <f>IF(D359&gt;=$M$9,5,IF(D359&gt;=$M$8,4,IF(D359&gt;=$M$7,3,IF(D359&gt;=$M$6,2,1))))</f>
        <v/>
      </c>
      <c r="H359" s="10">
        <f>IF(AND(E359&gt;=4,F359&gt;=4),"Champions",IF(AND(E359&gt;=3,F359&gt;=3),"Loyal",IF(AND(E359&gt;=4,F359&lt;=2),"New customers",IF(AND(E359=3,F359&lt;=2),"Potential",IF(AND(E359&lt;=2,F359&gt;=3),"At risk","Inactive")))))</f>
        <v/>
      </c>
    </row>
    <row r="360">
      <c r="A360" s="10" t="inlineStr">
        <is>
          <t>C1352</t>
        </is>
      </c>
      <c r="B360" s="19">
        <f>$B$4-_xlfn.MAXIFS('Clean Data'!$B$2:$B$1565,'Clean Data'!$C$2:$C$1565,$A360)</f>
        <v/>
      </c>
      <c r="C360" s="10">
        <f>COUNTIF('Clean Data'!$C$2:$C$1565,$A360)</f>
        <v/>
      </c>
      <c r="D360" s="20">
        <f>SUMIF('Clean Data'!$C$2:$C$1565,$A360,'Clean Data'!$K$2:$K$1565)</f>
        <v/>
      </c>
      <c r="E360" s="10">
        <f>IF(B360&lt;=$K$6,5,IF(B360&lt;=$K$7,4,IF(B360&lt;=$K$8,3,IF(B360&lt;=$K$9,2,1))))</f>
        <v/>
      </c>
      <c r="F360" s="10">
        <f>IF(C360&gt;=$L$9,5,IF(C360&gt;=$L$8,4,IF(C360&gt;=$L$7,3,IF(C360&gt;=$L$6,2,1))))</f>
        <v/>
      </c>
      <c r="G360" s="10">
        <f>IF(D360&gt;=$M$9,5,IF(D360&gt;=$M$8,4,IF(D360&gt;=$M$7,3,IF(D360&gt;=$M$6,2,1))))</f>
        <v/>
      </c>
      <c r="H360" s="10">
        <f>IF(AND(E360&gt;=4,F360&gt;=4),"Champions",IF(AND(E360&gt;=3,F360&gt;=3),"Loyal",IF(AND(E360&gt;=4,F360&lt;=2),"New customers",IF(AND(E360=3,F360&lt;=2),"Potential",IF(AND(E360&lt;=2,F360&gt;=3),"At risk","Inactive")))))</f>
        <v/>
      </c>
    </row>
    <row r="361">
      <c r="A361" s="10" t="inlineStr">
        <is>
          <t>C1353</t>
        </is>
      </c>
      <c r="B361" s="19">
        <f>$B$4-_xlfn.MAXIFS('Clean Data'!$B$2:$B$1565,'Clean Data'!$C$2:$C$1565,$A361)</f>
        <v/>
      </c>
      <c r="C361" s="10">
        <f>COUNTIF('Clean Data'!$C$2:$C$1565,$A361)</f>
        <v/>
      </c>
      <c r="D361" s="20">
        <f>SUMIF('Clean Data'!$C$2:$C$1565,$A361,'Clean Data'!$K$2:$K$1565)</f>
        <v/>
      </c>
      <c r="E361" s="10">
        <f>IF(B361&lt;=$K$6,5,IF(B361&lt;=$K$7,4,IF(B361&lt;=$K$8,3,IF(B361&lt;=$K$9,2,1))))</f>
        <v/>
      </c>
      <c r="F361" s="10">
        <f>IF(C361&gt;=$L$9,5,IF(C361&gt;=$L$8,4,IF(C361&gt;=$L$7,3,IF(C361&gt;=$L$6,2,1))))</f>
        <v/>
      </c>
      <c r="G361" s="10">
        <f>IF(D361&gt;=$M$9,5,IF(D361&gt;=$M$8,4,IF(D361&gt;=$M$7,3,IF(D361&gt;=$M$6,2,1))))</f>
        <v/>
      </c>
      <c r="H361" s="10">
        <f>IF(AND(E361&gt;=4,F361&gt;=4),"Champions",IF(AND(E361&gt;=3,F361&gt;=3),"Loyal",IF(AND(E361&gt;=4,F361&lt;=2),"New customers",IF(AND(E361=3,F361&lt;=2),"Potential",IF(AND(E361&lt;=2,F361&gt;=3),"At risk","Inactive")))))</f>
        <v/>
      </c>
    </row>
    <row r="362">
      <c r="A362" s="10" t="inlineStr">
        <is>
          <t>C1354</t>
        </is>
      </c>
      <c r="B362" s="19">
        <f>$B$4-_xlfn.MAXIFS('Clean Data'!$B$2:$B$1565,'Clean Data'!$C$2:$C$1565,$A362)</f>
        <v/>
      </c>
      <c r="C362" s="10">
        <f>COUNTIF('Clean Data'!$C$2:$C$1565,$A362)</f>
        <v/>
      </c>
      <c r="D362" s="20">
        <f>SUMIF('Clean Data'!$C$2:$C$1565,$A362,'Clean Data'!$K$2:$K$1565)</f>
        <v/>
      </c>
      <c r="E362" s="10">
        <f>IF(B362&lt;=$K$6,5,IF(B362&lt;=$K$7,4,IF(B362&lt;=$K$8,3,IF(B362&lt;=$K$9,2,1))))</f>
        <v/>
      </c>
      <c r="F362" s="10">
        <f>IF(C362&gt;=$L$9,5,IF(C362&gt;=$L$8,4,IF(C362&gt;=$L$7,3,IF(C362&gt;=$L$6,2,1))))</f>
        <v/>
      </c>
      <c r="G362" s="10">
        <f>IF(D362&gt;=$M$9,5,IF(D362&gt;=$M$8,4,IF(D362&gt;=$M$7,3,IF(D362&gt;=$M$6,2,1))))</f>
        <v/>
      </c>
      <c r="H362" s="10">
        <f>IF(AND(E362&gt;=4,F362&gt;=4),"Champions",IF(AND(E362&gt;=3,F362&gt;=3),"Loyal",IF(AND(E362&gt;=4,F362&lt;=2),"New customers",IF(AND(E362=3,F362&lt;=2),"Potential",IF(AND(E362&lt;=2,F362&gt;=3),"At risk","Inactive")))))</f>
        <v/>
      </c>
    </row>
    <row r="363">
      <c r="A363" s="10" t="inlineStr">
        <is>
          <t>C1355</t>
        </is>
      </c>
      <c r="B363" s="19">
        <f>$B$4-_xlfn.MAXIFS('Clean Data'!$B$2:$B$1565,'Clean Data'!$C$2:$C$1565,$A363)</f>
        <v/>
      </c>
      <c r="C363" s="10">
        <f>COUNTIF('Clean Data'!$C$2:$C$1565,$A363)</f>
        <v/>
      </c>
      <c r="D363" s="20">
        <f>SUMIF('Clean Data'!$C$2:$C$1565,$A363,'Clean Data'!$K$2:$K$1565)</f>
        <v/>
      </c>
      <c r="E363" s="10">
        <f>IF(B363&lt;=$K$6,5,IF(B363&lt;=$K$7,4,IF(B363&lt;=$K$8,3,IF(B363&lt;=$K$9,2,1))))</f>
        <v/>
      </c>
      <c r="F363" s="10">
        <f>IF(C363&gt;=$L$9,5,IF(C363&gt;=$L$8,4,IF(C363&gt;=$L$7,3,IF(C363&gt;=$L$6,2,1))))</f>
        <v/>
      </c>
      <c r="G363" s="10">
        <f>IF(D363&gt;=$M$9,5,IF(D363&gt;=$M$8,4,IF(D363&gt;=$M$7,3,IF(D363&gt;=$M$6,2,1))))</f>
        <v/>
      </c>
      <c r="H363" s="10">
        <f>IF(AND(E363&gt;=4,F363&gt;=4),"Champions",IF(AND(E363&gt;=3,F363&gt;=3),"Loyal",IF(AND(E363&gt;=4,F363&lt;=2),"New customers",IF(AND(E363=3,F363&lt;=2),"Potential",IF(AND(E363&lt;=2,F363&gt;=3),"At risk","Inactive")))))</f>
        <v/>
      </c>
    </row>
    <row r="364">
      <c r="A364" s="10" t="inlineStr">
        <is>
          <t>C1356</t>
        </is>
      </c>
      <c r="B364" s="19">
        <f>$B$4-_xlfn.MAXIFS('Clean Data'!$B$2:$B$1565,'Clean Data'!$C$2:$C$1565,$A364)</f>
        <v/>
      </c>
      <c r="C364" s="10">
        <f>COUNTIF('Clean Data'!$C$2:$C$1565,$A364)</f>
        <v/>
      </c>
      <c r="D364" s="20">
        <f>SUMIF('Clean Data'!$C$2:$C$1565,$A364,'Clean Data'!$K$2:$K$1565)</f>
        <v/>
      </c>
      <c r="E364" s="10">
        <f>IF(B364&lt;=$K$6,5,IF(B364&lt;=$K$7,4,IF(B364&lt;=$K$8,3,IF(B364&lt;=$K$9,2,1))))</f>
        <v/>
      </c>
      <c r="F364" s="10">
        <f>IF(C364&gt;=$L$9,5,IF(C364&gt;=$L$8,4,IF(C364&gt;=$L$7,3,IF(C364&gt;=$L$6,2,1))))</f>
        <v/>
      </c>
      <c r="G364" s="10">
        <f>IF(D364&gt;=$M$9,5,IF(D364&gt;=$M$8,4,IF(D364&gt;=$M$7,3,IF(D364&gt;=$M$6,2,1))))</f>
        <v/>
      </c>
      <c r="H364" s="10">
        <f>IF(AND(E364&gt;=4,F364&gt;=4),"Champions",IF(AND(E364&gt;=3,F364&gt;=3),"Loyal",IF(AND(E364&gt;=4,F364&lt;=2),"New customers",IF(AND(E364=3,F364&lt;=2),"Potential",IF(AND(E364&lt;=2,F364&gt;=3),"At risk","Inactive")))))</f>
        <v/>
      </c>
    </row>
    <row r="365">
      <c r="A365" s="10" t="inlineStr">
        <is>
          <t>C1357</t>
        </is>
      </c>
      <c r="B365" s="19">
        <f>$B$4-_xlfn.MAXIFS('Clean Data'!$B$2:$B$1565,'Clean Data'!$C$2:$C$1565,$A365)</f>
        <v/>
      </c>
      <c r="C365" s="10">
        <f>COUNTIF('Clean Data'!$C$2:$C$1565,$A365)</f>
        <v/>
      </c>
      <c r="D365" s="20">
        <f>SUMIF('Clean Data'!$C$2:$C$1565,$A365,'Clean Data'!$K$2:$K$1565)</f>
        <v/>
      </c>
      <c r="E365" s="10">
        <f>IF(B365&lt;=$K$6,5,IF(B365&lt;=$K$7,4,IF(B365&lt;=$K$8,3,IF(B365&lt;=$K$9,2,1))))</f>
        <v/>
      </c>
      <c r="F365" s="10">
        <f>IF(C365&gt;=$L$9,5,IF(C365&gt;=$L$8,4,IF(C365&gt;=$L$7,3,IF(C365&gt;=$L$6,2,1))))</f>
        <v/>
      </c>
      <c r="G365" s="10">
        <f>IF(D365&gt;=$M$9,5,IF(D365&gt;=$M$8,4,IF(D365&gt;=$M$7,3,IF(D365&gt;=$M$6,2,1))))</f>
        <v/>
      </c>
      <c r="H365" s="10">
        <f>IF(AND(E365&gt;=4,F365&gt;=4),"Champions",IF(AND(E365&gt;=3,F365&gt;=3),"Loyal",IF(AND(E365&gt;=4,F365&lt;=2),"New customers",IF(AND(E365=3,F365&lt;=2),"Potential",IF(AND(E365&lt;=2,F365&gt;=3),"At risk","Inactive")))))</f>
        <v/>
      </c>
    </row>
    <row r="366">
      <c r="A366" s="10" t="inlineStr">
        <is>
          <t>C1358</t>
        </is>
      </c>
      <c r="B366" s="19">
        <f>$B$4-_xlfn.MAXIFS('Clean Data'!$B$2:$B$1565,'Clean Data'!$C$2:$C$1565,$A366)</f>
        <v/>
      </c>
      <c r="C366" s="10">
        <f>COUNTIF('Clean Data'!$C$2:$C$1565,$A366)</f>
        <v/>
      </c>
      <c r="D366" s="20">
        <f>SUMIF('Clean Data'!$C$2:$C$1565,$A366,'Clean Data'!$K$2:$K$1565)</f>
        <v/>
      </c>
      <c r="E366" s="10">
        <f>IF(B366&lt;=$K$6,5,IF(B366&lt;=$K$7,4,IF(B366&lt;=$K$8,3,IF(B366&lt;=$K$9,2,1))))</f>
        <v/>
      </c>
      <c r="F366" s="10">
        <f>IF(C366&gt;=$L$9,5,IF(C366&gt;=$L$8,4,IF(C366&gt;=$L$7,3,IF(C366&gt;=$L$6,2,1))))</f>
        <v/>
      </c>
      <c r="G366" s="10">
        <f>IF(D366&gt;=$M$9,5,IF(D366&gt;=$M$8,4,IF(D366&gt;=$M$7,3,IF(D366&gt;=$M$6,2,1))))</f>
        <v/>
      </c>
      <c r="H366" s="10">
        <f>IF(AND(E366&gt;=4,F366&gt;=4),"Champions",IF(AND(E366&gt;=3,F366&gt;=3),"Loyal",IF(AND(E366&gt;=4,F366&lt;=2),"New customers",IF(AND(E366=3,F366&lt;=2),"Potential",IF(AND(E366&lt;=2,F366&gt;=3),"At risk","Inactive")))))</f>
        <v/>
      </c>
    </row>
    <row r="367">
      <c r="A367" s="10" t="inlineStr">
        <is>
          <t>C1359</t>
        </is>
      </c>
      <c r="B367" s="19">
        <f>$B$4-_xlfn.MAXIFS('Clean Data'!$B$2:$B$1565,'Clean Data'!$C$2:$C$1565,$A367)</f>
        <v/>
      </c>
      <c r="C367" s="10">
        <f>COUNTIF('Clean Data'!$C$2:$C$1565,$A367)</f>
        <v/>
      </c>
      <c r="D367" s="20">
        <f>SUMIF('Clean Data'!$C$2:$C$1565,$A367,'Clean Data'!$K$2:$K$1565)</f>
        <v/>
      </c>
      <c r="E367" s="10">
        <f>IF(B367&lt;=$K$6,5,IF(B367&lt;=$K$7,4,IF(B367&lt;=$K$8,3,IF(B367&lt;=$K$9,2,1))))</f>
        <v/>
      </c>
      <c r="F367" s="10">
        <f>IF(C367&gt;=$L$9,5,IF(C367&gt;=$L$8,4,IF(C367&gt;=$L$7,3,IF(C367&gt;=$L$6,2,1))))</f>
        <v/>
      </c>
      <c r="G367" s="10">
        <f>IF(D367&gt;=$M$9,5,IF(D367&gt;=$M$8,4,IF(D367&gt;=$M$7,3,IF(D367&gt;=$M$6,2,1))))</f>
        <v/>
      </c>
      <c r="H367" s="10">
        <f>IF(AND(E367&gt;=4,F367&gt;=4),"Champions",IF(AND(E367&gt;=3,F367&gt;=3),"Loyal",IF(AND(E367&gt;=4,F367&lt;=2),"New customers",IF(AND(E367=3,F367&lt;=2),"Potential",IF(AND(E367&lt;=2,F367&gt;=3),"At risk","Inactive")))))</f>
        <v/>
      </c>
    </row>
    <row r="368">
      <c r="A368" s="10" t="inlineStr">
        <is>
          <t>C1360</t>
        </is>
      </c>
      <c r="B368" s="19">
        <f>$B$4-_xlfn.MAXIFS('Clean Data'!$B$2:$B$1565,'Clean Data'!$C$2:$C$1565,$A368)</f>
        <v/>
      </c>
      <c r="C368" s="10">
        <f>COUNTIF('Clean Data'!$C$2:$C$1565,$A368)</f>
        <v/>
      </c>
      <c r="D368" s="20">
        <f>SUMIF('Clean Data'!$C$2:$C$1565,$A368,'Clean Data'!$K$2:$K$1565)</f>
        <v/>
      </c>
      <c r="E368" s="10">
        <f>IF(B368&lt;=$K$6,5,IF(B368&lt;=$K$7,4,IF(B368&lt;=$K$8,3,IF(B368&lt;=$K$9,2,1))))</f>
        <v/>
      </c>
      <c r="F368" s="10">
        <f>IF(C368&gt;=$L$9,5,IF(C368&gt;=$L$8,4,IF(C368&gt;=$L$7,3,IF(C368&gt;=$L$6,2,1))))</f>
        <v/>
      </c>
      <c r="G368" s="10">
        <f>IF(D368&gt;=$M$9,5,IF(D368&gt;=$M$8,4,IF(D368&gt;=$M$7,3,IF(D368&gt;=$M$6,2,1))))</f>
        <v/>
      </c>
      <c r="H368" s="10">
        <f>IF(AND(E368&gt;=4,F368&gt;=4),"Champions",IF(AND(E368&gt;=3,F368&gt;=3),"Loyal",IF(AND(E368&gt;=4,F368&lt;=2),"New customers",IF(AND(E368=3,F368&lt;=2),"Potential",IF(AND(E368&lt;=2,F368&gt;=3),"At risk","Inactive")))))</f>
        <v/>
      </c>
    </row>
    <row r="369">
      <c r="A369" s="10" t="inlineStr">
        <is>
          <t>C1361</t>
        </is>
      </c>
      <c r="B369" s="19">
        <f>$B$4-_xlfn.MAXIFS('Clean Data'!$B$2:$B$1565,'Clean Data'!$C$2:$C$1565,$A369)</f>
        <v/>
      </c>
      <c r="C369" s="10">
        <f>COUNTIF('Clean Data'!$C$2:$C$1565,$A369)</f>
        <v/>
      </c>
      <c r="D369" s="20">
        <f>SUMIF('Clean Data'!$C$2:$C$1565,$A369,'Clean Data'!$K$2:$K$1565)</f>
        <v/>
      </c>
      <c r="E369" s="10">
        <f>IF(B369&lt;=$K$6,5,IF(B369&lt;=$K$7,4,IF(B369&lt;=$K$8,3,IF(B369&lt;=$K$9,2,1))))</f>
        <v/>
      </c>
      <c r="F369" s="10">
        <f>IF(C369&gt;=$L$9,5,IF(C369&gt;=$L$8,4,IF(C369&gt;=$L$7,3,IF(C369&gt;=$L$6,2,1))))</f>
        <v/>
      </c>
      <c r="G369" s="10">
        <f>IF(D369&gt;=$M$9,5,IF(D369&gt;=$M$8,4,IF(D369&gt;=$M$7,3,IF(D369&gt;=$M$6,2,1))))</f>
        <v/>
      </c>
      <c r="H369" s="10">
        <f>IF(AND(E369&gt;=4,F369&gt;=4),"Champions",IF(AND(E369&gt;=3,F369&gt;=3),"Loyal",IF(AND(E369&gt;=4,F369&lt;=2),"New customers",IF(AND(E369=3,F369&lt;=2),"Potential",IF(AND(E369&lt;=2,F369&gt;=3),"At risk","Inactive")))))</f>
        <v/>
      </c>
    </row>
    <row r="370">
      <c r="A370" s="10" t="inlineStr">
        <is>
          <t>C1362</t>
        </is>
      </c>
      <c r="B370" s="19">
        <f>$B$4-_xlfn.MAXIFS('Clean Data'!$B$2:$B$1565,'Clean Data'!$C$2:$C$1565,$A370)</f>
        <v/>
      </c>
      <c r="C370" s="10">
        <f>COUNTIF('Clean Data'!$C$2:$C$1565,$A370)</f>
        <v/>
      </c>
      <c r="D370" s="20">
        <f>SUMIF('Clean Data'!$C$2:$C$1565,$A370,'Clean Data'!$K$2:$K$1565)</f>
        <v/>
      </c>
      <c r="E370" s="10">
        <f>IF(B370&lt;=$K$6,5,IF(B370&lt;=$K$7,4,IF(B370&lt;=$K$8,3,IF(B370&lt;=$K$9,2,1))))</f>
        <v/>
      </c>
      <c r="F370" s="10">
        <f>IF(C370&gt;=$L$9,5,IF(C370&gt;=$L$8,4,IF(C370&gt;=$L$7,3,IF(C370&gt;=$L$6,2,1))))</f>
        <v/>
      </c>
      <c r="G370" s="10">
        <f>IF(D370&gt;=$M$9,5,IF(D370&gt;=$M$8,4,IF(D370&gt;=$M$7,3,IF(D370&gt;=$M$6,2,1))))</f>
        <v/>
      </c>
      <c r="H370" s="10">
        <f>IF(AND(E370&gt;=4,F370&gt;=4),"Champions",IF(AND(E370&gt;=3,F370&gt;=3),"Loyal",IF(AND(E370&gt;=4,F370&lt;=2),"New customers",IF(AND(E370=3,F370&lt;=2),"Potential",IF(AND(E370&lt;=2,F370&gt;=3),"At risk","Inactive")))))</f>
        <v/>
      </c>
    </row>
    <row r="371">
      <c r="A371" s="10" t="inlineStr">
        <is>
          <t>C1363</t>
        </is>
      </c>
      <c r="B371" s="19">
        <f>$B$4-_xlfn.MAXIFS('Clean Data'!$B$2:$B$1565,'Clean Data'!$C$2:$C$1565,$A371)</f>
        <v/>
      </c>
      <c r="C371" s="10">
        <f>COUNTIF('Clean Data'!$C$2:$C$1565,$A371)</f>
        <v/>
      </c>
      <c r="D371" s="20">
        <f>SUMIF('Clean Data'!$C$2:$C$1565,$A371,'Clean Data'!$K$2:$K$1565)</f>
        <v/>
      </c>
      <c r="E371" s="10">
        <f>IF(B371&lt;=$K$6,5,IF(B371&lt;=$K$7,4,IF(B371&lt;=$K$8,3,IF(B371&lt;=$K$9,2,1))))</f>
        <v/>
      </c>
      <c r="F371" s="10">
        <f>IF(C371&gt;=$L$9,5,IF(C371&gt;=$L$8,4,IF(C371&gt;=$L$7,3,IF(C371&gt;=$L$6,2,1))))</f>
        <v/>
      </c>
      <c r="G371" s="10">
        <f>IF(D371&gt;=$M$9,5,IF(D371&gt;=$M$8,4,IF(D371&gt;=$M$7,3,IF(D371&gt;=$M$6,2,1))))</f>
        <v/>
      </c>
      <c r="H371" s="10">
        <f>IF(AND(E371&gt;=4,F371&gt;=4),"Champions",IF(AND(E371&gt;=3,F371&gt;=3),"Loyal",IF(AND(E371&gt;=4,F371&lt;=2),"New customers",IF(AND(E371=3,F371&lt;=2),"Potential",IF(AND(E371&lt;=2,F371&gt;=3),"At risk","Inactive")))))</f>
        <v/>
      </c>
    </row>
    <row r="372">
      <c r="A372" s="10" t="inlineStr">
        <is>
          <t>C1364</t>
        </is>
      </c>
      <c r="B372" s="19">
        <f>$B$4-_xlfn.MAXIFS('Clean Data'!$B$2:$B$1565,'Clean Data'!$C$2:$C$1565,$A372)</f>
        <v/>
      </c>
      <c r="C372" s="10">
        <f>COUNTIF('Clean Data'!$C$2:$C$1565,$A372)</f>
        <v/>
      </c>
      <c r="D372" s="20">
        <f>SUMIF('Clean Data'!$C$2:$C$1565,$A372,'Clean Data'!$K$2:$K$1565)</f>
        <v/>
      </c>
      <c r="E372" s="10">
        <f>IF(B372&lt;=$K$6,5,IF(B372&lt;=$K$7,4,IF(B372&lt;=$K$8,3,IF(B372&lt;=$K$9,2,1))))</f>
        <v/>
      </c>
      <c r="F372" s="10">
        <f>IF(C372&gt;=$L$9,5,IF(C372&gt;=$L$8,4,IF(C372&gt;=$L$7,3,IF(C372&gt;=$L$6,2,1))))</f>
        <v/>
      </c>
      <c r="G372" s="10">
        <f>IF(D372&gt;=$M$9,5,IF(D372&gt;=$M$8,4,IF(D372&gt;=$M$7,3,IF(D372&gt;=$M$6,2,1))))</f>
        <v/>
      </c>
      <c r="H372" s="10">
        <f>IF(AND(E372&gt;=4,F372&gt;=4),"Champions",IF(AND(E372&gt;=3,F372&gt;=3),"Loyal",IF(AND(E372&gt;=4,F372&lt;=2),"New customers",IF(AND(E372=3,F372&lt;=2),"Potential",IF(AND(E372&lt;=2,F372&gt;=3),"At risk","Inactive")))))</f>
        <v/>
      </c>
    </row>
    <row r="373">
      <c r="A373" s="10" t="inlineStr">
        <is>
          <t>C1365</t>
        </is>
      </c>
      <c r="B373" s="19">
        <f>$B$4-_xlfn.MAXIFS('Clean Data'!$B$2:$B$1565,'Clean Data'!$C$2:$C$1565,$A373)</f>
        <v/>
      </c>
      <c r="C373" s="10">
        <f>COUNTIF('Clean Data'!$C$2:$C$1565,$A373)</f>
        <v/>
      </c>
      <c r="D373" s="20">
        <f>SUMIF('Clean Data'!$C$2:$C$1565,$A373,'Clean Data'!$K$2:$K$1565)</f>
        <v/>
      </c>
      <c r="E373" s="10">
        <f>IF(B373&lt;=$K$6,5,IF(B373&lt;=$K$7,4,IF(B373&lt;=$K$8,3,IF(B373&lt;=$K$9,2,1))))</f>
        <v/>
      </c>
      <c r="F373" s="10">
        <f>IF(C373&gt;=$L$9,5,IF(C373&gt;=$L$8,4,IF(C373&gt;=$L$7,3,IF(C373&gt;=$L$6,2,1))))</f>
        <v/>
      </c>
      <c r="G373" s="10">
        <f>IF(D373&gt;=$M$9,5,IF(D373&gt;=$M$8,4,IF(D373&gt;=$M$7,3,IF(D373&gt;=$M$6,2,1))))</f>
        <v/>
      </c>
      <c r="H373" s="10">
        <f>IF(AND(E373&gt;=4,F373&gt;=4),"Champions",IF(AND(E373&gt;=3,F373&gt;=3),"Loyal",IF(AND(E373&gt;=4,F373&lt;=2),"New customers",IF(AND(E373=3,F373&lt;=2),"Potential",IF(AND(E373&lt;=2,F373&gt;=3),"At risk","Inactive")))))</f>
        <v/>
      </c>
    </row>
    <row r="374">
      <c r="A374" s="10" t="inlineStr">
        <is>
          <t>C1366</t>
        </is>
      </c>
      <c r="B374" s="19">
        <f>$B$4-_xlfn.MAXIFS('Clean Data'!$B$2:$B$1565,'Clean Data'!$C$2:$C$1565,$A374)</f>
        <v/>
      </c>
      <c r="C374" s="10">
        <f>COUNTIF('Clean Data'!$C$2:$C$1565,$A374)</f>
        <v/>
      </c>
      <c r="D374" s="20">
        <f>SUMIF('Clean Data'!$C$2:$C$1565,$A374,'Clean Data'!$K$2:$K$1565)</f>
        <v/>
      </c>
      <c r="E374" s="10">
        <f>IF(B374&lt;=$K$6,5,IF(B374&lt;=$K$7,4,IF(B374&lt;=$K$8,3,IF(B374&lt;=$K$9,2,1))))</f>
        <v/>
      </c>
      <c r="F374" s="10">
        <f>IF(C374&gt;=$L$9,5,IF(C374&gt;=$L$8,4,IF(C374&gt;=$L$7,3,IF(C374&gt;=$L$6,2,1))))</f>
        <v/>
      </c>
      <c r="G374" s="10">
        <f>IF(D374&gt;=$M$9,5,IF(D374&gt;=$M$8,4,IF(D374&gt;=$M$7,3,IF(D374&gt;=$M$6,2,1))))</f>
        <v/>
      </c>
      <c r="H374" s="10">
        <f>IF(AND(E374&gt;=4,F374&gt;=4),"Champions",IF(AND(E374&gt;=3,F374&gt;=3),"Loyal",IF(AND(E374&gt;=4,F374&lt;=2),"New customers",IF(AND(E374=3,F374&lt;=2),"Potential",IF(AND(E374&lt;=2,F374&gt;=3),"At risk","Inactive")))))</f>
        <v/>
      </c>
    </row>
    <row r="375">
      <c r="A375" s="10" t="inlineStr">
        <is>
          <t>C1367</t>
        </is>
      </c>
      <c r="B375" s="19">
        <f>$B$4-_xlfn.MAXIFS('Clean Data'!$B$2:$B$1565,'Clean Data'!$C$2:$C$1565,$A375)</f>
        <v/>
      </c>
      <c r="C375" s="10">
        <f>COUNTIF('Clean Data'!$C$2:$C$1565,$A375)</f>
        <v/>
      </c>
      <c r="D375" s="20">
        <f>SUMIF('Clean Data'!$C$2:$C$1565,$A375,'Clean Data'!$K$2:$K$1565)</f>
        <v/>
      </c>
      <c r="E375" s="10">
        <f>IF(B375&lt;=$K$6,5,IF(B375&lt;=$K$7,4,IF(B375&lt;=$K$8,3,IF(B375&lt;=$K$9,2,1))))</f>
        <v/>
      </c>
      <c r="F375" s="10">
        <f>IF(C375&gt;=$L$9,5,IF(C375&gt;=$L$8,4,IF(C375&gt;=$L$7,3,IF(C375&gt;=$L$6,2,1))))</f>
        <v/>
      </c>
      <c r="G375" s="10">
        <f>IF(D375&gt;=$M$9,5,IF(D375&gt;=$M$8,4,IF(D375&gt;=$M$7,3,IF(D375&gt;=$M$6,2,1))))</f>
        <v/>
      </c>
      <c r="H375" s="10">
        <f>IF(AND(E375&gt;=4,F375&gt;=4),"Champions",IF(AND(E375&gt;=3,F375&gt;=3),"Loyal",IF(AND(E375&gt;=4,F375&lt;=2),"New customers",IF(AND(E375=3,F375&lt;=2),"Potential",IF(AND(E375&lt;=2,F375&gt;=3),"At risk","Inactive")))))</f>
        <v/>
      </c>
    </row>
    <row r="376">
      <c r="A376" s="10" t="inlineStr">
        <is>
          <t>C1368</t>
        </is>
      </c>
      <c r="B376" s="19">
        <f>$B$4-_xlfn.MAXIFS('Clean Data'!$B$2:$B$1565,'Clean Data'!$C$2:$C$1565,$A376)</f>
        <v/>
      </c>
      <c r="C376" s="10">
        <f>COUNTIF('Clean Data'!$C$2:$C$1565,$A376)</f>
        <v/>
      </c>
      <c r="D376" s="20">
        <f>SUMIF('Clean Data'!$C$2:$C$1565,$A376,'Clean Data'!$K$2:$K$1565)</f>
        <v/>
      </c>
      <c r="E376" s="10">
        <f>IF(B376&lt;=$K$6,5,IF(B376&lt;=$K$7,4,IF(B376&lt;=$K$8,3,IF(B376&lt;=$K$9,2,1))))</f>
        <v/>
      </c>
      <c r="F376" s="10">
        <f>IF(C376&gt;=$L$9,5,IF(C376&gt;=$L$8,4,IF(C376&gt;=$L$7,3,IF(C376&gt;=$L$6,2,1))))</f>
        <v/>
      </c>
      <c r="G376" s="10">
        <f>IF(D376&gt;=$M$9,5,IF(D376&gt;=$M$8,4,IF(D376&gt;=$M$7,3,IF(D376&gt;=$M$6,2,1))))</f>
        <v/>
      </c>
      <c r="H376" s="10">
        <f>IF(AND(E376&gt;=4,F376&gt;=4),"Champions",IF(AND(E376&gt;=3,F376&gt;=3),"Loyal",IF(AND(E376&gt;=4,F376&lt;=2),"New customers",IF(AND(E376=3,F376&lt;=2),"Potential",IF(AND(E376&lt;=2,F376&gt;=3),"At risk","Inactive")))))</f>
        <v/>
      </c>
    </row>
    <row r="377">
      <c r="A377" s="10" t="inlineStr">
        <is>
          <t>C1369</t>
        </is>
      </c>
      <c r="B377" s="19">
        <f>$B$4-_xlfn.MAXIFS('Clean Data'!$B$2:$B$1565,'Clean Data'!$C$2:$C$1565,$A377)</f>
        <v/>
      </c>
      <c r="C377" s="10">
        <f>COUNTIF('Clean Data'!$C$2:$C$1565,$A377)</f>
        <v/>
      </c>
      <c r="D377" s="20">
        <f>SUMIF('Clean Data'!$C$2:$C$1565,$A377,'Clean Data'!$K$2:$K$1565)</f>
        <v/>
      </c>
      <c r="E377" s="10">
        <f>IF(B377&lt;=$K$6,5,IF(B377&lt;=$K$7,4,IF(B377&lt;=$K$8,3,IF(B377&lt;=$K$9,2,1))))</f>
        <v/>
      </c>
      <c r="F377" s="10">
        <f>IF(C377&gt;=$L$9,5,IF(C377&gt;=$L$8,4,IF(C377&gt;=$L$7,3,IF(C377&gt;=$L$6,2,1))))</f>
        <v/>
      </c>
      <c r="G377" s="10">
        <f>IF(D377&gt;=$M$9,5,IF(D377&gt;=$M$8,4,IF(D377&gt;=$M$7,3,IF(D377&gt;=$M$6,2,1))))</f>
        <v/>
      </c>
      <c r="H377" s="10">
        <f>IF(AND(E377&gt;=4,F377&gt;=4),"Champions",IF(AND(E377&gt;=3,F377&gt;=3),"Loyal",IF(AND(E377&gt;=4,F377&lt;=2),"New customers",IF(AND(E377=3,F377&lt;=2),"Potential",IF(AND(E377&lt;=2,F377&gt;=3),"At risk","Inactive")))))</f>
        <v/>
      </c>
    </row>
    <row r="378">
      <c r="A378" s="10" t="inlineStr">
        <is>
          <t>C1370</t>
        </is>
      </c>
      <c r="B378" s="19">
        <f>$B$4-_xlfn.MAXIFS('Clean Data'!$B$2:$B$1565,'Clean Data'!$C$2:$C$1565,$A378)</f>
        <v/>
      </c>
      <c r="C378" s="10">
        <f>COUNTIF('Clean Data'!$C$2:$C$1565,$A378)</f>
        <v/>
      </c>
      <c r="D378" s="20">
        <f>SUMIF('Clean Data'!$C$2:$C$1565,$A378,'Clean Data'!$K$2:$K$1565)</f>
        <v/>
      </c>
      <c r="E378" s="10">
        <f>IF(B378&lt;=$K$6,5,IF(B378&lt;=$K$7,4,IF(B378&lt;=$K$8,3,IF(B378&lt;=$K$9,2,1))))</f>
        <v/>
      </c>
      <c r="F378" s="10">
        <f>IF(C378&gt;=$L$9,5,IF(C378&gt;=$L$8,4,IF(C378&gt;=$L$7,3,IF(C378&gt;=$L$6,2,1))))</f>
        <v/>
      </c>
      <c r="G378" s="10">
        <f>IF(D378&gt;=$M$9,5,IF(D378&gt;=$M$8,4,IF(D378&gt;=$M$7,3,IF(D378&gt;=$M$6,2,1))))</f>
        <v/>
      </c>
      <c r="H378" s="10">
        <f>IF(AND(E378&gt;=4,F378&gt;=4),"Champions",IF(AND(E378&gt;=3,F378&gt;=3),"Loyal",IF(AND(E378&gt;=4,F378&lt;=2),"New customers",IF(AND(E378=3,F378&lt;=2),"Potential",IF(AND(E378&lt;=2,F378&gt;=3),"At risk","Inactive")))))</f>
        <v/>
      </c>
    </row>
    <row r="379">
      <c r="A379" s="10" t="inlineStr">
        <is>
          <t>C1371</t>
        </is>
      </c>
      <c r="B379" s="19">
        <f>$B$4-_xlfn.MAXIFS('Clean Data'!$B$2:$B$1565,'Clean Data'!$C$2:$C$1565,$A379)</f>
        <v/>
      </c>
      <c r="C379" s="10">
        <f>COUNTIF('Clean Data'!$C$2:$C$1565,$A379)</f>
        <v/>
      </c>
      <c r="D379" s="20">
        <f>SUMIF('Clean Data'!$C$2:$C$1565,$A379,'Clean Data'!$K$2:$K$1565)</f>
        <v/>
      </c>
      <c r="E379" s="10">
        <f>IF(B379&lt;=$K$6,5,IF(B379&lt;=$K$7,4,IF(B379&lt;=$K$8,3,IF(B379&lt;=$K$9,2,1))))</f>
        <v/>
      </c>
      <c r="F379" s="10">
        <f>IF(C379&gt;=$L$9,5,IF(C379&gt;=$L$8,4,IF(C379&gt;=$L$7,3,IF(C379&gt;=$L$6,2,1))))</f>
        <v/>
      </c>
      <c r="G379" s="10">
        <f>IF(D379&gt;=$M$9,5,IF(D379&gt;=$M$8,4,IF(D379&gt;=$M$7,3,IF(D379&gt;=$M$6,2,1))))</f>
        <v/>
      </c>
      <c r="H379" s="10">
        <f>IF(AND(E379&gt;=4,F379&gt;=4),"Champions",IF(AND(E379&gt;=3,F379&gt;=3),"Loyal",IF(AND(E379&gt;=4,F379&lt;=2),"New customers",IF(AND(E379=3,F379&lt;=2),"Potential",IF(AND(E379&lt;=2,F379&gt;=3),"At risk","Inactive")))))</f>
        <v/>
      </c>
    </row>
    <row r="380">
      <c r="A380" s="10" t="inlineStr">
        <is>
          <t>C1372</t>
        </is>
      </c>
      <c r="B380" s="19">
        <f>$B$4-_xlfn.MAXIFS('Clean Data'!$B$2:$B$1565,'Clean Data'!$C$2:$C$1565,$A380)</f>
        <v/>
      </c>
      <c r="C380" s="10">
        <f>COUNTIF('Clean Data'!$C$2:$C$1565,$A380)</f>
        <v/>
      </c>
      <c r="D380" s="20">
        <f>SUMIF('Clean Data'!$C$2:$C$1565,$A380,'Clean Data'!$K$2:$K$1565)</f>
        <v/>
      </c>
      <c r="E380" s="10">
        <f>IF(B380&lt;=$K$6,5,IF(B380&lt;=$K$7,4,IF(B380&lt;=$K$8,3,IF(B380&lt;=$K$9,2,1))))</f>
        <v/>
      </c>
      <c r="F380" s="10">
        <f>IF(C380&gt;=$L$9,5,IF(C380&gt;=$L$8,4,IF(C380&gt;=$L$7,3,IF(C380&gt;=$L$6,2,1))))</f>
        <v/>
      </c>
      <c r="G380" s="10">
        <f>IF(D380&gt;=$M$9,5,IF(D380&gt;=$M$8,4,IF(D380&gt;=$M$7,3,IF(D380&gt;=$M$6,2,1))))</f>
        <v/>
      </c>
      <c r="H380" s="10">
        <f>IF(AND(E380&gt;=4,F380&gt;=4),"Champions",IF(AND(E380&gt;=3,F380&gt;=3),"Loyal",IF(AND(E380&gt;=4,F380&lt;=2),"New customers",IF(AND(E380=3,F380&lt;=2),"Potential",IF(AND(E380&lt;=2,F380&gt;=3),"At risk","Inactive")))))</f>
        <v/>
      </c>
    </row>
    <row r="381">
      <c r="A381" s="10" t="inlineStr">
        <is>
          <t>C1373</t>
        </is>
      </c>
      <c r="B381" s="19">
        <f>$B$4-_xlfn.MAXIFS('Clean Data'!$B$2:$B$1565,'Clean Data'!$C$2:$C$1565,$A381)</f>
        <v/>
      </c>
      <c r="C381" s="10">
        <f>COUNTIF('Clean Data'!$C$2:$C$1565,$A381)</f>
        <v/>
      </c>
      <c r="D381" s="20">
        <f>SUMIF('Clean Data'!$C$2:$C$1565,$A381,'Clean Data'!$K$2:$K$1565)</f>
        <v/>
      </c>
      <c r="E381" s="10">
        <f>IF(B381&lt;=$K$6,5,IF(B381&lt;=$K$7,4,IF(B381&lt;=$K$8,3,IF(B381&lt;=$K$9,2,1))))</f>
        <v/>
      </c>
      <c r="F381" s="10">
        <f>IF(C381&gt;=$L$9,5,IF(C381&gt;=$L$8,4,IF(C381&gt;=$L$7,3,IF(C381&gt;=$L$6,2,1))))</f>
        <v/>
      </c>
      <c r="G381" s="10">
        <f>IF(D381&gt;=$M$9,5,IF(D381&gt;=$M$8,4,IF(D381&gt;=$M$7,3,IF(D381&gt;=$M$6,2,1))))</f>
        <v/>
      </c>
      <c r="H381" s="10">
        <f>IF(AND(E381&gt;=4,F381&gt;=4),"Champions",IF(AND(E381&gt;=3,F381&gt;=3),"Loyal",IF(AND(E381&gt;=4,F381&lt;=2),"New customers",IF(AND(E381=3,F381&lt;=2),"Potential",IF(AND(E381&lt;=2,F381&gt;=3),"At risk","Inactive")))))</f>
        <v/>
      </c>
    </row>
    <row r="382">
      <c r="A382" s="10" t="inlineStr">
        <is>
          <t>C1374</t>
        </is>
      </c>
      <c r="B382" s="19">
        <f>$B$4-_xlfn.MAXIFS('Clean Data'!$B$2:$B$1565,'Clean Data'!$C$2:$C$1565,$A382)</f>
        <v/>
      </c>
      <c r="C382" s="10">
        <f>COUNTIF('Clean Data'!$C$2:$C$1565,$A382)</f>
        <v/>
      </c>
      <c r="D382" s="20">
        <f>SUMIF('Clean Data'!$C$2:$C$1565,$A382,'Clean Data'!$K$2:$K$1565)</f>
        <v/>
      </c>
      <c r="E382" s="10">
        <f>IF(B382&lt;=$K$6,5,IF(B382&lt;=$K$7,4,IF(B382&lt;=$K$8,3,IF(B382&lt;=$K$9,2,1))))</f>
        <v/>
      </c>
      <c r="F382" s="10">
        <f>IF(C382&gt;=$L$9,5,IF(C382&gt;=$L$8,4,IF(C382&gt;=$L$7,3,IF(C382&gt;=$L$6,2,1))))</f>
        <v/>
      </c>
      <c r="G382" s="10">
        <f>IF(D382&gt;=$M$9,5,IF(D382&gt;=$M$8,4,IF(D382&gt;=$M$7,3,IF(D382&gt;=$M$6,2,1))))</f>
        <v/>
      </c>
      <c r="H382" s="10">
        <f>IF(AND(E382&gt;=4,F382&gt;=4),"Champions",IF(AND(E382&gt;=3,F382&gt;=3),"Loyal",IF(AND(E382&gt;=4,F382&lt;=2),"New customers",IF(AND(E382=3,F382&lt;=2),"Potential",IF(AND(E382&lt;=2,F382&gt;=3),"At risk","Inactive")))))</f>
        <v/>
      </c>
    </row>
    <row r="383">
      <c r="A383" s="10" t="inlineStr">
        <is>
          <t>C1375</t>
        </is>
      </c>
      <c r="B383" s="19">
        <f>$B$4-_xlfn.MAXIFS('Clean Data'!$B$2:$B$1565,'Clean Data'!$C$2:$C$1565,$A383)</f>
        <v/>
      </c>
      <c r="C383" s="10">
        <f>COUNTIF('Clean Data'!$C$2:$C$1565,$A383)</f>
        <v/>
      </c>
      <c r="D383" s="20">
        <f>SUMIF('Clean Data'!$C$2:$C$1565,$A383,'Clean Data'!$K$2:$K$1565)</f>
        <v/>
      </c>
      <c r="E383" s="10">
        <f>IF(B383&lt;=$K$6,5,IF(B383&lt;=$K$7,4,IF(B383&lt;=$K$8,3,IF(B383&lt;=$K$9,2,1))))</f>
        <v/>
      </c>
      <c r="F383" s="10">
        <f>IF(C383&gt;=$L$9,5,IF(C383&gt;=$L$8,4,IF(C383&gt;=$L$7,3,IF(C383&gt;=$L$6,2,1))))</f>
        <v/>
      </c>
      <c r="G383" s="10">
        <f>IF(D383&gt;=$M$9,5,IF(D383&gt;=$M$8,4,IF(D383&gt;=$M$7,3,IF(D383&gt;=$M$6,2,1))))</f>
        <v/>
      </c>
      <c r="H383" s="10">
        <f>IF(AND(E383&gt;=4,F383&gt;=4),"Champions",IF(AND(E383&gt;=3,F383&gt;=3),"Loyal",IF(AND(E383&gt;=4,F383&lt;=2),"New customers",IF(AND(E383=3,F383&lt;=2),"Potential",IF(AND(E383&lt;=2,F383&gt;=3),"At risk","Inactive")))))</f>
        <v/>
      </c>
    </row>
    <row r="384">
      <c r="A384" s="10" t="inlineStr">
        <is>
          <t>C1376</t>
        </is>
      </c>
      <c r="B384" s="19">
        <f>$B$4-_xlfn.MAXIFS('Clean Data'!$B$2:$B$1565,'Clean Data'!$C$2:$C$1565,$A384)</f>
        <v/>
      </c>
      <c r="C384" s="10">
        <f>COUNTIF('Clean Data'!$C$2:$C$1565,$A384)</f>
        <v/>
      </c>
      <c r="D384" s="20">
        <f>SUMIF('Clean Data'!$C$2:$C$1565,$A384,'Clean Data'!$K$2:$K$1565)</f>
        <v/>
      </c>
      <c r="E384" s="10">
        <f>IF(B384&lt;=$K$6,5,IF(B384&lt;=$K$7,4,IF(B384&lt;=$K$8,3,IF(B384&lt;=$K$9,2,1))))</f>
        <v/>
      </c>
      <c r="F384" s="10">
        <f>IF(C384&gt;=$L$9,5,IF(C384&gt;=$L$8,4,IF(C384&gt;=$L$7,3,IF(C384&gt;=$L$6,2,1))))</f>
        <v/>
      </c>
      <c r="G384" s="10">
        <f>IF(D384&gt;=$M$9,5,IF(D384&gt;=$M$8,4,IF(D384&gt;=$M$7,3,IF(D384&gt;=$M$6,2,1))))</f>
        <v/>
      </c>
      <c r="H384" s="10">
        <f>IF(AND(E384&gt;=4,F384&gt;=4),"Champions",IF(AND(E384&gt;=3,F384&gt;=3),"Loyal",IF(AND(E384&gt;=4,F384&lt;=2),"New customers",IF(AND(E384=3,F384&lt;=2),"Potential",IF(AND(E384&lt;=2,F384&gt;=3),"At risk","Inactive")))))</f>
        <v/>
      </c>
    </row>
    <row r="385">
      <c r="A385" s="10" t="inlineStr">
        <is>
          <t>C1377</t>
        </is>
      </c>
      <c r="B385" s="19">
        <f>$B$4-_xlfn.MAXIFS('Clean Data'!$B$2:$B$1565,'Clean Data'!$C$2:$C$1565,$A385)</f>
        <v/>
      </c>
      <c r="C385" s="10">
        <f>COUNTIF('Clean Data'!$C$2:$C$1565,$A385)</f>
        <v/>
      </c>
      <c r="D385" s="20">
        <f>SUMIF('Clean Data'!$C$2:$C$1565,$A385,'Clean Data'!$K$2:$K$1565)</f>
        <v/>
      </c>
      <c r="E385" s="10">
        <f>IF(B385&lt;=$K$6,5,IF(B385&lt;=$K$7,4,IF(B385&lt;=$K$8,3,IF(B385&lt;=$K$9,2,1))))</f>
        <v/>
      </c>
      <c r="F385" s="10">
        <f>IF(C385&gt;=$L$9,5,IF(C385&gt;=$L$8,4,IF(C385&gt;=$L$7,3,IF(C385&gt;=$L$6,2,1))))</f>
        <v/>
      </c>
      <c r="G385" s="10">
        <f>IF(D385&gt;=$M$9,5,IF(D385&gt;=$M$8,4,IF(D385&gt;=$M$7,3,IF(D385&gt;=$M$6,2,1))))</f>
        <v/>
      </c>
      <c r="H385" s="10">
        <f>IF(AND(E385&gt;=4,F385&gt;=4),"Champions",IF(AND(E385&gt;=3,F385&gt;=3),"Loyal",IF(AND(E385&gt;=4,F385&lt;=2),"New customers",IF(AND(E385=3,F385&lt;=2),"Potential",IF(AND(E385&lt;=2,F385&gt;=3),"At risk","Inactive")))))</f>
        <v/>
      </c>
    </row>
    <row r="386">
      <c r="A386" s="10" t="inlineStr">
        <is>
          <t>C1378</t>
        </is>
      </c>
      <c r="B386" s="19">
        <f>$B$4-_xlfn.MAXIFS('Clean Data'!$B$2:$B$1565,'Clean Data'!$C$2:$C$1565,$A386)</f>
        <v/>
      </c>
      <c r="C386" s="10">
        <f>COUNTIF('Clean Data'!$C$2:$C$1565,$A386)</f>
        <v/>
      </c>
      <c r="D386" s="20">
        <f>SUMIF('Clean Data'!$C$2:$C$1565,$A386,'Clean Data'!$K$2:$K$1565)</f>
        <v/>
      </c>
      <c r="E386" s="10">
        <f>IF(B386&lt;=$K$6,5,IF(B386&lt;=$K$7,4,IF(B386&lt;=$K$8,3,IF(B386&lt;=$K$9,2,1))))</f>
        <v/>
      </c>
      <c r="F386" s="10">
        <f>IF(C386&gt;=$L$9,5,IF(C386&gt;=$L$8,4,IF(C386&gt;=$L$7,3,IF(C386&gt;=$L$6,2,1))))</f>
        <v/>
      </c>
      <c r="G386" s="10">
        <f>IF(D386&gt;=$M$9,5,IF(D386&gt;=$M$8,4,IF(D386&gt;=$M$7,3,IF(D386&gt;=$M$6,2,1))))</f>
        <v/>
      </c>
      <c r="H386" s="10">
        <f>IF(AND(E386&gt;=4,F386&gt;=4),"Champions",IF(AND(E386&gt;=3,F386&gt;=3),"Loyal",IF(AND(E386&gt;=4,F386&lt;=2),"New customers",IF(AND(E386=3,F386&lt;=2),"Potential",IF(AND(E386&lt;=2,F386&gt;=3),"At risk","Inactive")))))</f>
        <v/>
      </c>
    </row>
    <row r="387">
      <c r="A387" s="10" t="inlineStr">
        <is>
          <t>C1379</t>
        </is>
      </c>
      <c r="B387" s="19">
        <f>$B$4-_xlfn.MAXIFS('Clean Data'!$B$2:$B$1565,'Clean Data'!$C$2:$C$1565,$A387)</f>
        <v/>
      </c>
      <c r="C387" s="10">
        <f>COUNTIF('Clean Data'!$C$2:$C$1565,$A387)</f>
        <v/>
      </c>
      <c r="D387" s="20">
        <f>SUMIF('Clean Data'!$C$2:$C$1565,$A387,'Clean Data'!$K$2:$K$1565)</f>
        <v/>
      </c>
      <c r="E387" s="10">
        <f>IF(B387&lt;=$K$6,5,IF(B387&lt;=$K$7,4,IF(B387&lt;=$K$8,3,IF(B387&lt;=$K$9,2,1))))</f>
        <v/>
      </c>
      <c r="F387" s="10">
        <f>IF(C387&gt;=$L$9,5,IF(C387&gt;=$L$8,4,IF(C387&gt;=$L$7,3,IF(C387&gt;=$L$6,2,1))))</f>
        <v/>
      </c>
      <c r="G387" s="10">
        <f>IF(D387&gt;=$M$9,5,IF(D387&gt;=$M$8,4,IF(D387&gt;=$M$7,3,IF(D387&gt;=$M$6,2,1))))</f>
        <v/>
      </c>
      <c r="H387" s="10">
        <f>IF(AND(E387&gt;=4,F387&gt;=4),"Champions",IF(AND(E387&gt;=3,F387&gt;=3),"Loyal",IF(AND(E387&gt;=4,F387&lt;=2),"New customers",IF(AND(E387=3,F387&lt;=2),"Potential",IF(AND(E387&lt;=2,F387&gt;=3),"At risk","Inactive")))))</f>
        <v/>
      </c>
    </row>
    <row r="388">
      <c r="A388" s="10" t="inlineStr">
        <is>
          <t>C1380</t>
        </is>
      </c>
      <c r="B388" s="19">
        <f>$B$4-_xlfn.MAXIFS('Clean Data'!$B$2:$B$1565,'Clean Data'!$C$2:$C$1565,$A388)</f>
        <v/>
      </c>
      <c r="C388" s="10">
        <f>COUNTIF('Clean Data'!$C$2:$C$1565,$A388)</f>
        <v/>
      </c>
      <c r="D388" s="20">
        <f>SUMIF('Clean Data'!$C$2:$C$1565,$A388,'Clean Data'!$K$2:$K$1565)</f>
        <v/>
      </c>
      <c r="E388" s="10">
        <f>IF(B388&lt;=$K$6,5,IF(B388&lt;=$K$7,4,IF(B388&lt;=$K$8,3,IF(B388&lt;=$K$9,2,1))))</f>
        <v/>
      </c>
      <c r="F388" s="10">
        <f>IF(C388&gt;=$L$9,5,IF(C388&gt;=$L$8,4,IF(C388&gt;=$L$7,3,IF(C388&gt;=$L$6,2,1))))</f>
        <v/>
      </c>
      <c r="G388" s="10">
        <f>IF(D388&gt;=$M$9,5,IF(D388&gt;=$M$8,4,IF(D388&gt;=$M$7,3,IF(D388&gt;=$M$6,2,1))))</f>
        <v/>
      </c>
      <c r="H388" s="10">
        <f>IF(AND(E388&gt;=4,F388&gt;=4),"Champions",IF(AND(E388&gt;=3,F388&gt;=3),"Loyal",IF(AND(E388&gt;=4,F388&lt;=2),"New customers",IF(AND(E388=3,F388&lt;=2),"Potential",IF(AND(E388&lt;=2,F388&gt;=3),"At risk","Inactive")))))</f>
        <v/>
      </c>
    </row>
    <row r="389">
      <c r="A389" s="10" t="inlineStr">
        <is>
          <t>C1381</t>
        </is>
      </c>
      <c r="B389" s="19">
        <f>$B$4-_xlfn.MAXIFS('Clean Data'!$B$2:$B$1565,'Clean Data'!$C$2:$C$1565,$A389)</f>
        <v/>
      </c>
      <c r="C389" s="10">
        <f>COUNTIF('Clean Data'!$C$2:$C$1565,$A389)</f>
        <v/>
      </c>
      <c r="D389" s="20">
        <f>SUMIF('Clean Data'!$C$2:$C$1565,$A389,'Clean Data'!$K$2:$K$1565)</f>
        <v/>
      </c>
      <c r="E389" s="10">
        <f>IF(B389&lt;=$K$6,5,IF(B389&lt;=$K$7,4,IF(B389&lt;=$K$8,3,IF(B389&lt;=$K$9,2,1))))</f>
        <v/>
      </c>
      <c r="F389" s="10">
        <f>IF(C389&gt;=$L$9,5,IF(C389&gt;=$L$8,4,IF(C389&gt;=$L$7,3,IF(C389&gt;=$L$6,2,1))))</f>
        <v/>
      </c>
      <c r="G389" s="10">
        <f>IF(D389&gt;=$M$9,5,IF(D389&gt;=$M$8,4,IF(D389&gt;=$M$7,3,IF(D389&gt;=$M$6,2,1))))</f>
        <v/>
      </c>
      <c r="H389" s="10">
        <f>IF(AND(E389&gt;=4,F389&gt;=4),"Champions",IF(AND(E389&gt;=3,F389&gt;=3),"Loyal",IF(AND(E389&gt;=4,F389&lt;=2),"New customers",IF(AND(E389=3,F389&lt;=2),"Potential",IF(AND(E389&lt;=2,F389&gt;=3),"At risk","Inactive")))))</f>
        <v/>
      </c>
    </row>
    <row r="390">
      <c r="A390" s="10" t="inlineStr">
        <is>
          <t>C1382</t>
        </is>
      </c>
      <c r="B390" s="19">
        <f>$B$4-_xlfn.MAXIFS('Clean Data'!$B$2:$B$1565,'Clean Data'!$C$2:$C$1565,$A390)</f>
        <v/>
      </c>
      <c r="C390" s="10">
        <f>COUNTIF('Clean Data'!$C$2:$C$1565,$A390)</f>
        <v/>
      </c>
      <c r="D390" s="20">
        <f>SUMIF('Clean Data'!$C$2:$C$1565,$A390,'Clean Data'!$K$2:$K$1565)</f>
        <v/>
      </c>
      <c r="E390" s="10">
        <f>IF(B390&lt;=$K$6,5,IF(B390&lt;=$K$7,4,IF(B390&lt;=$K$8,3,IF(B390&lt;=$K$9,2,1))))</f>
        <v/>
      </c>
      <c r="F390" s="10">
        <f>IF(C390&gt;=$L$9,5,IF(C390&gt;=$L$8,4,IF(C390&gt;=$L$7,3,IF(C390&gt;=$L$6,2,1))))</f>
        <v/>
      </c>
      <c r="G390" s="10">
        <f>IF(D390&gt;=$M$9,5,IF(D390&gt;=$M$8,4,IF(D390&gt;=$M$7,3,IF(D390&gt;=$M$6,2,1))))</f>
        <v/>
      </c>
      <c r="H390" s="10">
        <f>IF(AND(E390&gt;=4,F390&gt;=4),"Champions",IF(AND(E390&gt;=3,F390&gt;=3),"Loyal",IF(AND(E390&gt;=4,F390&lt;=2),"New customers",IF(AND(E390=3,F390&lt;=2),"Potential",IF(AND(E390&lt;=2,F390&gt;=3),"At risk","Inactive")))))</f>
        <v/>
      </c>
    </row>
    <row r="391">
      <c r="A391" s="10" t="inlineStr">
        <is>
          <t>C1383</t>
        </is>
      </c>
      <c r="B391" s="19">
        <f>$B$4-_xlfn.MAXIFS('Clean Data'!$B$2:$B$1565,'Clean Data'!$C$2:$C$1565,$A391)</f>
        <v/>
      </c>
      <c r="C391" s="10">
        <f>COUNTIF('Clean Data'!$C$2:$C$1565,$A391)</f>
        <v/>
      </c>
      <c r="D391" s="20">
        <f>SUMIF('Clean Data'!$C$2:$C$1565,$A391,'Clean Data'!$K$2:$K$1565)</f>
        <v/>
      </c>
      <c r="E391" s="10">
        <f>IF(B391&lt;=$K$6,5,IF(B391&lt;=$K$7,4,IF(B391&lt;=$K$8,3,IF(B391&lt;=$K$9,2,1))))</f>
        <v/>
      </c>
      <c r="F391" s="10">
        <f>IF(C391&gt;=$L$9,5,IF(C391&gt;=$L$8,4,IF(C391&gt;=$L$7,3,IF(C391&gt;=$L$6,2,1))))</f>
        <v/>
      </c>
      <c r="G391" s="10">
        <f>IF(D391&gt;=$M$9,5,IF(D391&gt;=$M$8,4,IF(D391&gt;=$M$7,3,IF(D391&gt;=$M$6,2,1))))</f>
        <v/>
      </c>
      <c r="H391" s="10">
        <f>IF(AND(E391&gt;=4,F391&gt;=4),"Champions",IF(AND(E391&gt;=3,F391&gt;=3),"Loyal",IF(AND(E391&gt;=4,F391&lt;=2),"New customers",IF(AND(E391=3,F391&lt;=2),"Potential",IF(AND(E391&lt;=2,F391&gt;=3),"At risk","Inactive")))))</f>
        <v/>
      </c>
    </row>
    <row r="392">
      <c r="A392" s="10" t="inlineStr">
        <is>
          <t>C1384</t>
        </is>
      </c>
      <c r="B392" s="19">
        <f>$B$4-_xlfn.MAXIFS('Clean Data'!$B$2:$B$1565,'Clean Data'!$C$2:$C$1565,$A392)</f>
        <v/>
      </c>
      <c r="C392" s="10">
        <f>COUNTIF('Clean Data'!$C$2:$C$1565,$A392)</f>
        <v/>
      </c>
      <c r="D392" s="20">
        <f>SUMIF('Clean Data'!$C$2:$C$1565,$A392,'Clean Data'!$K$2:$K$1565)</f>
        <v/>
      </c>
      <c r="E392" s="10">
        <f>IF(B392&lt;=$K$6,5,IF(B392&lt;=$K$7,4,IF(B392&lt;=$K$8,3,IF(B392&lt;=$K$9,2,1))))</f>
        <v/>
      </c>
      <c r="F392" s="10">
        <f>IF(C392&gt;=$L$9,5,IF(C392&gt;=$L$8,4,IF(C392&gt;=$L$7,3,IF(C392&gt;=$L$6,2,1))))</f>
        <v/>
      </c>
      <c r="G392" s="10">
        <f>IF(D392&gt;=$M$9,5,IF(D392&gt;=$M$8,4,IF(D392&gt;=$M$7,3,IF(D392&gt;=$M$6,2,1))))</f>
        <v/>
      </c>
      <c r="H392" s="10">
        <f>IF(AND(E392&gt;=4,F392&gt;=4),"Champions",IF(AND(E392&gt;=3,F392&gt;=3),"Loyal",IF(AND(E392&gt;=4,F392&lt;=2),"New customers",IF(AND(E392=3,F392&lt;=2),"Potential",IF(AND(E392&lt;=2,F392&gt;=3),"At risk","Inactive")))))</f>
        <v/>
      </c>
    </row>
    <row r="393">
      <c r="A393" s="10" t="inlineStr">
        <is>
          <t>C1385</t>
        </is>
      </c>
      <c r="B393" s="19">
        <f>$B$4-_xlfn.MAXIFS('Clean Data'!$B$2:$B$1565,'Clean Data'!$C$2:$C$1565,$A393)</f>
        <v/>
      </c>
      <c r="C393" s="10">
        <f>COUNTIF('Clean Data'!$C$2:$C$1565,$A393)</f>
        <v/>
      </c>
      <c r="D393" s="20">
        <f>SUMIF('Clean Data'!$C$2:$C$1565,$A393,'Clean Data'!$K$2:$K$1565)</f>
        <v/>
      </c>
      <c r="E393" s="10">
        <f>IF(B393&lt;=$K$6,5,IF(B393&lt;=$K$7,4,IF(B393&lt;=$K$8,3,IF(B393&lt;=$K$9,2,1))))</f>
        <v/>
      </c>
      <c r="F393" s="10">
        <f>IF(C393&gt;=$L$9,5,IF(C393&gt;=$L$8,4,IF(C393&gt;=$L$7,3,IF(C393&gt;=$L$6,2,1))))</f>
        <v/>
      </c>
      <c r="G393" s="10">
        <f>IF(D393&gt;=$M$9,5,IF(D393&gt;=$M$8,4,IF(D393&gt;=$M$7,3,IF(D393&gt;=$M$6,2,1))))</f>
        <v/>
      </c>
      <c r="H393" s="10">
        <f>IF(AND(E393&gt;=4,F393&gt;=4),"Champions",IF(AND(E393&gt;=3,F393&gt;=3),"Loyal",IF(AND(E393&gt;=4,F393&lt;=2),"New customers",IF(AND(E393=3,F393&lt;=2),"Potential",IF(AND(E393&lt;=2,F393&gt;=3),"At risk","Inactive")))))</f>
        <v/>
      </c>
    </row>
    <row r="394">
      <c r="A394" s="10" t="inlineStr">
        <is>
          <t>C1386</t>
        </is>
      </c>
      <c r="B394" s="19">
        <f>$B$4-_xlfn.MAXIFS('Clean Data'!$B$2:$B$1565,'Clean Data'!$C$2:$C$1565,$A394)</f>
        <v/>
      </c>
      <c r="C394" s="10">
        <f>COUNTIF('Clean Data'!$C$2:$C$1565,$A394)</f>
        <v/>
      </c>
      <c r="D394" s="20">
        <f>SUMIF('Clean Data'!$C$2:$C$1565,$A394,'Clean Data'!$K$2:$K$1565)</f>
        <v/>
      </c>
      <c r="E394" s="10">
        <f>IF(B394&lt;=$K$6,5,IF(B394&lt;=$K$7,4,IF(B394&lt;=$K$8,3,IF(B394&lt;=$K$9,2,1))))</f>
        <v/>
      </c>
      <c r="F394" s="10">
        <f>IF(C394&gt;=$L$9,5,IF(C394&gt;=$L$8,4,IF(C394&gt;=$L$7,3,IF(C394&gt;=$L$6,2,1))))</f>
        <v/>
      </c>
      <c r="G394" s="10">
        <f>IF(D394&gt;=$M$9,5,IF(D394&gt;=$M$8,4,IF(D394&gt;=$M$7,3,IF(D394&gt;=$M$6,2,1))))</f>
        <v/>
      </c>
      <c r="H394" s="10">
        <f>IF(AND(E394&gt;=4,F394&gt;=4),"Champions",IF(AND(E394&gt;=3,F394&gt;=3),"Loyal",IF(AND(E394&gt;=4,F394&lt;=2),"New customers",IF(AND(E394=3,F394&lt;=2),"Potential",IF(AND(E394&lt;=2,F394&gt;=3),"At risk","Inactive")))))</f>
        <v/>
      </c>
    </row>
    <row r="395">
      <c r="A395" s="10" t="inlineStr">
        <is>
          <t>C1387</t>
        </is>
      </c>
      <c r="B395" s="19">
        <f>$B$4-_xlfn.MAXIFS('Clean Data'!$B$2:$B$1565,'Clean Data'!$C$2:$C$1565,$A395)</f>
        <v/>
      </c>
      <c r="C395" s="10">
        <f>COUNTIF('Clean Data'!$C$2:$C$1565,$A395)</f>
        <v/>
      </c>
      <c r="D395" s="20">
        <f>SUMIF('Clean Data'!$C$2:$C$1565,$A395,'Clean Data'!$K$2:$K$1565)</f>
        <v/>
      </c>
      <c r="E395" s="10">
        <f>IF(B395&lt;=$K$6,5,IF(B395&lt;=$K$7,4,IF(B395&lt;=$K$8,3,IF(B395&lt;=$K$9,2,1))))</f>
        <v/>
      </c>
      <c r="F395" s="10">
        <f>IF(C395&gt;=$L$9,5,IF(C395&gt;=$L$8,4,IF(C395&gt;=$L$7,3,IF(C395&gt;=$L$6,2,1))))</f>
        <v/>
      </c>
      <c r="G395" s="10">
        <f>IF(D395&gt;=$M$9,5,IF(D395&gt;=$M$8,4,IF(D395&gt;=$M$7,3,IF(D395&gt;=$M$6,2,1))))</f>
        <v/>
      </c>
      <c r="H395" s="10">
        <f>IF(AND(E395&gt;=4,F395&gt;=4),"Champions",IF(AND(E395&gt;=3,F395&gt;=3),"Loyal",IF(AND(E395&gt;=4,F395&lt;=2),"New customers",IF(AND(E395=3,F395&lt;=2),"Potential",IF(AND(E395&lt;=2,F395&gt;=3),"At risk","Inactive")))))</f>
        <v/>
      </c>
    </row>
    <row r="396">
      <c r="A396" s="10" t="inlineStr">
        <is>
          <t>C1388</t>
        </is>
      </c>
      <c r="B396" s="19">
        <f>$B$4-_xlfn.MAXIFS('Clean Data'!$B$2:$B$1565,'Clean Data'!$C$2:$C$1565,$A396)</f>
        <v/>
      </c>
      <c r="C396" s="10">
        <f>COUNTIF('Clean Data'!$C$2:$C$1565,$A396)</f>
        <v/>
      </c>
      <c r="D396" s="20">
        <f>SUMIF('Clean Data'!$C$2:$C$1565,$A396,'Clean Data'!$K$2:$K$1565)</f>
        <v/>
      </c>
      <c r="E396" s="10">
        <f>IF(B396&lt;=$K$6,5,IF(B396&lt;=$K$7,4,IF(B396&lt;=$K$8,3,IF(B396&lt;=$K$9,2,1))))</f>
        <v/>
      </c>
      <c r="F396" s="10">
        <f>IF(C396&gt;=$L$9,5,IF(C396&gt;=$L$8,4,IF(C396&gt;=$L$7,3,IF(C396&gt;=$L$6,2,1))))</f>
        <v/>
      </c>
      <c r="G396" s="10">
        <f>IF(D396&gt;=$M$9,5,IF(D396&gt;=$M$8,4,IF(D396&gt;=$M$7,3,IF(D396&gt;=$M$6,2,1))))</f>
        <v/>
      </c>
      <c r="H396" s="10">
        <f>IF(AND(E396&gt;=4,F396&gt;=4),"Champions",IF(AND(E396&gt;=3,F396&gt;=3),"Loyal",IF(AND(E396&gt;=4,F396&lt;=2),"New customers",IF(AND(E396=3,F396&lt;=2),"Potential",IF(AND(E396&lt;=2,F396&gt;=3),"At risk","Inactive")))))</f>
        <v/>
      </c>
    </row>
    <row r="397">
      <c r="A397" s="10" t="inlineStr">
        <is>
          <t>C1389</t>
        </is>
      </c>
      <c r="B397" s="19">
        <f>$B$4-_xlfn.MAXIFS('Clean Data'!$B$2:$B$1565,'Clean Data'!$C$2:$C$1565,$A397)</f>
        <v/>
      </c>
      <c r="C397" s="10">
        <f>COUNTIF('Clean Data'!$C$2:$C$1565,$A397)</f>
        <v/>
      </c>
      <c r="D397" s="20">
        <f>SUMIF('Clean Data'!$C$2:$C$1565,$A397,'Clean Data'!$K$2:$K$1565)</f>
        <v/>
      </c>
      <c r="E397" s="10">
        <f>IF(B397&lt;=$K$6,5,IF(B397&lt;=$K$7,4,IF(B397&lt;=$K$8,3,IF(B397&lt;=$K$9,2,1))))</f>
        <v/>
      </c>
      <c r="F397" s="10">
        <f>IF(C397&gt;=$L$9,5,IF(C397&gt;=$L$8,4,IF(C397&gt;=$L$7,3,IF(C397&gt;=$L$6,2,1))))</f>
        <v/>
      </c>
      <c r="G397" s="10">
        <f>IF(D397&gt;=$M$9,5,IF(D397&gt;=$M$8,4,IF(D397&gt;=$M$7,3,IF(D397&gt;=$M$6,2,1))))</f>
        <v/>
      </c>
      <c r="H397" s="10">
        <f>IF(AND(E397&gt;=4,F397&gt;=4),"Champions",IF(AND(E397&gt;=3,F397&gt;=3),"Loyal",IF(AND(E397&gt;=4,F397&lt;=2),"New customers",IF(AND(E397=3,F397&lt;=2),"Potential",IF(AND(E397&lt;=2,F397&gt;=3),"At risk","Inactive")))))</f>
        <v/>
      </c>
    </row>
    <row r="398">
      <c r="A398" s="10" t="inlineStr">
        <is>
          <t>C1390</t>
        </is>
      </c>
      <c r="B398" s="19">
        <f>$B$4-_xlfn.MAXIFS('Clean Data'!$B$2:$B$1565,'Clean Data'!$C$2:$C$1565,$A398)</f>
        <v/>
      </c>
      <c r="C398" s="10">
        <f>COUNTIF('Clean Data'!$C$2:$C$1565,$A398)</f>
        <v/>
      </c>
      <c r="D398" s="20">
        <f>SUMIF('Clean Data'!$C$2:$C$1565,$A398,'Clean Data'!$K$2:$K$1565)</f>
        <v/>
      </c>
      <c r="E398" s="10">
        <f>IF(B398&lt;=$K$6,5,IF(B398&lt;=$K$7,4,IF(B398&lt;=$K$8,3,IF(B398&lt;=$K$9,2,1))))</f>
        <v/>
      </c>
      <c r="F398" s="10">
        <f>IF(C398&gt;=$L$9,5,IF(C398&gt;=$L$8,4,IF(C398&gt;=$L$7,3,IF(C398&gt;=$L$6,2,1))))</f>
        <v/>
      </c>
      <c r="G398" s="10">
        <f>IF(D398&gt;=$M$9,5,IF(D398&gt;=$M$8,4,IF(D398&gt;=$M$7,3,IF(D398&gt;=$M$6,2,1))))</f>
        <v/>
      </c>
      <c r="H398" s="10">
        <f>IF(AND(E398&gt;=4,F398&gt;=4),"Champions",IF(AND(E398&gt;=3,F398&gt;=3),"Loyal",IF(AND(E398&gt;=4,F398&lt;=2),"New customers",IF(AND(E398=3,F398&lt;=2),"Potential",IF(AND(E398&lt;=2,F398&gt;=3),"At risk","Inactive")))))</f>
        <v/>
      </c>
    </row>
    <row r="399">
      <c r="A399" s="10" t="inlineStr">
        <is>
          <t>C1391</t>
        </is>
      </c>
      <c r="B399" s="19">
        <f>$B$4-_xlfn.MAXIFS('Clean Data'!$B$2:$B$1565,'Clean Data'!$C$2:$C$1565,$A399)</f>
        <v/>
      </c>
      <c r="C399" s="10">
        <f>COUNTIF('Clean Data'!$C$2:$C$1565,$A399)</f>
        <v/>
      </c>
      <c r="D399" s="20">
        <f>SUMIF('Clean Data'!$C$2:$C$1565,$A399,'Clean Data'!$K$2:$K$1565)</f>
        <v/>
      </c>
      <c r="E399" s="10">
        <f>IF(B399&lt;=$K$6,5,IF(B399&lt;=$K$7,4,IF(B399&lt;=$K$8,3,IF(B399&lt;=$K$9,2,1))))</f>
        <v/>
      </c>
      <c r="F399" s="10">
        <f>IF(C399&gt;=$L$9,5,IF(C399&gt;=$L$8,4,IF(C399&gt;=$L$7,3,IF(C399&gt;=$L$6,2,1))))</f>
        <v/>
      </c>
      <c r="G399" s="10">
        <f>IF(D399&gt;=$M$9,5,IF(D399&gt;=$M$8,4,IF(D399&gt;=$M$7,3,IF(D399&gt;=$M$6,2,1))))</f>
        <v/>
      </c>
      <c r="H399" s="10">
        <f>IF(AND(E399&gt;=4,F399&gt;=4),"Champions",IF(AND(E399&gt;=3,F399&gt;=3),"Loyal",IF(AND(E399&gt;=4,F399&lt;=2),"New customers",IF(AND(E399=3,F399&lt;=2),"Potential",IF(AND(E399&lt;=2,F399&gt;=3),"At risk","Inactive")))))</f>
        <v/>
      </c>
    </row>
    <row r="400">
      <c r="A400" s="10" t="inlineStr">
        <is>
          <t>C1392</t>
        </is>
      </c>
      <c r="B400" s="19">
        <f>$B$4-_xlfn.MAXIFS('Clean Data'!$B$2:$B$1565,'Clean Data'!$C$2:$C$1565,$A400)</f>
        <v/>
      </c>
      <c r="C400" s="10">
        <f>COUNTIF('Clean Data'!$C$2:$C$1565,$A400)</f>
        <v/>
      </c>
      <c r="D400" s="20">
        <f>SUMIF('Clean Data'!$C$2:$C$1565,$A400,'Clean Data'!$K$2:$K$1565)</f>
        <v/>
      </c>
      <c r="E400" s="10">
        <f>IF(B400&lt;=$K$6,5,IF(B400&lt;=$K$7,4,IF(B400&lt;=$K$8,3,IF(B400&lt;=$K$9,2,1))))</f>
        <v/>
      </c>
      <c r="F400" s="10">
        <f>IF(C400&gt;=$L$9,5,IF(C400&gt;=$L$8,4,IF(C400&gt;=$L$7,3,IF(C400&gt;=$L$6,2,1))))</f>
        <v/>
      </c>
      <c r="G400" s="10">
        <f>IF(D400&gt;=$M$9,5,IF(D400&gt;=$M$8,4,IF(D400&gt;=$M$7,3,IF(D400&gt;=$M$6,2,1))))</f>
        <v/>
      </c>
      <c r="H400" s="10">
        <f>IF(AND(E400&gt;=4,F400&gt;=4),"Champions",IF(AND(E400&gt;=3,F400&gt;=3),"Loyal",IF(AND(E400&gt;=4,F400&lt;=2),"New customers",IF(AND(E400=3,F400&lt;=2),"Potential",IF(AND(E400&lt;=2,F400&gt;=3),"At risk","Inactive")))))</f>
        <v/>
      </c>
    </row>
    <row r="401">
      <c r="A401" s="10" t="inlineStr">
        <is>
          <t>C1393</t>
        </is>
      </c>
      <c r="B401" s="19">
        <f>$B$4-_xlfn.MAXIFS('Clean Data'!$B$2:$B$1565,'Clean Data'!$C$2:$C$1565,$A401)</f>
        <v/>
      </c>
      <c r="C401" s="10">
        <f>COUNTIF('Clean Data'!$C$2:$C$1565,$A401)</f>
        <v/>
      </c>
      <c r="D401" s="20">
        <f>SUMIF('Clean Data'!$C$2:$C$1565,$A401,'Clean Data'!$K$2:$K$1565)</f>
        <v/>
      </c>
      <c r="E401" s="10">
        <f>IF(B401&lt;=$K$6,5,IF(B401&lt;=$K$7,4,IF(B401&lt;=$K$8,3,IF(B401&lt;=$K$9,2,1))))</f>
        <v/>
      </c>
      <c r="F401" s="10">
        <f>IF(C401&gt;=$L$9,5,IF(C401&gt;=$L$8,4,IF(C401&gt;=$L$7,3,IF(C401&gt;=$L$6,2,1))))</f>
        <v/>
      </c>
      <c r="G401" s="10">
        <f>IF(D401&gt;=$M$9,5,IF(D401&gt;=$M$8,4,IF(D401&gt;=$M$7,3,IF(D401&gt;=$M$6,2,1))))</f>
        <v/>
      </c>
      <c r="H401" s="10">
        <f>IF(AND(E401&gt;=4,F401&gt;=4),"Champions",IF(AND(E401&gt;=3,F401&gt;=3),"Loyal",IF(AND(E401&gt;=4,F401&lt;=2),"New customers",IF(AND(E401=3,F401&lt;=2),"Potential",IF(AND(E401&lt;=2,F401&gt;=3),"At risk","Inactive")))))</f>
        <v/>
      </c>
    </row>
    <row r="402">
      <c r="A402" s="10" t="inlineStr">
        <is>
          <t>C1394</t>
        </is>
      </c>
      <c r="B402" s="19">
        <f>$B$4-_xlfn.MAXIFS('Clean Data'!$B$2:$B$1565,'Clean Data'!$C$2:$C$1565,$A402)</f>
        <v/>
      </c>
      <c r="C402" s="10">
        <f>COUNTIF('Clean Data'!$C$2:$C$1565,$A402)</f>
        <v/>
      </c>
      <c r="D402" s="20">
        <f>SUMIF('Clean Data'!$C$2:$C$1565,$A402,'Clean Data'!$K$2:$K$1565)</f>
        <v/>
      </c>
      <c r="E402" s="10">
        <f>IF(B402&lt;=$K$6,5,IF(B402&lt;=$K$7,4,IF(B402&lt;=$K$8,3,IF(B402&lt;=$K$9,2,1))))</f>
        <v/>
      </c>
      <c r="F402" s="10">
        <f>IF(C402&gt;=$L$9,5,IF(C402&gt;=$L$8,4,IF(C402&gt;=$L$7,3,IF(C402&gt;=$L$6,2,1))))</f>
        <v/>
      </c>
      <c r="G402" s="10">
        <f>IF(D402&gt;=$M$9,5,IF(D402&gt;=$M$8,4,IF(D402&gt;=$M$7,3,IF(D402&gt;=$M$6,2,1))))</f>
        <v/>
      </c>
      <c r="H402" s="10">
        <f>IF(AND(E402&gt;=4,F402&gt;=4),"Champions",IF(AND(E402&gt;=3,F402&gt;=3),"Loyal",IF(AND(E402&gt;=4,F402&lt;=2),"New customers",IF(AND(E402=3,F402&lt;=2),"Potential",IF(AND(E402&lt;=2,F402&gt;=3),"At risk","Inactive")))))</f>
        <v/>
      </c>
    </row>
    <row r="403">
      <c r="A403" s="10" t="inlineStr">
        <is>
          <t>C1395</t>
        </is>
      </c>
      <c r="B403" s="19">
        <f>$B$4-_xlfn.MAXIFS('Clean Data'!$B$2:$B$1565,'Clean Data'!$C$2:$C$1565,$A403)</f>
        <v/>
      </c>
      <c r="C403" s="10">
        <f>COUNTIF('Clean Data'!$C$2:$C$1565,$A403)</f>
        <v/>
      </c>
      <c r="D403" s="20">
        <f>SUMIF('Clean Data'!$C$2:$C$1565,$A403,'Clean Data'!$K$2:$K$1565)</f>
        <v/>
      </c>
      <c r="E403" s="10">
        <f>IF(B403&lt;=$K$6,5,IF(B403&lt;=$K$7,4,IF(B403&lt;=$K$8,3,IF(B403&lt;=$K$9,2,1))))</f>
        <v/>
      </c>
      <c r="F403" s="10">
        <f>IF(C403&gt;=$L$9,5,IF(C403&gt;=$L$8,4,IF(C403&gt;=$L$7,3,IF(C403&gt;=$L$6,2,1))))</f>
        <v/>
      </c>
      <c r="G403" s="10">
        <f>IF(D403&gt;=$M$9,5,IF(D403&gt;=$M$8,4,IF(D403&gt;=$M$7,3,IF(D403&gt;=$M$6,2,1))))</f>
        <v/>
      </c>
      <c r="H403" s="10">
        <f>IF(AND(E403&gt;=4,F403&gt;=4),"Champions",IF(AND(E403&gt;=3,F403&gt;=3),"Loyal",IF(AND(E403&gt;=4,F403&lt;=2),"New customers",IF(AND(E403=3,F403&lt;=2),"Potential",IF(AND(E403&lt;=2,F403&gt;=3),"At risk","Inactive")))))</f>
        <v/>
      </c>
    </row>
    <row r="404">
      <c r="A404" s="10" t="inlineStr">
        <is>
          <t>C1396</t>
        </is>
      </c>
      <c r="B404" s="19">
        <f>$B$4-_xlfn.MAXIFS('Clean Data'!$B$2:$B$1565,'Clean Data'!$C$2:$C$1565,$A404)</f>
        <v/>
      </c>
      <c r="C404" s="10">
        <f>COUNTIF('Clean Data'!$C$2:$C$1565,$A404)</f>
        <v/>
      </c>
      <c r="D404" s="20">
        <f>SUMIF('Clean Data'!$C$2:$C$1565,$A404,'Clean Data'!$K$2:$K$1565)</f>
        <v/>
      </c>
      <c r="E404" s="10">
        <f>IF(B404&lt;=$K$6,5,IF(B404&lt;=$K$7,4,IF(B404&lt;=$K$8,3,IF(B404&lt;=$K$9,2,1))))</f>
        <v/>
      </c>
      <c r="F404" s="10">
        <f>IF(C404&gt;=$L$9,5,IF(C404&gt;=$L$8,4,IF(C404&gt;=$L$7,3,IF(C404&gt;=$L$6,2,1))))</f>
        <v/>
      </c>
      <c r="G404" s="10">
        <f>IF(D404&gt;=$M$9,5,IF(D404&gt;=$M$8,4,IF(D404&gt;=$M$7,3,IF(D404&gt;=$M$6,2,1))))</f>
        <v/>
      </c>
      <c r="H404" s="10">
        <f>IF(AND(E404&gt;=4,F404&gt;=4),"Champions",IF(AND(E404&gt;=3,F404&gt;=3),"Loyal",IF(AND(E404&gt;=4,F404&lt;=2),"New customers",IF(AND(E404=3,F404&lt;=2),"Potential",IF(AND(E404&lt;=2,F404&gt;=3),"At risk","Inactive")))))</f>
        <v/>
      </c>
    </row>
    <row r="405">
      <c r="A405" s="10" t="inlineStr">
        <is>
          <t>C1397</t>
        </is>
      </c>
      <c r="B405" s="19">
        <f>$B$4-_xlfn.MAXIFS('Clean Data'!$B$2:$B$1565,'Clean Data'!$C$2:$C$1565,$A405)</f>
        <v/>
      </c>
      <c r="C405" s="10">
        <f>COUNTIF('Clean Data'!$C$2:$C$1565,$A405)</f>
        <v/>
      </c>
      <c r="D405" s="20">
        <f>SUMIF('Clean Data'!$C$2:$C$1565,$A405,'Clean Data'!$K$2:$K$1565)</f>
        <v/>
      </c>
      <c r="E405" s="10">
        <f>IF(B405&lt;=$K$6,5,IF(B405&lt;=$K$7,4,IF(B405&lt;=$K$8,3,IF(B405&lt;=$K$9,2,1))))</f>
        <v/>
      </c>
      <c r="F405" s="10">
        <f>IF(C405&gt;=$L$9,5,IF(C405&gt;=$L$8,4,IF(C405&gt;=$L$7,3,IF(C405&gt;=$L$6,2,1))))</f>
        <v/>
      </c>
      <c r="G405" s="10">
        <f>IF(D405&gt;=$M$9,5,IF(D405&gt;=$M$8,4,IF(D405&gt;=$M$7,3,IF(D405&gt;=$M$6,2,1))))</f>
        <v/>
      </c>
      <c r="H405" s="10">
        <f>IF(AND(E405&gt;=4,F405&gt;=4),"Champions",IF(AND(E405&gt;=3,F405&gt;=3),"Loyal",IF(AND(E405&gt;=4,F405&lt;=2),"New customers",IF(AND(E405=3,F405&lt;=2),"Potential",IF(AND(E405&lt;=2,F405&gt;=3),"At risk","Inactive")))))</f>
        <v/>
      </c>
    </row>
    <row r="406">
      <c r="A406" s="10" t="inlineStr">
        <is>
          <t>C1398</t>
        </is>
      </c>
      <c r="B406" s="19">
        <f>$B$4-_xlfn.MAXIFS('Clean Data'!$B$2:$B$1565,'Clean Data'!$C$2:$C$1565,$A406)</f>
        <v/>
      </c>
      <c r="C406" s="10">
        <f>COUNTIF('Clean Data'!$C$2:$C$1565,$A406)</f>
        <v/>
      </c>
      <c r="D406" s="20">
        <f>SUMIF('Clean Data'!$C$2:$C$1565,$A406,'Clean Data'!$K$2:$K$1565)</f>
        <v/>
      </c>
      <c r="E406" s="10">
        <f>IF(B406&lt;=$K$6,5,IF(B406&lt;=$K$7,4,IF(B406&lt;=$K$8,3,IF(B406&lt;=$K$9,2,1))))</f>
        <v/>
      </c>
      <c r="F406" s="10">
        <f>IF(C406&gt;=$L$9,5,IF(C406&gt;=$L$8,4,IF(C406&gt;=$L$7,3,IF(C406&gt;=$L$6,2,1))))</f>
        <v/>
      </c>
      <c r="G406" s="10">
        <f>IF(D406&gt;=$M$9,5,IF(D406&gt;=$M$8,4,IF(D406&gt;=$M$7,3,IF(D406&gt;=$M$6,2,1))))</f>
        <v/>
      </c>
      <c r="H406" s="10">
        <f>IF(AND(E406&gt;=4,F406&gt;=4),"Champions",IF(AND(E406&gt;=3,F406&gt;=3),"Loyal",IF(AND(E406&gt;=4,F406&lt;=2),"New customers",IF(AND(E406=3,F406&lt;=2),"Potential",IF(AND(E406&lt;=2,F406&gt;=3),"At risk","Inactive")))))</f>
        <v/>
      </c>
    </row>
    <row r="407">
      <c r="A407" s="10" t="inlineStr">
        <is>
          <t>C1399</t>
        </is>
      </c>
      <c r="B407" s="19">
        <f>$B$4-_xlfn.MAXIFS('Clean Data'!$B$2:$B$1565,'Clean Data'!$C$2:$C$1565,$A407)</f>
        <v/>
      </c>
      <c r="C407" s="10">
        <f>COUNTIF('Clean Data'!$C$2:$C$1565,$A407)</f>
        <v/>
      </c>
      <c r="D407" s="20">
        <f>SUMIF('Clean Data'!$C$2:$C$1565,$A407,'Clean Data'!$K$2:$K$1565)</f>
        <v/>
      </c>
      <c r="E407" s="10">
        <f>IF(B407&lt;=$K$6,5,IF(B407&lt;=$K$7,4,IF(B407&lt;=$K$8,3,IF(B407&lt;=$K$9,2,1))))</f>
        <v/>
      </c>
      <c r="F407" s="10">
        <f>IF(C407&gt;=$L$9,5,IF(C407&gt;=$L$8,4,IF(C407&gt;=$L$7,3,IF(C407&gt;=$L$6,2,1))))</f>
        <v/>
      </c>
      <c r="G407" s="10">
        <f>IF(D407&gt;=$M$9,5,IF(D407&gt;=$M$8,4,IF(D407&gt;=$M$7,3,IF(D407&gt;=$M$6,2,1))))</f>
        <v/>
      </c>
      <c r="H407" s="10">
        <f>IF(AND(E407&gt;=4,F407&gt;=4),"Champions",IF(AND(E407&gt;=3,F407&gt;=3),"Loyal",IF(AND(E407&gt;=4,F407&lt;=2),"New customers",IF(AND(E407=3,F407&lt;=2),"Potential",IF(AND(E407&lt;=2,F407&gt;=3),"At risk","Inactive")))))</f>
        <v/>
      </c>
    </row>
    <row r="408">
      <c r="A408" s="10" t="inlineStr">
        <is>
          <t>C1400</t>
        </is>
      </c>
      <c r="B408" s="19">
        <f>$B$4-_xlfn.MAXIFS('Clean Data'!$B$2:$B$1565,'Clean Data'!$C$2:$C$1565,$A408)</f>
        <v/>
      </c>
      <c r="C408" s="10">
        <f>COUNTIF('Clean Data'!$C$2:$C$1565,$A408)</f>
        <v/>
      </c>
      <c r="D408" s="20">
        <f>SUMIF('Clean Data'!$C$2:$C$1565,$A408,'Clean Data'!$K$2:$K$1565)</f>
        <v/>
      </c>
      <c r="E408" s="10">
        <f>IF(B408&lt;=$K$6,5,IF(B408&lt;=$K$7,4,IF(B408&lt;=$K$8,3,IF(B408&lt;=$K$9,2,1))))</f>
        <v/>
      </c>
      <c r="F408" s="10">
        <f>IF(C408&gt;=$L$9,5,IF(C408&gt;=$L$8,4,IF(C408&gt;=$L$7,3,IF(C408&gt;=$L$6,2,1))))</f>
        <v/>
      </c>
      <c r="G408" s="10">
        <f>IF(D408&gt;=$M$9,5,IF(D408&gt;=$M$8,4,IF(D408&gt;=$M$7,3,IF(D408&gt;=$M$6,2,1))))</f>
        <v/>
      </c>
      <c r="H408" s="10">
        <f>IF(AND(E408&gt;=4,F408&gt;=4),"Champions",IF(AND(E408&gt;=3,F408&gt;=3),"Loyal",IF(AND(E408&gt;=4,F408&lt;=2),"New customers",IF(AND(E408=3,F408&lt;=2),"Potential",IF(AND(E408&lt;=2,F408&gt;=3),"At risk","Inactive")))))</f>
        <v/>
      </c>
    </row>
    <row r="409">
      <c r="A409" s="10" t="inlineStr">
        <is>
          <t>C1401</t>
        </is>
      </c>
      <c r="B409" s="19">
        <f>$B$4-_xlfn.MAXIFS('Clean Data'!$B$2:$B$1565,'Clean Data'!$C$2:$C$1565,$A409)</f>
        <v/>
      </c>
      <c r="C409" s="10">
        <f>COUNTIF('Clean Data'!$C$2:$C$1565,$A409)</f>
        <v/>
      </c>
      <c r="D409" s="20">
        <f>SUMIF('Clean Data'!$C$2:$C$1565,$A409,'Clean Data'!$K$2:$K$1565)</f>
        <v/>
      </c>
      <c r="E409" s="10">
        <f>IF(B409&lt;=$K$6,5,IF(B409&lt;=$K$7,4,IF(B409&lt;=$K$8,3,IF(B409&lt;=$K$9,2,1))))</f>
        <v/>
      </c>
      <c r="F409" s="10">
        <f>IF(C409&gt;=$L$9,5,IF(C409&gt;=$L$8,4,IF(C409&gt;=$L$7,3,IF(C409&gt;=$L$6,2,1))))</f>
        <v/>
      </c>
      <c r="G409" s="10">
        <f>IF(D409&gt;=$M$9,5,IF(D409&gt;=$M$8,4,IF(D409&gt;=$M$7,3,IF(D409&gt;=$M$6,2,1))))</f>
        <v/>
      </c>
      <c r="H409" s="10">
        <f>IF(AND(E409&gt;=4,F409&gt;=4),"Champions",IF(AND(E409&gt;=3,F409&gt;=3),"Loyal",IF(AND(E409&gt;=4,F409&lt;=2),"New customers",IF(AND(E409=3,F409&lt;=2),"Potential",IF(AND(E409&lt;=2,F409&gt;=3),"At risk","Inactive")))))</f>
        <v/>
      </c>
    </row>
    <row r="410">
      <c r="A410" s="10" t="inlineStr">
        <is>
          <t>C1402</t>
        </is>
      </c>
      <c r="B410" s="19">
        <f>$B$4-_xlfn.MAXIFS('Clean Data'!$B$2:$B$1565,'Clean Data'!$C$2:$C$1565,$A410)</f>
        <v/>
      </c>
      <c r="C410" s="10">
        <f>COUNTIF('Clean Data'!$C$2:$C$1565,$A410)</f>
        <v/>
      </c>
      <c r="D410" s="20">
        <f>SUMIF('Clean Data'!$C$2:$C$1565,$A410,'Clean Data'!$K$2:$K$1565)</f>
        <v/>
      </c>
      <c r="E410" s="10">
        <f>IF(B410&lt;=$K$6,5,IF(B410&lt;=$K$7,4,IF(B410&lt;=$K$8,3,IF(B410&lt;=$K$9,2,1))))</f>
        <v/>
      </c>
      <c r="F410" s="10">
        <f>IF(C410&gt;=$L$9,5,IF(C410&gt;=$L$8,4,IF(C410&gt;=$L$7,3,IF(C410&gt;=$L$6,2,1))))</f>
        <v/>
      </c>
      <c r="G410" s="10">
        <f>IF(D410&gt;=$M$9,5,IF(D410&gt;=$M$8,4,IF(D410&gt;=$M$7,3,IF(D410&gt;=$M$6,2,1))))</f>
        <v/>
      </c>
      <c r="H410" s="10">
        <f>IF(AND(E410&gt;=4,F410&gt;=4),"Champions",IF(AND(E410&gt;=3,F410&gt;=3),"Loyal",IF(AND(E410&gt;=4,F410&lt;=2),"New customers",IF(AND(E410=3,F410&lt;=2),"Potential",IF(AND(E410&lt;=2,F410&gt;=3),"At risk","Inactive")))))</f>
        <v/>
      </c>
    </row>
    <row r="411">
      <c r="A411" s="10" t="inlineStr">
        <is>
          <t>C1403</t>
        </is>
      </c>
      <c r="B411" s="19">
        <f>$B$4-_xlfn.MAXIFS('Clean Data'!$B$2:$B$1565,'Clean Data'!$C$2:$C$1565,$A411)</f>
        <v/>
      </c>
      <c r="C411" s="10">
        <f>COUNTIF('Clean Data'!$C$2:$C$1565,$A411)</f>
        <v/>
      </c>
      <c r="D411" s="20">
        <f>SUMIF('Clean Data'!$C$2:$C$1565,$A411,'Clean Data'!$K$2:$K$1565)</f>
        <v/>
      </c>
      <c r="E411" s="10">
        <f>IF(B411&lt;=$K$6,5,IF(B411&lt;=$K$7,4,IF(B411&lt;=$K$8,3,IF(B411&lt;=$K$9,2,1))))</f>
        <v/>
      </c>
      <c r="F411" s="10">
        <f>IF(C411&gt;=$L$9,5,IF(C411&gt;=$L$8,4,IF(C411&gt;=$L$7,3,IF(C411&gt;=$L$6,2,1))))</f>
        <v/>
      </c>
      <c r="G411" s="10">
        <f>IF(D411&gt;=$M$9,5,IF(D411&gt;=$M$8,4,IF(D411&gt;=$M$7,3,IF(D411&gt;=$M$6,2,1))))</f>
        <v/>
      </c>
      <c r="H411" s="10">
        <f>IF(AND(E411&gt;=4,F411&gt;=4),"Champions",IF(AND(E411&gt;=3,F411&gt;=3),"Loyal",IF(AND(E411&gt;=4,F411&lt;=2),"New customers",IF(AND(E411=3,F411&lt;=2),"Potential",IF(AND(E411&lt;=2,F411&gt;=3),"At risk","Inactive")))))</f>
        <v/>
      </c>
    </row>
    <row r="412">
      <c r="A412" s="10" t="inlineStr">
        <is>
          <t>C1404</t>
        </is>
      </c>
      <c r="B412" s="19">
        <f>$B$4-_xlfn.MAXIFS('Clean Data'!$B$2:$B$1565,'Clean Data'!$C$2:$C$1565,$A412)</f>
        <v/>
      </c>
      <c r="C412" s="10">
        <f>COUNTIF('Clean Data'!$C$2:$C$1565,$A412)</f>
        <v/>
      </c>
      <c r="D412" s="20">
        <f>SUMIF('Clean Data'!$C$2:$C$1565,$A412,'Clean Data'!$K$2:$K$1565)</f>
        <v/>
      </c>
      <c r="E412" s="10">
        <f>IF(B412&lt;=$K$6,5,IF(B412&lt;=$K$7,4,IF(B412&lt;=$K$8,3,IF(B412&lt;=$K$9,2,1))))</f>
        <v/>
      </c>
      <c r="F412" s="10">
        <f>IF(C412&gt;=$L$9,5,IF(C412&gt;=$L$8,4,IF(C412&gt;=$L$7,3,IF(C412&gt;=$L$6,2,1))))</f>
        <v/>
      </c>
      <c r="G412" s="10">
        <f>IF(D412&gt;=$M$9,5,IF(D412&gt;=$M$8,4,IF(D412&gt;=$M$7,3,IF(D412&gt;=$M$6,2,1))))</f>
        <v/>
      </c>
      <c r="H412" s="10">
        <f>IF(AND(E412&gt;=4,F412&gt;=4),"Champions",IF(AND(E412&gt;=3,F412&gt;=3),"Loyal",IF(AND(E412&gt;=4,F412&lt;=2),"New customers",IF(AND(E412=3,F412&lt;=2),"Potential",IF(AND(E412&lt;=2,F412&gt;=3),"At risk","Inactive")))))</f>
        <v/>
      </c>
    </row>
    <row r="413">
      <c r="A413" s="10" t="inlineStr">
        <is>
          <t>C1405</t>
        </is>
      </c>
      <c r="B413" s="19">
        <f>$B$4-_xlfn.MAXIFS('Clean Data'!$B$2:$B$1565,'Clean Data'!$C$2:$C$1565,$A413)</f>
        <v/>
      </c>
      <c r="C413" s="10">
        <f>COUNTIF('Clean Data'!$C$2:$C$1565,$A413)</f>
        <v/>
      </c>
      <c r="D413" s="20">
        <f>SUMIF('Clean Data'!$C$2:$C$1565,$A413,'Clean Data'!$K$2:$K$1565)</f>
        <v/>
      </c>
      <c r="E413" s="10">
        <f>IF(B413&lt;=$K$6,5,IF(B413&lt;=$K$7,4,IF(B413&lt;=$K$8,3,IF(B413&lt;=$K$9,2,1))))</f>
        <v/>
      </c>
      <c r="F413" s="10">
        <f>IF(C413&gt;=$L$9,5,IF(C413&gt;=$L$8,4,IF(C413&gt;=$L$7,3,IF(C413&gt;=$L$6,2,1))))</f>
        <v/>
      </c>
      <c r="G413" s="10">
        <f>IF(D413&gt;=$M$9,5,IF(D413&gt;=$M$8,4,IF(D413&gt;=$M$7,3,IF(D413&gt;=$M$6,2,1))))</f>
        <v/>
      </c>
      <c r="H413" s="10">
        <f>IF(AND(E413&gt;=4,F413&gt;=4),"Champions",IF(AND(E413&gt;=3,F413&gt;=3),"Loyal",IF(AND(E413&gt;=4,F413&lt;=2),"New customers",IF(AND(E413=3,F413&lt;=2),"Potential",IF(AND(E413&lt;=2,F413&gt;=3),"At risk","Inactive")))))</f>
        <v/>
      </c>
    </row>
    <row r="414">
      <c r="A414" s="10" t="inlineStr">
        <is>
          <t>C1406</t>
        </is>
      </c>
      <c r="B414" s="19">
        <f>$B$4-_xlfn.MAXIFS('Clean Data'!$B$2:$B$1565,'Clean Data'!$C$2:$C$1565,$A414)</f>
        <v/>
      </c>
      <c r="C414" s="10">
        <f>COUNTIF('Clean Data'!$C$2:$C$1565,$A414)</f>
        <v/>
      </c>
      <c r="D414" s="20">
        <f>SUMIF('Clean Data'!$C$2:$C$1565,$A414,'Clean Data'!$K$2:$K$1565)</f>
        <v/>
      </c>
      <c r="E414" s="10">
        <f>IF(B414&lt;=$K$6,5,IF(B414&lt;=$K$7,4,IF(B414&lt;=$K$8,3,IF(B414&lt;=$K$9,2,1))))</f>
        <v/>
      </c>
      <c r="F414" s="10">
        <f>IF(C414&gt;=$L$9,5,IF(C414&gt;=$L$8,4,IF(C414&gt;=$L$7,3,IF(C414&gt;=$L$6,2,1))))</f>
        <v/>
      </c>
      <c r="G414" s="10">
        <f>IF(D414&gt;=$M$9,5,IF(D414&gt;=$M$8,4,IF(D414&gt;=$M$7,3,IF(D414&gt;=$M$6,2,1))))</f>
        <v/>
      </c>
      <c r="H414" s="10">
        <f>IF(AND(E414&gt;=4,F414&gt;=4),"Champions",IF(AND(E414&gt;=3,F414&gt;=3),"Loyal",IF(AND(E414&gt;=4,F414&lt;=2),"New customers",IF(AND(E414=3,F414&lt;=2),"Potential",IF(AND(E414&lt;=2,F414&gt;=3),"At risk","Inactive")))))</f>
        <v/>
      </c>
    </row>
    <row r="415">
      <c r="A415" s="10" t="inlineStr">
        <is>
          <t>C1407</t>
        </is>
      </c>
      <c r="B415" s="19">
        <f>$B$4-_xlfn.MAXIFS('Clean Data'!$B$2:$B$1565,'Clean Data'!$C$2:$C$1565,$A415)</f>
        <v/>
      </c>
      <c r="C415" s="10">
        <f>COUNTIF('Clean Data'!$C$2:$C$1565,$A415)</f>
        <v/>
      </c>
      <c r="D415" s="20">
        <f>SUMIF('Clean Data'!$C$2:$C$1565,$A415,'Clean Data'!$K$2:$K$1565)</f>
        <v/>
      </c>
      <c r="E415" s="10">
        <f>IF(B415&lt;=$K$6,5,IF(B415&lt;=$K$7,4,IF(B415&lt;=$K$8,3,IF(B415&lt;=$K$9,2,1))))</f>
        <v/>
      </c>
      <c r="F415" s="10">
        <f>IF(C415&gt;=$L$9,5,IF(C415&gt;=$L$8,4,IF(C415&gt;=$L$7,3,IF(C415&gt;=$L$6,2,1))))</f>
        <v/>
      </c>
      <c r="G415" s="10">
        <f>IF(D415&gt;=$M$9,5,IF(D415&gt;=$M$8,4,IF(D415&gt;=$M$7,3,IF(D415&gt;=$M$6,2,1))))</f>
        <v/>
      </c>
      <c r="H415" s="10">
        <f>IF(AND(E415&gt;=4,F415&gt;=4),"Champions",IF(AND(E415&gt;=3,F415&gt;=3),"Loyal",IF(AND(E415&gt;=4,F415&lt;=2),"New customers",IF(AND(E415=3,F415&lt;=2),"Potential",IF(AND(E415&lt;=2,F415&gt;=3),"At risk","Inactive")))))</f>
        <v/>
      </c>
    </row>
    <row r="416">
      <c r="A416" s="10" t="inlineStr">
        <is>
          <t>C1408</t>
        </is>
      </c>
      <c r="B416" s="19">
        <f>$B$4-_xlfn.MAXIFS('Clean Data'!$B$2:$B$1565,'Clean Data'!$C$2:$C$1565,$A416)</f>
        <v/>
      </c>
      <c r="C416" s="10">
        <f>COUNTIF('Clean Data'!$C$2:$C$1565,$A416)</f>
        <v/>
      </c>
      <c r="D416" s="20">
        <f>SUMIF('Clean Data'!$C$2:$C$1565,$A416,'Clean Data'!$K$2:$K$1565)</f>
        <v/>
      </c>
      <c r="E416" s="10">
        <f>IF(B416&lt;=$K$6,5,IF(B416&lt;=$K$7,4,IF(B416&lt;=$K$8,3,IF(B416&lt;=$K$9,2,1))))</f>
        <v/>
      </c>
      <c r="F416" s="10">
        <f>IF(C416&gt;=$L$9,5,IF(C416&gt;=$L$8,4,IF(C416&gt;=$L$7,3,IF(C416&gt;=$L$6,2,1))))</f>
        <v/>
      </c>
      <c r="G416" s="10">
        <f>IF(D416&gt;=$M$9,5,IF(D416&gt;=$M$8,4,IF(D416&gt;=$M$7,3,IF(D416&gt;=$M$6,2,1))))</f>
        <v/>
      </c>
      <c r="H416" s="10">
        <f>IF(AND(E416&gt;=4,F416&gt;=4),"Champions",IF(AND(E416&gt;=3,F416&gt;=3),"Loyal",IF(AND(E416&gt;=4,F416&lt;=2),"New customers",IF(AND(E416=3,F416&lt;=2),"Potential",IF(AND(E416&lt;=2,F416&gt;=3),"At risk","Inactive")))))</f>
        <v/>
      </c>
    </row>
    <row r="417">
      <c r="A417" s="10" t="inlineStr">
        <is>
          <t>C1409</t>
        </is>
      </c>
      <c r="B417" s="19">
        <f>$B$4-_xlfn.MAXIFS('Clean Data'!$B$2:$B$1565,'Clean Data'!$C$2:$C$1565,$A417)</f>
        <v/>
      </c>
      <c r="C417" s="10">
        <f>COUNTIF('Clean Data'!$C$2:$C$1565,$A417)</f>
        <v/>
      </c>
      <c r="D417" s="20">
        <f>SUMIF('Clean Data'!$C$2:$C$1565,$A417,'Clean Data'!$K$2:$K$1565)</f>
        <v/>
      </c>
      <c r="E417" s="10">
        <f>IF(B417&lt;=$K$6,5,IF(B417&lt;=$K$7,4,IF(B417&lt;=$K$8,3,IF(B417&lt;=$K$9,2,1))))</f>
        <v/>
      </c>
      <c r="F417" s="10">
        <f>IF(C417&gt;=$L$9,5,IF(C417&gt;=$L$8,4,IF(C417&gt;=$L$7,3,IF(C417&gt;=$L$6,2,1))))</f>
        <v/>
      </c>
      <c r="G417" s="10">
        <f>IF(D417&gt;=$M$9,5,IF(D417&gt;=$M$8,4,IF(D417&gt;=$M$7,3,IF(D417&gt;=$M$6,2,1))))</f>
        <v/>
      </c>
      <c r="H417" s="10">
        <f>IF(AND(E417&gt;=4,F417&gt;=4),"Champions",IF(AND(E417&gt;=3,F417&gt;=3),"Loyal",IF(AND(E417&gt;=4,F417&lt;=2),"New customers",IF(AND(E417=3,F417&lt;=2),"Potential",IF(AND(E417&lt;=2,F417&gt;=3),"At risk","Inactive")))))</f>
        <v/>
      </c>
    </row>
    <row r="418">
      <c r="A418" s="10" t="inlineStr">
        <is>
          <t>C1410</t>
        </is>
      </c>
      <c r="B418" s="19">
        <f>$B$4-_xlfn.MAXIFS('Clean Data'!$B$2:$B$1565,'Clean Data'!$C$2:$C$1565,$A418)</f>
        <v/>
      </c>
      <c r="C418" s="10">
        <f>COUNTIF('Clean Data'!$C$2:$C$1565,$A418)</f>
        <v/>
      </c>
      <c r="D418" s="20">
        <f>SUMIF('Clean Data'!$C$2:$C$1565,$A418,'Clean Data'!$K$2:$K$1565)</f>
        <v/>
      </c>
      <c r="E418" s="10">
        <f>IF(B418&lt;=$K$6,5,IF(B418&lt;=$K$7,4,IF(B418&lt;=$K$8,3,IF(B418&lt;=$K$9,2,1))))</f>
        <v/>
      </c>
      <c r="F418" s="10">
        <f>IF(C418&gt;=$L$9,5,IF(C418&gt;=$L$8,4,IF(C418&gt;=$L$7,3,IF(C418&gt;=$L$6,2,1))))</f>
        <v/>
      </c>
      <c r="G418" s="10">
        <f>IF(D418&gt;=$M$9,5,IF(D418&gt;=$M$8,4,IF(D418&gt;=$M$7,3,IF(D418&gt;=$M$6,2,1))))</f>
        <v/>
      </c>
      <c r="H418" s="10">
        <f>IF(AND(E418&gt;=4,F418&gt;=4),"Champions",IF(AND(E418&gt;=3,F418&gt;=3),"Loyal",IF(AND(E418&gt;=4,F418&lt;=2),"New customers",IF(AND(E418=3,F418&lt;=2),"Potential",IF(AND(E418&lt;=2,F418&gt;=3),"At risk","Inactive")))))</f>
        <v/>
      </c>
    </row>
    <row r="419">
      <c r="A419" s="10" t="inlineStr">
        <is>
          <t>C1411</t>
        </is>
      </c>
      <c r="B419" s="19">
        <f>$B$4-_xlfn.MAXIFS('Clean Data'!$B$2:$B$1565,'Clean Data'!$C$2:$C$1565,$A419)</f>
        <v/>
      </c>
      <c r="C419" s="10">
        <f>COUNTIF('Clean Data'!$C$2:$C$1565,$A419)</f>
        <v/>
      </c>
      <c r="D419" s="20">
        <f>SUMIF('Clean Data'!$C$2:$C$1565,$A419,'Clean Data'!$K$2:$K$1565)</f>
        <v/>
      </c>
      <c r="E419" s="10">
        <f>IF(B419&lt;=$K$6,5,IF(B419&lt;=$K$7,4,IF(B419&lt;=$K$8,3,IF(B419&lt;=$K$9,2,1))))</f>
        <v/>
      </c>
      <c r="F419" s="10">
        <f>IF(C419&gt;=$L$9,5,IF(C419&gt;=$L$8,4,IF(C419&gt;=$L$7,3,IF(C419&gt;=$L$6,2,1))))</f>
        <v/>
      </c>
      <c r="G419" s="10">
        <f>IF(D419&gt;=$M$9,5,IF(D419&gt;=$M$8,4,IF(D419&gt;=$M$7,3,IF(D419&gt;=$M$6,2,1))))</f>
        <v/>
      </c>
      <c r="H419" s="10">
        <f>IF(AND(E419&gt;=4,F419&gt;=4),"Champions",IF(AND(E419&gt;=3,F419&gt;=3),"Loyal",IF(AND(E419&gt;=4,F419&lt;=2),"New customers",IF(AND(E419=3,F419&lt;=2),"Potential",IF(AND(E419&lt;=2,F419&gt;=3),"At risk","Inactive")))))</f>
        <v/>
      </c>
    </row>
    <row r="420">
      <c r="A420" s="10" t="inlineStr">
        <is>
          <t>C1412</t>
        </is>
      </c>
      <c r="B420" s="19">
        <f>$B$4-_xlfn.MAXIFS('Clean Data'!$B$2:$B$1565,'Clean Data'!$C$2:$C$1565,$A420)</f>
        <v/>
      </c>
      <c r="C420" s="10">
        <f>COUNTIF('Clean Data'!$C$2:$C$1565,$A420)</f>
        <v/>
      </c>
      <c r="D420" s="20">
        <f>SUMIF('Clean Data'!$C$2:$C$1565,$A420,'Clean Data'!$K$2:$K$1565)</f>
        <v/>
      </c>
      <c r="E420" s="10">
        <f>IF(B420&lt;=$K$6,5,IF(B420&lt;=$K$7,4,IF(B420&lt;=$K$8,3,IF(B420&lt;=$K$9,2,1))))</f>
        <v/>
      </c>
      <c r="F420" s="10">
        <f>IF(C420&gt;=$L$9,5,IF(C420&gt;=$L$8,4,IF(C420&gt;=$L$7,3,IF(C420&gt;=$L$6,2,1))))</f>
        <v/>
      </c>
      <c r="G420" s="10">
        <f>IF(D420&gt;=$M$9,5,IF(D420&gt;=$M$8,4,IF(D420&gt;=$M$7,3,IF(D420&gt;=$M$6,2,1))))</f>
        <v/>
      </c>
      <c r="H420" s="10">
        <f>IF(AND(E420&gt;=4,F420&gt;=4),"Champions",IF(AND(E420&gt;=3,F420&gt;=3),"Loyal",IF(AND(E420&gt;=4,F420&lt;=2),"New customers",IF(AND(E420=3,F420&lt;=2),"Potential",IF(AND(E420&lt;=2,F420&gt;=3),"At risk","Inactive")))))</f>
        <v/>
      </c>
    </row>
    <row r="421">
      <c r="A421" s="10" t="inlineStr">
        <is>
          <t>C1413</t>
        </is>
      </c>
      <c r="B421" s="19">
        <f>$B$4-_xlfn.MAXIFS('Clean Data'!$B$2:$B$1565,'Clean Data'!$C$2:$C$1565,$A421)</f>
        <v/>
      </c>
      <c r="C421" s="10">
        <f>COUNTIF('Clean Data'!$C$2:$C$1565,$A421)</f>
        <v/>
      </c>
      <c r="D421" s="20">
        <f>SUMIF('Clean Data'!$C$2:$C$1565,$A421,'Clean Data'!$K$2:$K$1565)</f>
        <v/>
      </c>
      <c r="E421" s="10">
        <f>IF(B421&lt;=$K$6,5,IF(B421&lt;=$K$7,4,IF(B421&lt;=$K$8,3,IF(B421&lt;=$K$9,2,1))))</f>
        <v/>
      </c>
      <c r="F421" s="10">
        <f>IF(C421&gt;=$L$9,5,IF(C421&gt;=$L$8,4,IF(C421&gt;=$L$7,3,IF(C421&gt;=$L$6,2,1))))</f>
        <v/>
      </c>
      <c r="G421" s="10">
        <f>IF(D421&gt;=$M$9,5,IF(D421&gt;=$M$8,4,IF(D421&gt;=$M$7,3,IF(D421&gt;=$M$6,2,1))))</f>
        <v/>
      </c>
      <c r="H421" s="10">
        <f>IF(AND(E421&gt;=4,F421&gt;=4),"Champions",IF(AND(E421&gt;=3,F421&gt;=3),"Loyal",IF(AND(E421&gt;=4,F421&lt;=2),"New customers",IF(AND(E421=3,F421&lt;=2),"Potential",IF(AND(E421&lt;=2,F421&gt;=3),"At risk","Inactive")))))</f>
        <v/>
      </c>
    </row>
    <row r="422">
      <c r="A422" s="10" t="inlineStr">
        <is>
          <t>C1414</t>
        </is>
      </c>
      <c r="B422" s="19">
        <f>$B$4-_xlfn.MAXIFS('Clean Data'!$B$2:$B$1565,'Clean Data'!$C$2:$C$1565,$A422)</f>
        <v/>
      </c>
      <c r="C422" s="10">
        <f>COUNTIF('Clean Data'!$C$2:$C$1565,$A422)</f>
        <v/>
      </c>
      <c r="D422" s="20">
        <f>SUMIF('Clean Data'!$C$2:$C$1565,$A422,'Clean Data'!$K$2:$K$1565)</f>
        <v/>
      </c>
      <c r="E422" s="10">
        <f>IF(B422&lt;=$K$6,5,IF(B422&lt;=$K$7,4,IF(B422&lt;=$K$8,3,IF(B422&lt;=$K$9,2,1))))</f>
        <v/>
      </c>
      <c r="F422" s="10">
        <f>IF(C422&gt;=$L$9,5,IF(C422&gt;=$L$8,4,IF(C422&gt;=$L$7,3,IF(C422&gt;=$L$6,2,1))))</f>
        <v/>
      </c>
      <c r="G422" s="10">
        <f>IF(D422&gt;=$M$9,5,IF(D422&gt;=$M$8,4,IF(D422&gt;=$M$7,3,IF(D422&gt;=$M$6,2,1))))</f>
        <v/>
      </c>
      <c r="H422" s="10">
        <f>IF(AND(E422&gt;=4,F422&gt;=4),"Champions",IF(AND(E422&gt;=3,F422&gt;=3),"Loyal",IF(AND(E422&gt;=4,F422&lt;=2),"New customers",IF(AND(E422=3,F422&lt;=2),"Potential",IF(AND(E422&lt;=2,F422&gt;=3),"At risk","Inactive")))))</f>
        <v/>
      </c>
    </row>
    <row r="423">
      <c r="A423" s="10" t="inlineStr">
        <is>
          <t>C1415</t>
        </is>
      </c>
      <c r="B423" s="19">
        <f>$B$4-_xlfn.MAXIFS('Clean Data'!$B$2:$B$1565,'Clean Data'!$C$2:$C$1565,$A423)</f>
        <v/>
      </c>
      <c r="C423" s="10">
        <f>COUNTIF('Clean Data'!$C$2:$C$1565,$A423)</f>
        <v/>
      </c>
      <c r="D423" s="20">
        <f>SUMIF('Clean Data'!$C$2:$C$1565,$A423,'Clean Data'!$K$2:$K$1565)</f>
        <v/>
      </c>
      <c r="E423" s="10">
        <f>IF(B423&lt;=$K$6,5,IF(B423&lt;=$K$7,4,IF(B423&lt;=$K$8,3,IF(B423&lt;=$K$9,2,1))))</f>
        <v/>
      </c>
      <c r="F423" s="10">
        <f>IF(C423&gt;=$L$9,5,IF(C423&gt;=$L$8,4,IF(C423&gt;=$L$7,3,IF(C423&gt;=$L$6,2,1))))</f>
        <v/>
      </c>
      <c r="G423" s="10">
        <f>IF(D423&gt;=$M$9,5,IF(D423&gt;=$M$8,4,IF(D423&gt;=$M$7,3,IF(D423&gt;=$M$6,2,1))))</f>
        <v/>
      </c>
      <c r="H423" s="10">
        <f>IF(AND(E423&gt;=4,F423&gt;=4),"Champions",IF(AND(E423&gt;=3,F423&gt;=3),"Loyal",IF(AND(E423&gt;=4,F423&lt;=2),"New customers",IF(AND(E423=3,F423&lt;=2),"Potential",IF(AND(E423&lt;=2,F423&gt;=3),"At risk","Inactive")))))</f>
        <v/>
      </c>
    </row>
    <row r="424">
      <c r="A424" s="10" t="inlineStr">
        <is>
          <t>C1416</t>
        </is>
      </c>
      <c r="B424" s="19">
        <f>$B$4-_xlfn.MAXIFS('Clean Data'!$B$2:$B$1565,'Clean Data'!$C$2:$C$1565,$A424)</f>
        <v/>
      </c>
      <c r="C424" s="10">
        <f>COUNTIF('Clean Data'!$C$2:$C$1565,$A424)</f>
        <v/>
      </c>
      <c r="D424" s="20">
        <f>SUMIF('Clean Data'!$C$2:$C$1565,$A424,'Clean Data'!$K$2:$K$1565)</f>
        <v/>
      </c>
      <c r="E424" s="10">
        <f>IF(B424&lt;=$K$6,5,IF(B424&lt;=$K$7,4,IF(B424&lt;=$K$8,3,IF(B424&lt;=$K$9,2,1))))</f>
        <v/>
      </c>
      <c r="F424" s="10">
        <f>IF(C424&gt;=$L$9,5,IF(C424&gt;=$L$8,4,IF(C424&gt;=$L$7,3,IF(C424&gt;=$L$6,2,1))))</f>
        <v/>
      </c>
      <c r="G424" s="10">
        <f>IF(D424&gt;=$M$9,5,IF(D424&gt;=$M$8,4,IF(D424&gt;=$M$7,3,IF(D424&gt;=$M$6,2,1))))</f>
        <v/>
      </c>
      <c r="H424" s="10">
        <f>IF(AND(E424&gt;=4,F424&gt;=4),"Champions",IF(AND(E424&gt;=3,F424&gt;=3),"Loyal",IF(AND(E424&gt;=4,F424&lt;=2),"New customers",IF(AND(E424=3,F424&lt;=2),"Potential",IF(AND(E424&lt;=2,F424&gt;=3),"At risk","Inactive")))))</f>
        <v/>
      </c>
    </row>
    <row r="425">
      <c r="A425" s="10" t="inlineStr">
        <is>
          <t>C1417</t>
        </is>
      </c>
      <c r="B425" s="19">
        <f>$B$4-_xlfn.MAXIFS('Clean Data'!$B$2:$B$1565,'Clean Data'!$C$2:$C$1565,$A425)</f>
        <v/>
      </c>
      <c r="C425" s="10">
        <f>COUNTIF('Clean Data'!$C$2:$C$1565,$A425)</f>
        <v/>
      </c>
      <c r="D425" s="20">
        <f>SUMIF('Clean Data'!$C$2:$C$1565,$A425,'Clean Data'!$K$2:$K$1565)</f>
        <v/>
      </c>
      <c r="E425" s="10">
        <f>IF(B425&lt;=$K$6,5,IF(B425&lt;=$K$7,4,IF(B425&lt;=$K$8,3,IF(B425&lt;=$K$9,2,1))))</f>
        <v/>
      </c>
      <c r="F425" s="10">
        <f>IF(C425&gt;=$L$9,5,IF(C425&gt;=$L$8,4,IF(C425&gt;=$L$7,3,IF(C425&gt;=$L$6,2,1))))</f>
        <v/>
      </c>
      <c r="G425" s="10">
        <f>IF(D425&gt;=$M$9,5,IF(D425&gt;=$M$8,4,IF(D425&gt;=$M$7,3,IF(D425&gt;=$M$6,2,1))))</f>
        <v/>
      </c>
      <c r="H425" s="10">
        <f>IF(AND(E425&gt;=4,F425&gt;=4),"Champions",IF(AND(E425&gt;=3,F425&gt;=3),"Loyal",IF(AND(E425&gt;=4,F425&lt;=2),"New customers",IF(AND(E425=3,F425&lt;=2),"Potential",IF(AND(E425&lt;=2,F425&gt;=3),"At risk","Inactive")))))</f>
        <v/>
      </c>
    </row>
    <row r="426">
      <c r="A426" s="10" t="inlineStr">
        <is>
          <t>C1418</t>
        </is>
      </c>
      <c r="B426" s="19">
        <f>$B$4-_xlfn.MAXIFS('Clean Data'!$B$2:$B$1565,'Clean Data'!$C$2:$C$1565,$A426)</f>
        <v/>
      </c>
      <c r="C426" s="10">
        <f>COUNTIF('Clean Data'!$C$2:$C$1565,$A426)</f>
        <v/>
      </c>
      <c r="D426" s="20">
        <f>SUMIF('Clean Data'!$C$2:$C$1565,$A426,'Clean Data'!$K$2:$K$1565)</f>
        <v/>
      </c>
      <c r="E426" s="10">
        <f>IF(B426&lt;=$K$6,5,IF(B426&lt;=$K$7,4,IF(B426&lt;=$K$8,3,IF(B426&lt;=$K$9,2,1))))</f>
        <v/>
      </c>
      <c r="F426" s="10">
        <f>IF(C426&gt;=$L$9,5,IF(C426&gt;=$L$8,4,IF(C426&gt;=$L$7,3,IF(C426&gt;=$L$6,2,1))))</f>
        <v/>
      </c>
      <c r="G426" s="10">
        <f>IF(D426&gt;=$M$9,5,IF(D426&gt;=$M$8,4,IF(D426&gt;=$M$7,3,IF(D426&gt;=$M$6,2,1))))</f>
        <v/>
      </c>
      <c r="H426" s="10">
        <f>IF(AND(E426&gt;=4,F426&gt;=4),"Champions",IF(AND(E426&gt;=3,F426&gt;=3),"Loyal",IF(AND(E426&gt;=4,F426&lt;=2),"New customers",IF(AND(E426=3,F426&lt;=2),"Potential",IF(AND(E426&lt;=2,F426&gt;=3),"At risk","Inactive")))))</f>
        <v/>
      </c>
    </row>
    <row r="427">
      <c r="A427" s="10" t="inlineStr">
        <is>
          <t>C1419</t>
        </is>
      </c>
      <c r="B427" s="19">
        <f>$B$4-_xlfn.MAXIFS('Clean Data'!$B$2:$B$1565,'Clean Data'!$C$2:$C$1565,$A427)</f>
        <v/>
      </c>
      <c r="C427" s="10">
        <f>COUNTIF('Clean Data'!$C$2:$C$1565,$A427)</f>
        <v/>
      </c>
      <c r="D427" s="20">
        <f>SUMIF('Clean Data'!$C$2:$C$1565,$A427,'Clean Data'!$K$2:$K$1565)</f>
        <v/>
      </c>
      <c r="E427" s="10">
        <f>IF(B427&lt;=$K$6,5,IF(B427&lt;=$K$7,4,IF(B427&lt;=$K$8,3,IF(B427&lt;=$K$9,2,1))))</f>
        <v/>
      </c>
      <c r="F427" s="10">
        <f>IF(C427&gt;=$L$9,5,IF(C427&gt;=$L$8,4,IF(C427&gt;=$L$7,3,IF(C427&gt;=$L$6,2,1))))</f>
        <v/>
      </c>
      <c r="G427" s="10">
        <f>IF(D427&gt;=$M$9,5,IF(D427&gt;=$M$8,4,IF(D427&gt;=$M$7,3,IF(D427&gt;=$M$6,2,1))))</f>
        <v/>
      </c>
      <c r="H427" s="10">
        <f>IF(AND(E427&gt;=4,F427&gt;=4),"Champions",IF(AND(E427&gt;=3,F427&gt;=3),"Loyal",IF(AND(E427&gt;=4,F427&lt;=2),"New customers",IF(AND(E427=3,F427&lt;=2),"Potential",IF(AND(E427&lt;=2,F427&gt;=3),"At risk","Inactive")))))</f>
        <v/>
      </c>
    </row>
    <row r="428">
      <c r="A428" s="10" t="inlineStr">
        <is>
          <t>C1420</t>
        </is>
      </c>
      <c r="B428" s="19">
        <f>$B$4-_xlfn.MAXIFS('Clean Data'!$B$2:$B$1565,'Clean Data'!$C$2:$C$1565,$A428)</f>
        <v/>
      </c>
      <c r="C428" s="10">
        <f>COUNTIF('Clean Data'!$C$2:$C$1565,$A428)</f>
        <v/>
      </c>
      <c r="D428" s="20">
        <f>SUMIF('Clean Data'!$C$2:$C$1565,$A428,'Clean Data'!$K$2:$K$1565)</f>
        <v/>
      </c>
      <c r="E428" s="10">
        <f>IF(B428&lt;=$K$6,5,IF(B428&lt;=$K$7,4,IF(B428&lt;=$K$8,3,IF(B428&lt;=$K$9,2,1))))</f>
        <v/>
      </c>
      <c r="F428" s="10">
        <f>IF(C428&gt;=$L$9,5,IF(C428&gt;=$L$8,4,IF(C428&gt;=$L$7,3,IF(C428&gt;=$L$6,2,1))))</f>
        <v/>
      </c>
      <c r="G428" s="10">
        <f>IF(D428&gt;=$M$9,5,IF(D428&gt;=$M$8,4,IF(D428&gt;=$M$7,3,IF(D428&gt;=$M$6,2,1))))</f>
        <v/>
      </c>
      <c r="H428" s="10">
        <f>IF(AND(E428&gt;=4,F428&gt;=4),"Champions",IF(AND(E428&gt;=3,F428&gt;=3),"Loyal",IF(AND(E428&gt;=4,F428&lt;=2),"New customers",IF(AND(E428=3,F428&lt;=2),"Potential",IF(AND(E428&lt;=2,F428&gt;=3),"At risk","Inactive")))))</f>
        <v/>
      </c>
    </row>
    <row r="429">
      <c r="A429" s="10" t="inlineStr">
        <is>
          <t>C1421</t>
        </is>
      </c>
      <c r="B429" s="19">
        <f>$B$4-_xlfn.MAXIFS('Clean Data'!$B$2:$B$1565,'Clean Data'!$C$2:$C$1565,$A429)</f>
        <v/>
      </c>
      <c r="C429" s="10">
        <f>COUNTIF('Clean Data'!$C$2:$C$1565,$A429)</f>
        <v/>
      </c>
      <c r="D429" s="20">
        <f>SUMIF('Clean Data'!$C$2:$C$1565,$A429,'Clean Data'!$K$2:$K$1565)</f>
        <v/>
      </c>
      <c r="E429" s="10">
        <f>IF(B429&lt;=$K$6,5,IF(B429&lt;=$K$7,4,IF(B429&lt;=$K$8,3,IF(B429&lt;=$K$9,2,1))))</f>
        <v/>
      </c>
      <c r="F429" s="10">
        <f>IF(C429&gt;=$L$9,5,IF(C429&gt;=$L$8,4,IF(C429&gt;=$L$7,3,IF(C429&gt;=$L$6,2,1))))</f>
        <v/>
      </c>
      <c r="G429" s="10">
        <f>IF(D429&gt;=$M$9,5,IF(D429&gt;=$M$8,4,IF(D429&gt;=$M$7,3,IF(D429&gt;=$M$6,2,1))))</f>
        <v/>
      </c>
      <c r="H429" s="10">
        <f>IF(AND(E429&gt;=4,F429&gt;=4),"Champions",IF(AND(E429&gt;=3,F429&gt;=3),"Loyal",IF(AND(E429&gt;=4,F429&lt;=2),"New customers",IF(AND(E429=3,F429&lt;=2),"Potential",IF(AND(E429&lt;=2,F429&gt;=3),"At risk","Inactive")))))</f>
        <v/>
      </c>
    </row>
    <row r="430">
      <c r="A430" s="10" t="inlineStr">
        <is>
          <t>C1422</t>
        </is>
      </c>
      <c r="B430" s="19">
        <f>$B$4-_xlfn.MAXIFS('Clean Data'!$B$2:$B$1565,'Clean Data'!$C$2:$C$1565,$A430)</f>
        <v/>
      </c>
      <c r="C430" s="10">
        <f>COUNTIF('Clean Data'!$C$2:$C$1565,$A430)</f>
        <v/>
      </c>
      <c r="D430" s="20">
        <f>SUMIF('Clean Data'!$C$2:$C$1565,$A430,'Clean Data'!$K$2:$K$1565)</f>
        <v/>
      </c>
      <c r="E430" s="10">
        <f>IF(B430&lt;=$K$6,5,IF(B430&lt;=$K$7,4,IF(B430&lt;=$K$8,3,IF(B430&lt;=$K$9,2,1))))</f>
        <v/>
      </c>
      <c r="F430" s="10">
        <f>IF(C430&gt;=$L$9,5,IF(C430&gt;=$L$8,4,IF(C430&gt;=$L$7,3,IF(C430&gt;=$L$6,2,1))))</f>
        <v/>
      </c>
      <c r="G430" s="10">
        <f>IF(D430&gt;=$M$9,5,IF(D430&gt;=$M$8,4,IF(D430&gt;=$M$7,3,IF(D430&gt;=$M$6,2,1))))</f>
        <v/>
      </c>
      <c r="H430" s="10">
        <f>IF(AND(E430&gt;=4,F430&gt;=4),"Champions",IF(AND(E430&gt;=3,F430&gt;=3),"Loyal",IF(AND(E430&gt;=4,F430&lt;=2),"New customers",IF(AND(E430=3,F430&lt;=2),"Potential",IF(AND(E430&lt;=2,F430&gt;=3),"At risk","Inactive")))))</f>
        <v/>
      </c>
    </row>
    <row r="431">
      <c r="A431" s="10" t="inlineStr">
        <is>
          <t>C1423</t>
        </is>
      </c>
      <c r="B431" s="19">
        <f>$B$4-_xlfn.MAXIFS('Clean Data'!$B$2:$B$1565,'Clean Data'!$C$2:$C$1565,$A431)</f>
        <v/>
      </c>
      <c r="C431" s="10">
        <f>COUNTIF('Clean Data'!$C$2:$C$1565,$A431)</f>
        <v/>
      </c>
      <c r="D431" s="20">
        <f>SUMIF('Clean Data'!$C$2:$C$1565,$A431,'Clean Data'!$K$2:$K$1565)</f>
        <v/>
      </c>
      <c r="E431" s="10">
        <f>IF(B431&lt;=$K$6,5,IF(B431&lt;=$K$7,4,IF(B431&lt;=$K$8,3,IF(B431&lt;=$K$9,2,1))))</f>
        <v/>
      </c>
      <c r="F431" s="10">
        <f>IF(C431&gt;=$L$9,5,IF(C431&gt;=$L$8,4,IF(C431&gt;=$L$7,3,IF(C431&gt;=$L$6,2,1))))</f>
        <v/>
      </c>
      <c r="G431" s="10">
        <f>IF(D431&gt;=$M$9,5,IF(D431&gt;=$M$8,4,IF(D431&gt;=$M$7,3,IF(D431&gt;=$M$6,2,1))))</f>
        <v/>
      </c>
      <c r="H431" s="10">
        <f>IF(AND(E431&gt;=4,F431&gt;=4),"Champions",IF(AND(E431&gt;=3,F431&gt;=3),"Loyal",IF(AND(E431&gt;=4,F431&lt;=2),"New customers",IF(AND(E431=3,F431&lt;=2),"Potential",IF(AND(E431&lt;=2,F431&gt;=3),"At risk","Inactive")))))</f>
        <v/>
      </c>
    </row>
    <row r="432">
      <c r="A432" s="10" t="inlineStr">
        <is>
          <t>C1424</t>
        </is>
      </c>
      <c r="B432" s="19">
        <f>$B$4-_xlfn.MAXIFS('Clean Data'!$B$2:$B$1565,'Clean Data'!$C$2:$C$1565,$A432)</f>
        <v/>
      </c>
      <c r="C432" s="10">
        <f>COUNTIF('Clean Data'!$C$2:$C$1565,$A432)</f>
        <v/>
      </c>
      <c r="D432" s="20">
        <f>SUMIF('Clean Data'!$C$2:$C$1565,$A432,'Clean Data'!$K$2:$K$1565)</f>
        <v/>
      </c>
      <c r="E432" s="10">
        <f>IF(B432&lt;=$K$6,5,IF(B432&lt;=$K$7,4,IF(B432&lt;=$K$8,3,IF(B432&lt;=$K$9,2,1))))</f>
        <v/>
      </c>
      <c r="F432" s="10">
        <f>IF(C432&gt;=$L$9,5,IF(C432&gt;=$L$8,4,IF(C432&gt;=$L$7,3,IF(C432&gt;=$L$6,2,1))))</f>
        <v/>
      </c>
      <c r="G432" s="10">
        <f>IF(D432&gt;=$M$9,5,IF(D432&gt;=$M$8,4,IF(D432&gt;=$M$7,3,IF(D432&gt;=$M$6,2,1))))</f>
        <v/>
      </c>
      <c r="H432" s="10">
        <f>IF(AND(E432&gt;=4,F432&gt;=4),"Champions",IF(AND(E432&gt;=3,F432&gt;=3),"Loyal",IF(AND(E432&gt;=4,F432&lt;=2),"New customers",IF(AND(E432=3,F432&lt;=2),"Potential",IF(AND(E432&lt;=2,F432&gt;=3),"At risk","Inactive")))))</f>
        <v/>
      </c>
    </row>
    <row r="433">
      <c r="A433" s="10" t="inlineStr">
        <is>
          <t>C1425</t>
        </is>
      </c>
      <c r="B433" s="19">
        <f>$B$4-_xlfn.MAXIFS('Clean Data'!$B$2:$B$1565,'Clean Data'!$C$2:$C$1565,$A433)</f>
        <v/>
      </c>
      <c r="C433" s="10">
        <f>COUNTIF('Clean Data'!$C$2:$C$1565,$A433)</f>
        <v/>
      </c>
      <c r="D433" s="20">
        <f>SUMIF('Clean Data'!$C$2:$C$1565,$A433,'Clean Data'!$K$2:$K$1565)</f>
        <v/>
      </c>
      <c r="E433" s="10">
        <f>IF(B433&lt;=$K$6,5,IF(B433&lt;=$K$7,4,IF(B433&lt;=$K$8,3,IF(B433&lt;=$K$9,2,1))))</f>
        <v/>
      </c>
      <c r="F433" s="10">
        <f>IF(C433&gt;=$L$9,5,IF(C433&gt;=$L$8,4,IF(C433&gt;=$L$7,3,IF(C433&gt;=$L$6,2,1))))</f>
        <v/>
      </c>
      <c r="G433" s="10">
        <f>IF(D433&gt;=$M$9,5,IF(D433&gt;=$M$8,4,IF(D433&gt;=$M$7,3,IF(D433&gt;=$M$6,2,1))))</f>
        <v/>
      </c>
      <c r="H433" s="10">
        <f>IF(AND(E433&gt;=4,F433&gt;=4),"Champions",IF(AND(E433&gt;=3,F433&gt;=3),"Loyal",IF(AND(E433&gt;=4,F433&lt;=2),"New customers",IF(AND(E433=3,F433&lt;=2),"Potential",IF(AND(E433&lt;=2,F433&gt;=3),"At risk","Inactive")))))</f>
        <v/>
      </c>
    </row>
    <row r="434">
      <c r="A434" s="10" t="inlineStr">
        <is>
          <t>C1426</t>
        </is>
      </c>
      <c r="B434" s="19">
        <f>$B$4-_xlfn.MAXIFS('Clean Data'!$B$2:$B$1565,'Clean Data'!$C$2:$C$1565,$A434)</f>
        <v/>
      </c>
      <c r="C434" s="10">
        <f>COUNTIF('Clean Data'!$C$2:$C$1565,$A434)</f>
        <v/>
      </c>
      <c r="D434" s="20">
        <f>SUMIF('Clean Data'!$C$2:$C$1565,$A434,'Clean Data'!$K$2:$K$1565)</f>
        <v/>
      </c>
      <c r="E434" s="10">
        <f>IF(B434&lt;=$K$6,5,IF(B434&lt;=$K$7,4,IF(B434&lt;=$K$8,3,IF(B434&lt;=$K$9,2,1))))</f>
        <v/>
      </c>
      <c r="F434" s="10">
        <f>IF(C434&gt;=$L$9,5,IF(C434&gt;=$L$8,4,IF(C434&gt;=$L$7,3,IF(C434&gt;=$L$6,2,1))))</f>
        <v/>
      </c>
      <c r="G434" s="10">
        <f>IF(D434&gt;=$M$9,5,IF(D434&gt;=$M$8,4,IF(D434&gt;=$M$7,3,IF(D434&gt;=$M$6,2,1))))</f>
        <v/>
      </c>
      <c r="H434" s="10">
        <f>IF(AND(E434&gt;=4,F434&gt;=4),"Champions",IF(AND(E434&gt;=3,F434&gt;=3),"Loyal",IF(AND(E434&gt;=4,F434&lt;=2),"New customers",IF(AND(E434=3,F434&lt;=2),"Potential",IF(AND(E434&lt;=2,F434&gt;=3),"At risk","Inactive")))))</f>
        <v/>
      </c>
    </row>
    <row r="435">
      <c r="A435" s="10" t="inlineStr">
        <is>
          <t>C1427</t>
        </is>
      </c>
      <c r="B435" s="19">
        <f>$B$4-_xlfn.MAXIFS('Clean Data'!$B$2:$B$1565,'Clean Data'!$C$2:$C$1565,$A435)</f>
        <v/>
      </c>
      <c r="C435" s="10">
        <f>COUNTIF('Clean Data'!$C$2:$C$1565,$A435)</f>
        <v/>
      </c>
      <c r="D435" s="20">
        <f>SUMIF('Clean Data'!$C$2:$C$1565,$A435,'Clean Data'!$K$2:$K$1565)</f>
        <v/>
      </c>
      <c r="E435" s="10">
        <f>IF(B435&lt;=$K$6,5,IF(B435&lt;=$K$7,4,IF(B435&lt;=$K$8,3,IF(B435&lt;=$K$9,2,1))))</f>
        <v/>
      </c>
      <c r="F435" s="10">
        <f>IF(C435&gt;=$L$9,5,IF(C435&gt;=$L$8,4,IF(C435&gt;=$L$7,3,IF(C435&gt;=$L$6,2,1))))</f>
        <v/>
      </c>
      <c r="G435" s="10">
        <f>IF(D435&gt;=$M$9,5,IF(D435&gt;=$M$8,4,IF(D435&gt;=$M$7,3,IF(D435&gt;=$M$6,2,1))))</f>
        <v/>
      </c>
      <c r="H435" s="10">
        <f>IF(AND(E435&gt;=4,F435&gt;=4),"Champions",IF(AND(E435&gt;=3,F435&gt;=3),"Loyal",IF(AND(E435&gt;=4,F435&lt;=2),"New customers",IF(AND(E435=3,F435&lt;=2),"Potential",IF(AND(E435&lt;=2,F435&gt;=3),"At risk","Inactive")))))</f>
        <v/>
      </c>
    </row>
    <row r="436">
      <c r="A436" s="10" t="inlineStr">
        <is>
          <t>C1428</t>
        </is>
      </c>
      <c r="B436" s="19">
        <f>$B$4-_xlfn.MAXIFS('Clean Data'!$B$2:$B$1565,'Clean Data'!$C$2:$C$1565,$A436)</f>
        <v/>
      </c>
      <c r="C436" s="10">
        <f>COUNTIF('Clean Data'!$C$2:$C$1565,$A436)</f>
        <v/>
      </c>
      <c r="D436" s="20">
        <f>SUMIF('Clean Data'!$C$2:$C$1565,$A436,'Clean Data'!$K$2:$K$1565)</f>
        <v/>
      </c>
      <c r="E436" s="10">
        <f>IF(B436&lt;=$K$6,5,IF(B436&lt;=$K$7,4,IF(B436&lt;=$K$8,3,IF(B436&lt;=$K$9,2,1))))</f>
        <v/>
      </c>
      <c r="F436" s="10">
        <f>IF(C436&gt;=$L$9,5,IF(C436&gt;=$L$8,4,IF(C436&gt;=$L$7,3,IF(C436&gt;=$L$6,2,1))))</f>
        <v/>
      </c>
      <c r="G436" s="10">
        <f>IF(D436&gt;=$M$9,5,IF(D436&gt;=$M$8,4,IF(D436&gt;=$M$7,3,IF(D436&gt;=$M$6,2,1))))</f>
        <v/>
      </c>
      <c r="H436" s="10">
        <f>IF(AND(E436&gt;=4,F436&gt;=4),"Champions",IF(AND(E436&gt;=3,F436&gt;=3),"Loyal",IF(AND(E436&gt;=4,F436&lt;=2),"New customers",IF(AND(E436=3,F436&lt;=2),"Potential",IF(AND(E436&lt;=2,F436&gt;=3),"At risk","Inactive")))))</f>
        <v/>
      </c>
    </row>
    <row r="437">
      <c r="A437" s="10" t="inlineStr">
        <is>
          <t>C1429</t>
        </is>
      </c>
      <c r="B437" s="19">
        <f>$B$4-_xlfn.MAXIFS('Clean Data'!$B$2:$B$1565,'Clean Data'!$C$2:$C$1565,$A437)</f>
        <v/>
      </c>
      <c r="C437" s="10">
        <f>COUNTIF('Clean Data'!$C$2:$C$1565,$A437)</f>
        <v/>
      </c>
      <c r="D437" s="20">
        <f>SUMIF('Clean Data'!$C$2:$C$1565,$A437,'Clean Data'!$K$2:$K$1565)</f>
        <v/>
      </c>
      <c r="E437" s="10">
        <f>IF(B437&lt;=$K$6,5,IF(B437&lt;=$K$7,4,IF(B437&lt;=$K$8,3,IF(B437&lt;=$K$9,2,1))))</f>
        <v/>
      </c>
      <c r="F437" s="10">
        <f>IF(C437&gt;=$L$9,5,IF(C437&gt;=$L$8,4,IF(C437&gt;=$L$7,3,IF(C437&gt;=$L$6,2,1))))</f>
        <v/>
      </c>
      <c r="G437" s="10">
        <f>IF(D437&gt;=$M$9,5,IF(D437&gt;=$M$8,4,IF(D437&gt;=$M$7,3,IF(D437&gt;=$M$6,2,1))))</f>
        <v/>
      </c>
      <c r="H437" s="10">
        <f>IF(AND(E437&gt;=4,F437&gt;=4),"Champions",IF(AND(E437&gt;=3,F437&gt;=3),"Loyal",IF(AND(E437&gt;=4,F437&lt;=2),"New customers",IF(AND(E437=3,F437&lt;=2),"Potential",IF(AND(E437&lt;=2,F437&gt;=3),"At risk","Inactive")))))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5" customWidth="1" min="4" max="4"/>
    <col width="3" customWidth="1" min="5" max="5"/>
    <col width="18" customWidth="1" min="6" max="6"/>
    <col width="16" customWidth="1" min="7" max="7"/>
    <col width="12" customWidth="1" min="8" max="8"/>
  </cols>
  <sheetData>
    <row r="1">
      <c r="A1" s="7" t="inlineStr">
        <is>
          <t>ANALYSIS  (every value is a live formula referencing Clean Data and RFM)</t>
        </is>
      </c>
    </row>
    <row r="3">
      <c r="A3" s="6" t="inlineStr">
        <is>
          <t>Key metrics</t>
        </is>
      </c>
      <c r="F3" s="6" t="inlineStr">
        <is>
          <t>Revenue by channel</t>
        </is>
      </c>
    </row>
    <row r="4" ht="26" customHeight="1">
      <c r="A4" s="22" t="inlineStr">
        <is>
          <t>Total revenue</t>
        </is>
      </c>
      <c r="B4" s="23">
        <f>SUM('Clean Data'!$K$2:$K$1565)</f>
        <v/>
      </c>
      <c r="F4" s="9" t="inlineStr">
        <is>
          <t>Item</t>
        </is>
      </c>
      <c r="G4" s="9" t="inlineStr">
        <is>
          <t>Revenue</t>
        </is>
      </c>
      <c r="H4" s="9" t="inlineStr">
        <is>
          <t>Orders</t>
        </is>
      </c>
    </row>
    <row r="5">
      <c r="A5" s="22" t="inlineStr">
        <is>
          <t>Total orders</t>
        </is>
      </c>
      <c r="B5" s="24">
        <f>COUNTA('Clean Data'!$A$2:$A$1565)</f>
        <v/>
      </c>
      <c r="F5" s="10" t="inlineStr">
        <is>
          <t>Offline Store</t>
        </is>
      </c>
      <c r="G5" s="20">
        <f>SUMIFS('Clean Data'!$K$2:$K$1565,'Clean Data'!$E$2:$E$1565,$F5)</f>
        <v/>
      </c>
      <c r="H5" s="10">
        <f>COUNTIFS('Clean Data'!$E$2:$E$1565,$F5)</f>
        <v/>
      </c>
    </row>
    <row r="6">
      <c r="A6" s="22" t="inlineStr">
        <is>
          <t>Average order value</t>
        </is>
      </c>
      <c r="B6" s="23">
        <f>B4/B5</f>
        <v/>
      </c>
      <c r="F6" s="10" t="inlineStr">
        <is>
          <t>Shopee</t>
        </is>
      </c>
      <c r="G6" s="20">
        <f>SUMIFS('Clean Data'!$K$2:$K$1565,'Clean Data'!$E$2:$E$1565,$F6)</f>
        <v/>
      </c>
      <c r="H6" s="10">
        <f>COUNTIFS('Clean Data'!$E$2:$E$1565,$F6)</f>
        <v/>
      </c>
    </row>
    <row r="7">
      <c r="A7" s="22" t="inlineStr">
        <is>
          <t>Unique customers</t>
        </is>
      </c>
      <c r="B7" s="24">
        <f>COUNTA(RFM!$A$8:$A$437)</f>
        <v/>
      </c>
      <c r="F7" s="10" t="inlineStr">
        <is>
          <t>TikTok Shop</t>
        </is>
      </c>
      <c r="G7" s="20">
        <f>SUMIFS('Clean Data'!$K$2:$K$1565,'Clean Data'!$E$2:$E$1565,$F7)</f>
        <v/>
      </c>
      <c r="H7" s="10">
        <f>COUNTIFS('Clean Data'!$E$2:$E$1565,$F7)</f>
        <v/>
      </c>
    </row>
    <row r="8">
      <c r="A8" s="22" t="inlineStr">
        <is>
          <t>Champions (count)</t>
        </is>
      </c>
      <c r="B8" s="24">
        <f>COUNTIF(RFM!$H$8:$H$437,"Champions")</f>
        <v/>
      </c>
      <c r="F8" s="10" t="inlineStr">
        <is>
          <t>Tokopedia</t>
        </is>
      </c>
      <c r="G8" s="20">
        <f>SUMIFS('Clean Data'!$K$2:$K$1565,'Clean Data'!$E$2:$E$1565,$F8)</f>
        <v/>
      </c>
      <c r="H8" s="10">
        <f>COUNTIFS('Clean Data'!$E$2:$E$1565,$F8)</f>
        <v/>
      </c>
    </row>
    <row r="9">
      <c r="A9" s="22" t="inlineStr">
        <is>
          <t>Champions revenue share</t>
        </is>
      </c>
      <c r="B9" s="25">
        <f>SUMIF(RFM!$H$8:$H$437,"Champions",RFM!$D$8:$D$437)/B4</f>
        <v/>
      </c>
    </row>
    <row r="10">
      <c r="A10" s="22" t="inlineStr">
        <is>
          <t>At risk (count)</t>
        </is>
      </c>
      <c r="B10" s="24">
        <f>COUNTIF(RFM!$H$8:$H$437,"At risk")</f>
        <v/>
      </c>
      <c r="F10" s="6" t="inlineStr">
        <is>
          <t>Revenue by category</t>
        </is>
      </c>
    </row>
    <row r="11" ht="26" customHeight="1">
      <c r="F11" s="9" t="inlineStr">
        <is>
          <t>Item</t>
        </is>
      </c>
      <c r="G11" s="9" t="inlineStr">
        <is>
          <t>Revenue</t>
        </is>
      </c>
      <c r="H11" s="9" t="inlineStr">
        <is>
          <t>Orders</t>
        </is>
      </c>
    </row>
    <row r="12">
      <c r="F12" s="10" t="inlineStr">
        <is>
          <t>Elektronik</t>
        </is>
      </c>
      <c r="G12" s="20">
        <f>SUMIFS('Clean Data'!$K$2:$K$1565,'Clean Data'!$G$2:$G$1565,$F12)</f>
        <v/>
      </c>
      <c r="H12" s="10">
        <f>COUNTIFS('Clean Data'!$G$2:$G$1565,$F12)</f>
        <v/>
      </c>
    </row>
    <row r="13">
      <c r="A13" s="6" t="inlineStr">
        <is>
          <t>Revenue by month</t>
        </is>
      </c>
      <c r="F13" s="10" t="inlineStr">
        <is>
          <t>Fashion</t>
        </is>
      </c>
      <c r="G13" s="20">
        <f>SUMIFS('Clean Data'!$K$2:$K$1565,'Clean Data'!$G$2:$G$1565,$F13)</f>
        <v/>
      </c>
      <c r="H13" s="10">
        <f>COUNTIFS('Clean Data'!$G$2:$G$1565,$F13)</f>
        <v/>
      </c>
    </row>
    <row r="14" ht="26" customHeight="1">
      <c r="A14" s="9" t="inlineStr">
        <is>
          <t>Month</t>
        </is>
      </c>
      <c r="B14" s="9" t="inlineStr">
        <is>
          <t>Orders</t>
        </is>
      </c>
      <c r="C14" s="9" t="inlineStr">
        <is>
          <t>Revenue</t>
        </is>
      </c>
      <c r="D14" s="9" t="inlineStr">
        <is>
          <t>AOV</t>
        </is>
      </c>
      <c r="F14" s="10" t="inlineStr">
        <is>
          <t>Kecantikan</t>
        </is>
      </c>
      <c r="G14" s="20">
        <f>SUMIFS('Clean Data'!$K$2:$K$1565,'Clean Data'!$G$2:$G$1565,$F14)</f>
        <v/>
      </c>
      <c r="H14" s="10">
        <f>COUNTIFS('Clean Data'!$G$2:$G$1565,$F14)</f>
        <v/>
      </c>
    </row>
    <row r="15">
      <c r="A15" s="10" t="inlineStr">
        <is>
          <t>2025-01</t>
        </is>
      </c>
      <c r="B15" s="10">
        <f>COUNTIFS('Clean Data'!$L$2:$L$1565,$A15)</f>
        <v/>
      </c>
      <c r="C15" s="20">
        <f>SUMIFS('Clean Data'!$K$2:$K$1565,'Clean Data'!$L$2:$L$1565,$A15)</f>
        <v/>
      </c>
      <c r="D15" s="20">
        <f>IFERROR(C15/B15,0)</f>
        <v/>
      </c>
      <c r="F15" s="10" t="inlineStr">
        <is>
          <t>Makanan</t>
        </is>
      </c>
      <c r="G15" s="20">
        <f>SUMIFS('Clean Data'!$K$2:$K$1565,'Clean Data'!$G$2:$G$1565,$F15)</f>
        <v/>
      </c>
      <c r="H15" s="10">
        <f>COUNTIFS('Clean Data'!$G$2:$G$1565,$F15)</f>
        <v/>
      </c>
    </row>
    <row r="16">
      <c r="A16" s="10" t="inlineStr">
        <is>
          <t>2025-02</t>
        </is>
      </c>
      <c r="B16" s="10">
        <f>COUNTIFS('Clean Data'!$L$2:$L$1565,$A16)</f>
        <v/>
      </c>
      <c r="C16" s="20">
        <f>SUMIFS('Clean Data'!$K$2:$K$1565,'Clean Data'!$L$2:$L$1565,$A16)</f>
        <v/>
      </c>
      <c r="D16" s="20">
        <f>IFERROR(C16/B16,0)</f>
        <v/>
      </c>
      <c r="F16" s="10" t="inlineStr">
        <is>
          <t>Rumah Tangga</t>
        </is>
      </c>
      <c r="G16" s="20">
        <f>SUMIFS('Clean Data'!$K$2:$K$1565,'Clean Data'!$G$2:$G$1565,$F16)</f>
        <v/>
      </c>
      <c r="H16" s="10">
        <f>COUNTIFS('Clean Data'!$G$2:$G$1565,$F16)</f>
        <v/>
      </c>
    </row>
    <row r="17">
      <c r="A17" s="10" t="inlineStr">
        <is>
          <t>2025-03</t>
        </is>
      </c>
      <c r="B17" s="10">
        <f>COUNTIFS('Clean Data'!$L$2:$L$1565,$A17)</f>
        <v/>
      </c>
      <c r="C17" s="20">
        <f>SUMIFS('Clean Data'!$K$2:$K$1565,'Clean Data'!$L$2:$L$1565,$A17)</f>
        <v/>
      </c>
      <c r="D17" s="20">
        <f>IFERROR(C17/B17,0)</f>
        <v/>
      </c>
    </row>
    <row r="18">
      <c r="A18" s="10" t="inlineStr">
        <is>
          <t>2025-04</t>
        </is>
      </c>
      <c r="B18" s="10">
        <f>COUNTIFS('Clean Data'!$L$2:$L$1565,$A18)</f>
        <v/>
      </c>
      <c r="C18" s="20">
        <f>SUMIFS('Clean Data'!$K$2:$K$1565,'Clean Data'!$L$2:$L$1565,$A18)</f>
        <v/>
      </c>
      <c r="D18" s="20">
        <f>IFERROR(C18/B18,0)</f>
        <v/>
      </c>
      <c r="F18" s="6" t="inlineStr">
        <is>
          <t>Revenue by RFM segment</t>
        </is>
      </c>
    </row>
    <row r="19" ht="26" customHeight="1">
      <c r="A19" s="10" t="inlineStr">
        <is>
          <t>2025-05</t>
        </is>
      </c>
      <c r="B19" s="10">
        <f>COUNTIFS('Clean Data'!$L$2:$L$1565,$A19)</f>
        <v/>
      </c>
      <c r="C19" s="20">
        <f>SUMIFS('Clean Data'!$K$2:$K$1565,'Clean Data'!$L$2:$L$1565,$A19)</f>
        <v/>
      </c>
      <c r="D19" s="20">
        <f>IFERROR(C19/B19,0)</f>
        <v/>
      </c>
      <c r="F19" s="9" t="inlineStr">
        <is>
          <t>Segment</t>
        </is>
      </c>
      <c r="G19" s="9" t="inlineStr">
        <is>
          <t>Revenue</t>
        </is>
      </c>
      <c r="H19" s="9" t="inlineStr">
        <is>
          <t>Customers</t>
        </is>
      </c>
    </row>
    <row r="20">
      <c r="A20" s="10" t="inlineStr">
        <is>
          <t>2025-06</t>
        </is>
      </c>
      <c r="B20" s="10">
        <f>COUNTIFS('Clean Data'!$L$2:$L$1565,$A20)</f>
        <v/>
      </c>
      <c r="C20" s="20">
        <f>SUMIFS('Clean Data'!$K$2:$K$1565,'Clean Data'!$L$2:$L$1565,$A20)</f>
        <v/>
      </c>
      <c r="D20" s="20">
        <f>IFERROR(C20/B20,0)</f>
        <v/>
      </c>
      <c r="F20" s="10" t="inlineStr">
        <is>
          <t>Champions</t>
        </is>
      </c>
      <c r="G20" s="20">
        <f>SUMIF(RFM!$H$8:$H$437,$F20,RFM!$D$8:$D$437)</f>
        <v/>
      </c>
      <c r="H20" s="10">
        <f>COUNTIF(RFM!$H$8:$H$437,$F20)</f>
        <v/>
      </c>
    </row>
    <row r="21">
      <c r="A21" s="10" t="inlineStr">
        <is>
          <t>2025-07</t>
        </is>
      </c>
      <c r="B21" s="10">
        <f>COUNTIFS('Clean Data'!$L$2:$L$1565,$A21)</f>
        <v/>
      </c>
      <c r="C21" s="20">
        <f>SUMIFS('Clean Data'!$K$2:$K$1565,'Clean Data'!$L$2:$L$1565,$A21)</f>
        <v/>
      </c>
      <c r="D21" s="20">
        <f>IFERROR(C21/B21,0)</f>
        <v/>
      </c>
      <c r="F21" s="10" t="inlineStr">
        <is>
          <t>Loyal</t>
        </is>
      </c>
      <c r="G21" s="20">
        <f>SUMIF(RFM!$H$8:$H$437,$F21,RFM!$D$8:$D$437)</f>
        <v/>
      </c>
      <c r="H21" s="10">
        <f>COUNTIF(RFM!$H$8:$H$437,$F21)</f>
        <v/>
      </c>
    </row>
    <row r="22">
      <c r="A22" s="10" t="inlineStr">
        <is>
          <t>2025-08</t>
        </is>
      </c>
      <c r="B22" s="10">
        <f>COUNTIFS('Clean Data'!$L$2:$L$1565,$A22)</f>
        <v/>
      </c>
      <c r="C22" s="20">
        <f>SUMIFS('Clean Data'!$K$2:$K$1565,'Clean Data'!$L$2:$L$1565,$A22)</f>
        <v/>
      </c>
      <c r="D22" s="20">
        <f>IFERROR(C22/B22,0)</f>
        <v/>
      </c>
      <c r="F22" s="10" t="inlineStr">
        <is>
          <t>New customers</t>
        </is>
      </c>
      <c r="G22" s="20">
        <f>SUMIF(RFM!$H$8:$H$437,$F22,RFM!$D$8:$D$437)</f>
        <v/>
      </c>
      <c r="H22" s="10">
        <f>COUNTIF(RFM!$H$8:$H$437,$F22)</f>
        <v/>
      </c>
    </row>
    <row r="23">
      <c r="A23" s="10" t="inlineStr">
        <is>
          <t>2025-09</t>
        </is>
      </c>
      <c r="B23" s="10">
        <f>COUNTIFS('Clean Data'!$L$2:$L$1565,$A23)</f>
        <v/>
      </c>
      <c r="C23" s="20">
        <f>SUMIFS('Clean Data'!$K$2:$K$1565,'Clean Data'!$L$2:$L$1565,$A23)</f>
        <v/>
      </c>
      <c r="D23" s="20">
        <f>IFERROR(C23/B23,0)</f>
        <v/>
      </c>
      <c r="F23" s="10" t="inlineStr">
        <is>
          <t>Potential</t>
        </is>
      </c>
      <c r="G23" s="20">
        <f>SUMIF(RFM!$H$8:$H$437,$F23,RFM!$D$8:$D$437)</f>
        <v/>
      </c>
      <c r="H23" s="10">
        <f>COUNTIF(RFM!$H$8:$H$437,$F23)</f>
        <v/>
      </c>
    </row>
    <row r="24">
      <c r="A24" s="10" t="inlineStr">
        <is>
          <t>2025-10</t>
        </is>
      </c>
      <c r="B24" s="10">
        <f>COUNTIFS('Clean Data'!$L$2:$L$1565,$A24)</f>
        <v/>
      </c>
      <c r="C24" s="20">
        <f>SUMIFS('Clean Data'!$K$2:$K$1565,'Clean Data'!$L$2:$L$1565,$A24)</f>
        <v/>
      </c>
      <c r="D24" s="20">
        <f>IFERROR(C24/B24,0)</f>
        <v/>
      </c>
      <c r="F24" s="10" t="inlineStr">
        <is>
          <t>At risk</t>
        </is>
      </c>
      <c r="G24" s="20">
        <f>SUMIF(RFM!$H$8:$H$437,$F24,RFM!$D$8:$D$437)</f>
        <v/>
      </c>
      <c r="H24" s="10">
        <f>COUNTIF(RFM!$H$8:$H$437,$F24)</f>
        <v/>
      </c>
    </row>
    <row r="25">
      <c r="A25" s="10" t="inlineStr">
        <is>
          <t>2025-11</t>
        </is>
      </c>
      <c r="B25" s="10">
        <f>COUNTIFS('Clean Data'!$L$2:$L$1565,$A25)</f>
        <v/>
      </c>
      <c r="C25" s="20">
        <f>SUMIFS('Clean Data'!$K$2:$K$1565,'Clean Data'!$L$2:$L$1565,$A25)</f>
        <v/>
      </c>
      <c r="D25" s="20">
        <f>IFERROR(C25/B25,0)</f>
        <v/>
      </c>
      <c r="F25" s="10" t="inlineStr">
        <is>
          <t>Inactive</t>
        </is>
      </c>
      <c r="G25" s="20">
        <f>SUMIF(RFM!$H$8:$H$437,$F25,RFM!$D$8:$D$437)</f>
        <v/>
      </c>
      <c r="H25" s="10">
        <f>COUNTIF(RFM!$H$8:$H$437,$F25)</f>
        <v/>
      </c>
    </row>
    <row r="26">
      <c r="A26" s="10" t="inlineStr">
        <is>
          <t>2025-12</t>
        </is>
      </c>
      <c r="B26" s="10">
        <f>COUNTIFS('Clean Data'!$L$2:$L$1565,$A26)</f>
        <v/>
      </c>
      <c r="C26" s="20">
        <f>SUMIFS('Clean Data'!$K$2:$K$1565,'Clean Data'!$L$2:$L$1565,$A26)</f>
        <v/>
      </c>
      <c r="D26" s="20">
        <f>IFERROR(C26/B26,0)</f>
        <v/>
      </c>
    </row>
    <row r="27">
      <c r="A27" s="10" t="inlineStr">
        <is>
          <t>2026-01</t>
        </is>
      </c>
      <c r="B27" s="10">
        <f>COUNTIFS('Clean Data'!$L$2:$L$1565,$A27)</f>
        <v/>
      </c>
      <c r="C27" s="20">
        <f>SUMIFS('Clean Data'!$K$2:$K$1565,'Clean Data'!$L$2:$L$1565,$A27)</f>
        <v/>
      </c>
      <c r="D27" s="20">
        <f>IFERROR(C27/B27,0)</f>
        <v/>
      </c>
    </row>
    <row r="28">
      <c r="A28" s="10" t="inlineStr">
        <is>
          <t>2026-02</t>
        </is>
      </c>
      <c r="B28" s="10">
        <f>COUNTIFS('Clean Data'!$L$2:$L$1565,$A28)</f>
        <v/>
      </c>
      <c r="C28" s="20">
        <f>SUMIFS('Clean Data'!$K$2:$K$1565,'Clean Data'!$L$2:$L$1565,$A28)</f>
        <v/>
      </c>
      <c r="D28" s="20">
        <f>IFERROR(C28/B28,0)</f>
        <v/>
      </c>
    </row>
    <row r="29">
      <c r="A29" s="10" t="inlineStr">
        <is>
          <t>2026-03</t>
        </is>
      </c>
      <c r="B29" s="10">
        <f>COUNTIFS('Clean Data'!$L$2:$L$1565,$A29)</f>
        <v/>
      </c>
      <c r="C29" s="20">
        <f>SUMIFS('Clean Data'!$K$2:$K$1565,'Clean Data'!$L$2:$L$1565,$A29)</f>
        <v/>
      </c>
      <c r="D29" s="20">
        <f>IFERROR(C29/B29,0)</f>
        <v/>
      </c>
    </row>
    <row r="30">
      <c r="A30" s="10" t="inlineStr">
        <is>
          <t>2026-04</t>
        </is>
      </c>
      <c r="B30" s="10">
        <f>COUNTIFS('Clean Data'!$L$2:$L$1565,$A30)</f>
        <v/>
      </c>
      <c r="C30" s="20">
        <f>SUMIFS('Clean Data'!$K$2:$K$1565,'Clean Data'!$L$2:$L$1565,$A30)</f>
        <v/>
      </c>
      <c r="D30" s="20">
        <f>IFERROR(C30/B30,0)</f>
        <v/>
      </c>
    </row>
    <row r="31">
      <c r="A31" s="10" t="inlineStr">
        <is>
          <t>2026-05</t>
        </is>
      </c>
      <c r="B31" s="10">
        <f>COUNTIFS('Clean Data'!$L$2:$L$1565,$A31)</f>
        <v/>
      </c>
      <c r="C31" s="20">
        <f>SUMIFS('Clean Data'!$K$2:$K$1565,'Clean Data'!$L$2:$L$1565,$A31)</f>
        <v/>
      </c>
      <c r="D31" s="20">
        <f>IFERROR(C31/B31,0)</f>
        <v/>
      </c>
    </row>
    <row r="32">
      <c r="A32" s="10" t="inlineStr">
        <is>
          <t>2026-06</t>
        </is>
      </c>
      <c r="B32" s="10">
        <f>COUNTIFS('Clean Data'!$L$2:$L$1565,$A32)</f>
        <v/>
      </c>
      <c r="C32" s="20">
        <f>SUMIFS('Clean Data'!$K$2:$K$1565,'Clean Data'!$L$2:$L$1565,$A32)</f>
        <v/>
      </c>
      <c r="D32" s="20">
        <f>IFERROR(C32/B32,0)</f>
        <v/>
      </c>
    </row>
    <row r="35">
      <c r="A35" s="6" t="inlineStr">
        <is>
          <t>Pareto: products by revenue (cumulative share)</t>
        </is>
      </c>
    </row>
    <row r="36" ht="26" customHeight="1">
      <c r="A36" s="9" t="inlineStr">
        <is>
          <t>Product</t>
        </is>
      </c>
      <c r="B36" s="9" t="inlineStr">
        <is>
          <t>Revenue</t>
        </is>
      </c>
      <c r="C36" s="9" t="inlineStr">
        <is>
          <t>Cumulative %</t>
        </is>
      </c>
    </row>
    <row r="37">
      <c r="A37" s="10" t="inlineStr">
        <is>
          <t>Set Wadah Kedap</t>
        </is>
      </c>
      <c r="B37" s="20">
        <f>SUMIF('Clean Data'!$H$2:$H$1565,$A37,'Clean Data'!$K$2:$K$1565)</f>
        <v/>
      </c>
      <c r="C37" s="26">
        <f>SUM($B$37:$B37)/SUM($B$37:$B$60)</f>
        <v/>
      </c>
    </row>
    <row r="38">
      <c r="A38" s="10" t="inlineStr">
        <is>
          <t>Webcam HD</t>
        </is>
      </c>
      <c r="B38" s="20">
        <f>SUMIF('Clean Data'!$H$2:$H$1565,$A38,'Clean Data'!$K$2:$K$1565)</f>
        <v/>
      </c>
      <c r="C38" s="26">
        <f>SUM($B$37:$B38)/SUM($B$37:$B$60)</f>
        <v/>
      </c>
    </row>
    <row r="39">
      <c r="A39" s="10" t="inlineStr">
        <is>
          <t>Smartwatch</t>
        </is>
      </c>
      <c r="B39" s="20">
        <f>SUMIF('Clean Data'!$H$2:$H$1565,$A39,'Clean Data'!$K$2:$K$1565)</f>
        <v/>
      </c>
      <c r="C39" s="26">
        <f>SUM($B$37:$B39)/SUM($B$37:$B$60)</f>
        <v/>
      </c>
    </row>
    <row r="40">
      <c r="A40" s="10" t="inlineStr">
        <is>
          <t>Power Bank 20K</t>
        </is>
      </c>
      <c r="B40" s="20">
        <f>SUMIF('Clean Data'!$H$2:$H$1565,$A40,'Clean Data'!$K$2:$K$1565)</f>
        <v/>
      </c>
      <c r="C40" s="26">
        <f>SUM($B$37:$B40)/SUM($B$37:$B$60)</f>
        <v/>
      </c>
    </row>
    <row r="41">
      <c r="A41" s="10" t="inlineStr">
        <is>
          <t>Earbuds TWS</t>
        </is>
      </c>
      <c r="B41" s="20">
        <f>SUMIF('Clean Data'!$H$2:$H$1565,$A41,'Clean Data'!$K$2:$K$1565)</f>
        <v/>
      </c>
      <c r="C41" s="26">
        <f>SUM($B$37:$B41)/SUM($B$37:$B$60)</f>
        <v/>
      </c>
    </row>
    <row r="42">
      <c r="A42" s="10" t="inlineStr">
        <is>
          <t>Celana Chino</t>
        </is>
      </c>
      <c r="B42" s="20">
        <f>SUMIF('Clean Data'!$H$2:$H$1565,$A42,'Clean Data'!$K$2:$K$1565)</f>
        <v/>
      </c>
      <c r="C42" s="26">
        <f>SUM($B$37:$B42)/SUM($B$37:$B$60)</f>
        <v/>
      </c>
    </row>
    <row r="43">
      <c r="A43" s="10" t="inlineStr">
        <is>
          <t>Keyboard Mekanik</t>
        </is>
      </c>
      <c r="B43" s="20">
        <f>SUMIF('Clean Data'!$H$2:$H$1565,$A43,'Clean Data'!$K$2:$K$1565)</f>
        <v/>
      </c>
      <c r="C43" s="26">
        <f>SUM($B$37:$B43)/SUM($B$37:$B$60)</f>
        <v/>
      </c>
    </row>
    <row r="44">
      <c r="A44" s="10" t="inlineStr">
        <is>
          <t>Dress Casual</t>
        </is>
      </c>
      <c r="B44" s="20">
        <f>SUMIF('Clean Data'!$H$2:$H$1565,$A44,'Clean Data'!$K$2:$K$1565)</f>
        <v/>
      </c>
      <c r="C44" s="26">
        <f>SUM($B$37:$B44)/SUM($B$37:$B$60)</f>
        <v/>
      </c>
    </row>
    <row r="45">
      <c r="A45" s="10" t="inlineStr">
        <is>
          <t>Organizer Laci</t>
        </is>
      </c>
      <c r="B45" s="20">
        <f>SUMIF('Clean Data'!$H$2:$H$1565,$A45,'Clean Data'!$K$2:$K$1565)</f>
        <v/>
      </c>
      <c r="C45" s="26">
        <f>SUM($B$37:$B45)/SUM($B$37:$B$60)</f>
        <v/>
      </c>
    </row>
    <row r="46">
      <c r="A46" s="10" t="inlineStr">
        <is>
          <t>Diffuser Aroma</t>
        </is>
      </c>
      <c r="B46" s="20">
        <f>SUMIF('Clean Data'!$H$2:$H$1565,$A46,'Clean Data'!$K$2:$K$1565)</f>
        <v/>
      </c>
      <c r="C46" s="26">
        <f>SUM($B$37:$B46)/SUM($B$37:$B$60)</f>
        <v/>
      </c>
    </row>
    <row r="47">
      <c r="A47" s="10" t="inlineStr">
        <is>
          <t>Granola 500g</t>
        </is>
      </c>
      <c r="B47" s="20">
        <f>SUMIF('Clean Data'!$H$2:$H$1565,$A47,'Clean Data'!$K$2:$K$1565)</f>
        <v/>
      </c>
      <c r="C47" s="26">
        <f>SUM($B$37:$B47)/SUM($B$37:$B$60)</f>
        <v/>
      </c>
    </row>
    <row r="48">
      <c r="A48" s="10" t="inlineStr">
        <is>
          <t>Masker Wajah (5s)</t>
        </is>
      </c>
      <c r="B48" s="20">
        <f>SUMIF('Clean Data'!$H$2:$H$1565,$A48,'Clean Data'!$K$2:$K$1565)</f>
        <v/>
      </c>
      <c r="C48" s="26">
        <f>SUM($B$37:$B48)/SUM($B$37:$B$60)</f>
        <v/>
      </c>
    </row>
    <row r="49">
      <c r="A49" s="10" t="inlineStr">
        <is>
          <t>Karpet Bulu</t>
        </is>
      </c>
      <c r="B49" s="20">
        <f>SUMIF('Clean Data'!$H$2:$H$1565,$A49,'Clean Data'!$K$2:$K$1565)</f>
        <v/>
      </c>
      <c r="C49" s="26">
        <f>SUM($B$37:$B49)/SUM($B$37:$B$60)</f>
        <v/>
      </c>
    </row>
    <row r="50">
      <c r="A50" s="10" t="inlineStr">
        <is>
          <t>Kemeja Linen</t>
        </is>
      </c>
      <c r="B50" s="20">
        <f>SUMIF('Clean Data'!$H$2:$H$1565,$A50,'Clean Data'!$K$2:$K$1565)</f>
        <v/>
      </c>
      <c r="C50" s="26">
        <f>SUM($B$37:$B50)/SUM($B$37:$B$60)</f>
        <v/>
      </c>
    </row>
    <row r="51">
      <c r="A51" s="10" t="inlineStr">
        <is>
          <t>Madu Hutan 250ml</t>
        </is>
      </c>
      <c r="B51" s="20">
        <f>SUMIF('Clean Data'!$H$2:$H$1565,$A51,'Clean Data'!$K$2:$K$1565)</f>
        <v/>
      </c>
      <c r="C51" s="26">
        <f>SUM($B$37:$B51)/SUM($B$37:$B$60)</f>
        <v/>
      </c>
    </row>
    <row r="52">
      <c r="A52" s="10" t="inlineStr">
        <is>
          <t>Serum Vit C</t>
        </is>
      </c>
      <c r="B52" s="20">
        <f>SUMIF('Clean Data'!$H$2:$H$1565,$A52,'Clean Data'!$K$2:$K$1565)</f>
        <v/>
      </c>
      <c r="C52" s="26">
        <f>SUM($B$37:$B52)/SUM($B$37:$B$60)</f>
        <v/>
      </c>
    </row>
    <row r="53">
      <c r="A53" s="10" t="inlineStr">
        <is>
          <t>Kaos Premium</t>
        </is>
      </c>
      <c r="B53" s="20">
        <f>SUMIF('Clean Data'!$H$2:$H$1565,$A53,'Clean Data'!$K$2:$K$1565)</f>
        <v/>
      </c>
      <c r="C53" s="26">
        <f>SUM($B$37:$B53)/SUM($B$37:$B$60)</f>
        <v/>
      </c>
    </row>
    <row r="54">
      <c r="A54" s="10" t="inlineStr">
        <is>
          <t>Jaket Denim</t>
        </is>
      </c>
      <c r="B54" s="20">
        <f>SUMIF('Clean Data'!$H$2:$H$1565,$A54,'Clean Data'!$K$2:$K$1565)</f>
        <v/>
      </c>
      <c r="C54" s="26">
        <f>SUM($B$37:$B54)/SUM($B$37:$B$60)</f>
        <v/>
      </c>
    </row>
    <row r="55">
      <c r="A55" s="10" t="inlineStr">
        <is>
          <t>Lampu Meja LED</t>
        </is>
      </c>
      <c r="B55" s="20">
        <f>SUMIF('Clean Data'!$H$2:$H$1565,$A55,'Clean Data'!$K$2:$K$1565)</f>
        <v/>
      </c>
      <c r="C55" s="26">
        <f>SUM($B$37:$B55)/SUM($B$37:$B$60)</f>
        <v/>
      </c>
    </row>
    <row r="56">
      <c r="A56" s="10" t="inlineStr">
        <is>
          <t>Lip Tint</t>
        </is>
      </c>
      <c r="B56" s="20">
        <f>SUMIF('Clean Data'!$H$2:$H$1565,$A56,'Clean Data'!$K$2:$K$1565)</f>
        <v/>
      </c>
      <c r="C56" s="26">
        <f>SUM($B$37:$B56)/SUM($B$37:$B$60)</f>
        <v/>
      </c>
    </row>
    <row r="57">
      <c r="A57" s="10" t="inlineStr">
        <is>
          <t>Teh Herbal (15s)</t>
        </is>
      </c>
      <c r="B57" s="20">
        <f>SUMIF('Clean Data'!$H$2:$H$1565,$A57,'Clean Data'!$K$2:$K$1565)</f>
        <v/>
      </c>
      <c r="C57" s="26">
        <f>SUM($B$37:$B57)/SUM($B$37:$B$60)</f>
        <v/>
      </c>
    </row>
    <row r="58">
      <c r="A58" s="10" t="inlineStr">
        <is>
          <t>Keripik Sehat</t>
        </is>
      </c>
      <c r="B58" s="20">
        <f>SUMIF('Clean Data'!$H$2:$H$1565,$A58,'Clean Data'!$K$2:$K$1565)</f>
        <v/>
      </c>
      <c r="C58" s="26">
        <f>SUM($B$37:$B58)/SUM($B$37:$B$60)</f>
        <v/>
      </c>
    </row>
    <row r="59">
      <c r="A59" s="10" t="inlineStr">
        <is>
          <t>Toner Glow</t>
        </is>
      </c>
      <c r="B59" s="20">
        <f>SUMIF('Clean Data'!$H$2:$H$1565,$A59,'Clean Data'!$K$2:$K$1565)</f>
        <v/>
      </c>
      <c r="C59" s="26">
        <f>SUM($B$37:$B59)/SUM($B$37:$B$60)</f>
        <v/>
      </c>
    </row>
    <row r="60">
      <c r="A60" s="10" t="inlineStr">
        <is>
          <t>Sunscreen SPF50</t>
        </is>
      </c>
      <c r="B60" s="20">
        <f>SUMIF('Clean Data'!$H$2:$H$1565,$A60,'Clean Data'!$K$2:$K$1565)</f>
        <v/>
      </c>
      <c r="C60" s="26">
        <f>SUM($B$37:$B60)/SUM($B$37:$B$60)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7" t="inlineStr">
        <is>
          <t>DASHBOARD</t>
        </is>
      </c>
    </row>
    <row r="2">
      <c r="A2" s="8" t="inlineStr">
        <is>
          <t>E-commerce Sales and Customer Analysis. Charts read live from the Analysis tab. Same view as the web case study.</t>
        </is>
      </c>
    </row>
    <row r="4">
      <c r="A4" s="28" t="inlineStr">
        <is>
          <t>Total revenue</t>
        </is>
      </c>
      <c r="C4" s="28" t="inlineStr">
        <is>
          <t>Orders</t>
        </is>
      </c>
      <c r="E4" s="28" t="inlineStr">
        <is>
          <t>Avg order value</t>
        </is>
      </c>
      <c r="G4" s="28" t="inlineStr">
        <is>
          <t>Customers</t>
        </is>
      </c>
      <c r="I4" s="28" t="inlineStr">
        <is>
          <t>Champions share</t>
        </is>
      </c>
      <c r="K4" s="28" t="inlineStr">
        <is>
          <t>At risk</t>
        </is>
      </c>
    </row>
    <row r="5">
      <c r="A5" s="29">
        <f>Analysis!B4</f>
        <v/>
      </c>
      <c r="C5" s="30">
        <f>Analysis!B5</f>
        <v/>
      </c>
      <c r="E5" s="29">
        <f>Analysis!B6</f>
        <v/>
      </c>
      <c r="G5" s="30">
        <f>Analysis!B7</f>
        <v/>
      </c>
      <c r="I5" s="31">
        <f>Analysis!B9</f>
        <v/>
      </c>
      <c r="K5" s="30">
        <f>Analysis!B10</f>
        <v/>
      </c>
    </row>
    <row r="24">
      <c r="A24" s="32" t="inlineStr">
        <is>
          <t>Seasonal peaks around Lebaran and year-end. Plan stock and ads ahead of them.</t>
        </is>
      </c>
    </row>
    <row r="43">
      <c r="A43" s="32" t="inlineStr">
        <is>
          <t>Shopee leads. Concentrate spend where revenue already converts.</t>
        </is>
      </c>
      <c r="I43" s="32" t="inlineStr">
        <is>
          <t>A few categories carry the revenue. The rest is a long tail.</t>
        </is>
      </c>
    </row>
    <row r="62">
      <c r="A62" s="32" t="inlineStr">
        <is>
          <t>Champions and Loyal carry the business. At risk is revenue worth winning back now.</t>
        </is>
      </c>
    </row>
    <row r="82">
      <c r="A82" s="32" t="inlineStr">
        <is>
          <t>A small set of products drives roughly 80 percent of revenue. Protect and promote those first.</t>
        </is>
      </c>
    </row>
    <row r="86">
      <c r="A86" s="7" t="inlineStr">
        <is>
          <t>Recommendations</t>
        </is>
      </c>
    </row>
    <row r="87">
      <c r="A87" s="33" t="inlineStr">
        <is>
          <t>- Concentrate ad spend on the top channel and the Pareto core products.</t>
        </is>
      </c>
    </row>
    <row r="88">
      <c r="A88" s="33" t="inlineStr">
        <is>
          <t>- Launch a win-back offer for the At risk segment before they churn.</t>
        </is>
      </c>
    </row>
    <row r="89">
      <c r="A89" s="33" t="inlineStr">
        <is>
          <t>- Reward Champions and Loyal customers, they generate most of the revenue.</t>
        </is>
      </c>
    </row>
    <row r="90">
      <c r="A90" s="33" t="inlineStr">
        <is>
          <t>- Pre-stock for the seasonal peaks visible in the monthly trend.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one-click clean a fresh raw paste.</t>
        </is>
      </c>
    </row>
    <row r="4">
      <c r="A4" s="34" t="inlineStr">
        <is>
          <t>Attribute VB_Name = "Module1"</t>
        </is>
      </c>
    </row>
    <row r="5">
      <c r="A5" s="34" t="inlineStr">
        <is>
          <t>' One-click cleaner for a freshly pasted raw export on the "Raw Data" sheet.</t>
        </is>
      </c>
    </row>
    <row r="6">
      <c r="A6" s="34" t="inlineStr">
        <is>
          <t>' Normalises channel/category text and converts "Rp 1.234" text to real numbers.</t>
        </is>
      </c>
    </row>
    <row r="7">
      <c r="A7" s="34" t="inlineStr">
        <is>
          <t>Sub CleanRawData()</t>
        </is>
      </c>
    </row>
    <row r="8">
      <c r="A8" s="34" t="inlineStr">
        <is>
          <t xml:space="preserve">    Dim ws As Worksheet, lastRow As Long, r As Long, v As String</t>
        </is>
      </c>
    </row>
    <row r="9">
      <c r="A9" s="34" t="inlineStr">
        <is>
          <t xml:space="preserve">    Set ws = ThisWorkbook.Sheets("Raw Data")</t>
        </is>
      </c>
    </row>
    <row r="10">
      <c r="A10" s="34" t="inlineStr">
        <is>
          <t xml:space="preserve">    lastRow = ws.Cells(ws.Rows.Count, 1).End(xlUp).Row</t>
        </is>
      </c>
    </row>
    <row r="11">
      <c r="A11" s="34" t="inlineStr">
        <is>
          <t xml:space="preserve">    Application.ScreenUpdating = False</t>
        </is>
      </c>
    </row>
    <row r="12">
      <c r="A12" s="34" t="inlineStr">
        <is>
          <t xml:space="preserve">    For r = 5 To lastRow</t>
        </is>
      </c>
    </row>
    <row r="13">
      <c r="A13" s="34" t="inlineStr">
        <is>
          <t xml:space="preserve">        ws.Cells(r, 5).Value = Application.WorksheetFunction.Proper(Trim(ws.Cells(r, 5).Value))</t>
        </is>
      </c>
    </row>
    <row r="14">
      <c r="A14" s="34" t="inlineStr">
        <is>
          <t xml:space="preserve">        ws.Cells(r, 7).Value = Application.WorksheetFunction.Proper(Trim(ws.Cells(r, 7).Value))</t>
        </is>
      </c>
    </row>
    <row r="15">
      <c r="A15" s="34" t="inlineStr">
        <is>
          <t xml:space="preserve">        v = CStr(ws.Cells(r, 11).Value)</t>
        </is>
      </c>
    </row>
    <row r="16">
      <c r="A16" s="34" t="inlineStr">
        <is>
          <t xml:space="preserve">        If InStr(1, v, "Rp", vbTextCompare) &gt; 0 Then</t>
        </is>
      </c>
    </row>
    <row r="17">
      <c r="A17" s="34" t="inlineStr">
        <is>
          <t xml:space="preserve">            v = Trim(Replace(Replace(v, "Rp", ""), ".", ""))</t>
        </is>
      </c>
    </row>
    <row r="18">
      <c r="A18" s="34" t="inlineStr">
        <is>
          <t xml:space="preserve">            If IsNumeric(v) Then ws.Cells(r, 11).Value = CLng(v)</t>
        </is>
      </c>
    </row>
    <row r="19">
      <c r="A19" s="34" t="inlineStr">
        <is>
          <t xml:space="preserve">        End If</t>
        </is>
      </c>
    </row>
    <row r="20">
      <c r="A20" s="34" t="inlineStr">
        <is>
          <t xml:space="preserve">    Next r</t>
        </is>
      </c>
    </row>
    <row r="21">
      <c r="A21" s="34" t="inlineStr">
        <is>
          <t xml:space="preserve">    Application.ScreenUpdating = True</t>
        </is>
      </c>
    </row>
    <row r="22">
      <c r="A22" s="34" t="inlineStr">
        <is>
          <t xml:space="preserve">    MsgBox "Raw data cleaned: " &amp; (lastRow - 4) &amp; " rows processed.", vbInformation</t>
        </is>
      </c>
    </row>
    <row r="23">
      <c r="A23" s="34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2026-06-22T08:12:45Z</dcterms:created>
  <dcterms:modified xmlns:dcterms="http://purl.org/dc/terms/" xmlns:xsi="http://www.w3.org/2001/XMLSchema-instance" xsi:type="dcterms:W3CDTF">2026-06-22T08:12:47Z</dcterms:modified>
</cp:coreProperties>
</file>