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aw Data" sheetId="2" state="visible" r:id="rId2"/>
    <sheet xmlns:r="http://schemas.openxmlformats.org/officeDocument/2006/relationships" name="Cleaning" sheetId="3" state="visible" r:id="rId3"/>
    <sheet xmlns:r="http://schemas.openxmlformats.org/officeDocument/2006/relationships" name="Clean Data" sheetId="4" state="visible" r:id="rId4"/>
    <sheet xmlns:r="http://schemas.openxmlformats.org/officeDocument/2006/relationships" name="Analysis" sheetId="5" state="visible" r:id="rId5"/>
    <sheet xmlns:r="http://schemas.openxmlformats.org/officeDocument/2006/relationships" name="Dashboard" sheetId="6" state="visible" r:id="rId6"/>
    <sheet xmlns:r="http://schemas.openxmlformats.org/officeDocument/2006/relationships" name="VBA" sheetId="7" state="visible" r:id="rId7"/>
  </sheets>
  <definedNames/>
  <calcPr calcId="124519" fullCalcOnLoad="1"/>
</workbook>
</file>

<file path=xl/styles.xml><?xml version="1.0" encoding="utf-8"?>
<styleSheet xmlns="http://schemas.openxmlformats.org/spreadsheetml/2006/main">
  <numFmts count="2">
    <numFmt numFmtId="164" formatCode="_(&quot;Rp&quot;* #,##0_);_(&quot;Rp&quot;* (#,##0);_(&quot;Rp&quot;* &quot;-&quot;??_);_(@_)"/>
    <numFmt numFmtId="165" formatCode="0.0"/>
  </numFmts>
  <fonts count="21">
    <font>
      <name val="Calibri"/>
      <family val="2"/>
      <color theme="1"/>
      <sz val="11"/>
      <scheme val="minor"/>
    </font>
    <font>
      <name val="Calibri"/>
      <b val="1"/>
      <color rgb="005E5E5E"/>
      <sz val="11"/>
    </font>
    <font>
      <name val="Calibri"/>
      <b val="1"/>
      <color rgb="000A0A0A"/>
      <sz val="24"/>
    </font>
    <font>
      <name val="Calibri"/>
      <color rgb="005E5E5E"/>
      <sz val="11"/>
    </font>
    <font>
      <name val="Calibri"/>
      <b val="1"/>
      <color rgb="000A0A0A"/>
      <sz val="11"/>
    </font>
    <font>
      <name val="Calibri"/>
      <color rgb="00303030"/>
      <sz val="11"/>
    </font>
    <font>
      <name val="Calibri"/>
      <b val="1"/>
      <color rgb="000A0A0A"/>
      <sz val="12"/>
    </font>
    <font>
      <name val="Calibri"/>
      <b val="1"/>
      <color rgb="000A0A0A"/>
      <sz val="13"/>
    </font>
    <font>
      <name val="Calibri"/>
      <color rgb="005E5E5E"/>
      <sz val="10"/>
    </font>
    <font>
      <name val="Calibri"/>
      <b val="1"/>
      <color rgb="00FFFFFF"/>
      <sz val="11"/>
    </font>
    <font>
      <name val="Calibri"/>
      <color rgb="000A0A0A"/>
      <sz val="10"/>
    </font>
    <font>
      <name val="Calibri"/>
      <b val="1"/>
      <color rgb="000A0A0A"/>
      <sz val="15"/>
    </font>
    <font>
      <name val="Calibri"/>
      <i val="1"/>
      <color rgb="00404040"/>
      <sz val="10"/>
    </font>
    <font>
      <name val="Calibri"/>
      <b val="1"/>
      <color rgb="000A0A0A"/>
      <sz val="10"/>
    </font>
    <font>
      <name val="Calibri"/>
      <color rgb="00404040"/>
      <sz val="10"/>
    </font>
    <font>
      <name val="Calibri"/>
      <color rgb="005E5E5E"/>
      <sz val="9"/>
    </font>
    <font>
      <name val="Calibri"/>
      <color rgb="000A0A0A"/>
      <sz val="11"/>
    </font>
    <font>
      <name val="Calibri"/>
      <b val="1"/>
      <color rgb="000A0A0A"/>
      <sz val="20"/>
    </font>
    <font>
      <name val="Calibri"/>
      <b val="1"/>
      <color rgb="00FFFFFF"/>
      <sz val="9"/>
    </font>
    <font>
      <name val="Calibri"/>
      <color rgb="00303030"/>
      <sz val="10"/>
    </font>
    <font>
      <name val="Consolas"/>
      <color rgb="001A1A1A"/>
      <sz val="10"/>
    </font>
  </fonts>
  <fills count="5">
    <fill>
      <patternFill/>
    </fill>
    <fill>
      <patternFill patternType="gray125"/>
    </fill>
    <fill>
      <patternFill patternType="solid">
        <fgColor rgb="00111111"/>
      </patternFill>
    </fill>
    <fill>
      <patternFill patternType="solid">
        <fgColor rgb="00EAF3EA"/>
      </patternFill>
    </fill>
    <fill>
      <patternFill patternType="solid">
        <fgColor rgb="00F4F4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left" vertical="center" wrapText="1"/>
    </xf>
    <xf numFmtId="0" fontId="10" fillId="0" borderId="0" pivotButton="0" quotePrefix="0" xfId="0"/>
    <xf numFmtId="0" fontId="11" fillId="0" borderId="0" pivotButton="0" quotePrefix="0" xfId="0"/>
    <xf numFmtId="0" fontId="10"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4" fillId="0" borderId="0" pivotButton="0" quotePrefix="0" xfId="0"/>
    <xf numFmtId="0" fontId="13" fillId="3" borderId="0" pivotButton="0" quotePrefix="0" xfId="0"/>
    <xf numFmtId="164" fontId="10" fillId="0" borderId="0" pivotButton="0" quotePrefix="0" xfId="0"/>
    <xf numFmtId="3" fontId="10" fillId="0" borderId="0" pivotButton="0" quotePrefix="0" xfId="0"/>
    <xf numFmtId="0" fontId="15" fillId="0" borderId="0" pivotButton="0" quotePrefix="0" xfId="0"/>
    <xf numFmtId="0" fontId="16" fillId="0" borderId="0" pivotButton="0" quotePrefix="0" xfId="0"/>
    <xf numFmtId="3" fontId="4" fillId="0" borderId="0" pivotButton="0" quotePrefix="0" xfId="0"/>
    <xf numFmtId="164" fontId="4" fillId="0" borderId="0" pivotButton="0" quotePrefix="0" xfId="0"/>
    <xf numFmtId="9" fontId="4" fillId="0" borderId="0" pivotButton="0" quotePrefix="0" xfId="0"/>
    <xf numFmtId="165" fontId="10" fillId="0" borderId="0" pivotButton="0" quotePrefix="0" xfId="0"/>
    <xf numFmtId="0" fontId="17" fillId="0" borderId="0" pivotButton="0" quotePrefix="0" xfId="0"/>
    <xf numFmtId="0" fontId="18" fillId="2" borderId="0" applyAlignment="1" pivotButton="0" quotePrefix="0" xfId="0">
      <alignment horizontal="left"/>
    </xf>
    <xf numFmtId="3" fontId="6" fillId="4" borderId="0" pivotButton="0" quotePrefix="0" xfId="0"/>
    <xf numFmtId="164" fontId="6" fillId="4" borderId="0" pivotButton="0" quotePrefix="0" xfId="0"/>
    <xf numFmtId="9" fontId="6" fillId="4" borderId="0" pivotButton="0" quotePrefix="0" xfId="0"/>
    <xf numFmtId="1" fontId="6" fillId="4" borderId="0" pivotButton="0" quotePrefix="0" xfId="0"/>
    <xf numFmtId="0" fontId="15" fillId="0" borderId="0" applyAlignment="1" pivotButton="0" quotePrefix="0" xfId="0">
      <alignment vertical="top" wrapText="1"/>
    </xf>
    <xf numFmtId="0" fontId="19" fillId="0" borderId="0" pivotButton="0" quotePrefix="0" xfId="0"/>
    <xf numFmtId="0" fontId="2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Segment size (customers)</a:t>
            </a:r>
          </a:p>
        </rich>
      </tx>
    </title>
    <plotArea>
      <barChart>
        <barDir val="col"/>
        <grouping val="clustered"/>
        <ser>
          <idx val="0"/>
          <order val="0"/>
          <tx>
            <strRef>
              <f>'Analysis'!B13</f>
            </strRef>
          </tx>
          <spPr>
            <a:solidFill xmlns:a="http://schemas.openxmlformats.org/drawingml/2006/main">
              <a:srgbClr val="262626"/>
            </a:solidFill>
            <a:ln xmlns:a="http://schemas.openxmlformats.org/drawingml/2006/main">
              <a:solidFill>
                <a:srgbClr val="262626"/>
              </a:solidFill>
              <a:prstDash val="solid"/>
            </a:ln>
          </spPr>
          <cat>
            <numRef>
              <f>'Analysis'!$A$14:$A$17</f>
            </numRef>
          </cat>
          <val>
            <numRef>
              <f>'Analysis'!$B$14:$B$17</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Revenue contribution by segment</a:t>
            </a:r>
          </a:p>
        </rich>
      </tx>
    </title>
    <plotArea>
      <barChart>
        <barDir val="bar"/>
        <grouping val="clustered"/>
        <ser>
          <idx val="0"/>
          <order val="0"/>
          <tx>
            <strRef>
              <f>'Analysis'!C13</f>
            </strRef>
          </tx>
          <spPr>
            <a:solidFill xmlns:a="http://schemas.openxmlformats.org/drawingml/2006/main">
              <a:srgbClr val="6A6A6A"/>
            </a:solidFill>
            <a:ln xmlns:a="http://schemas.openxmlformats.org/drawingml/2006/main">
              <a:solidFill>
                <a:srgbClr val="6A6A6A"/>
              </a:solidFill>
              <a:prstDash val="solid"/>
            </a:ln>
          </spPr>
          <cat>
            <numRef>
              <f>'Analysis'!$A$14:$A$17</f>
            </numRef>
          </cat>
          <val>
            <numRef>
              <f>'Analysis'!$C$14:$C$17</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Average spend per customer by segment</a:t>
            </a:r>
          </a:p>
        </rich>
      </tx>
    </title>
    <plotArea>
      <barChart>
        <barDir val="col"/>
        <grouping val="clustered"/>
        <ser>
          <idx val="0"/>
          <order val="0"/>
          <tx>
            <strRef>
              <f>'Analysis'!D13</f>
            </strRef>
          </tx>
          <spPr>
            <a:solidFill xmlns:a="http://schemas.openxmlformats.org/drawingml/2006/main">
              <a:srgbClr val="262626"/>
            </a:solidFill>
            <a:ln xmlns:a="http://schemas.openxmlformats.org/drawingml/2006/main">
              <a:solidFill>
                <a:srgbClr val="262626"/>
              </a:solidFill>
              <a:prstDash val="solid"/>
            </a:ln>
          </spPr>
          <cat>
            <numRef>
              <f>'Analysis'!$A$14:$A$17</f>
            </numRef>
          </cat>
          <val>
            <numRef>
              <f>'Analysis'!$D$14:$D$17</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7</row>
      <rowOff>0</rowOff>
    </from>
    <ext cx="5400000" cy="26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7</row>
      <rowOff>0</rowOff>
    </from>
    <ext cx="5400000" cy="266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26</row>
      <rowOff>0</rowOff>
    </from>
    <ext cx="12240000" cy="2664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B22"/>
  <sheetViews>
    <sheetView showGridLines="0" workbookViewId="0">
      <selection activeCell="A1" sqref="A1"/>
    </sheetView>
  </sheetViews>
  <sheetFormatPr baseColWidth="8" defaultRowHeight="15"/>
  <cols>
    <col width="2" customWidth="1" min="1" max="1"/>
    <col width="104" customWidth="1" min="2" max="2"/>
  </cols>
  <sheetData>
    <row r="2">
      <c r="B2" s="1" t="inlineStr">
        <is>
          <t>CASE STUDY 08</t>
        </is>
      </c>
    </row>
    <row r="3">
      <c r="B3" s="2" t="inlineStr">
        <is>
          <t>Customer Segmentation</t>
        </is>
      </c>
    </row>
    <row r="4">
      <c r="B4" s="3" t="inlineStr">
        <is>
          <t>David Izzulhaq, Data Analyst   |   davidizzulhaq.github.io</t>
        </is>
      </c>
    </row>
    <row r="6">
      <c r="B6" s="4" t="inlineStr">
        <is>
          <t>Business question</t>
        </is>
      </c>
    </row>
    <row r="7" ht="46" customHeight="1">
      <c r="B7" s="5" t="inlineStr">
        <is>
          <t>We treat every customer the same. Who are our most valuable customers, who is slipping away, and how should each group be handled differently?</t>
        </is>
      </c>
    </row>
    <row r="9">
      <c r="B9" s="4" t="inlineStr">
        <is>
          <t>Dataset</t>
        </is>
      </c>
    </row>
    <row r="10" ht="46" customHeight="1">
      <c r="B10" s="5" t="inlineStr">
        <is>
          <t>1,100 customers with total spend, order count, tenure and recency. The raw export had text-numbers, unit text and blanks.</t>
        </is>
      </c>
    </row>
    <row r="12">
      <c r="B12" s="4" t="inlineStr">
        <is>
          <t>Method</t>
        </is>
      </c>
    </row>
    <row r="13" ht="46" customHeight="1">
      <c r="B13" s="5" t="inlineStr">
        <is>
          <t>1) Clean and standardise.  2) Segment customers on value (spend) and engagement (recency) into four groups.  3) Profile each segment by spend, orders, tenure and recency.  4) Size each segment and its revenue contribution.</t>
        </is>
      </c>
    </row>
    <row r="15">
      <c r="B15" s="4" t="inlineStr">
        <is>
          <t>Headline results</t>
        </is>
      </c>
    </row>
    <row r="16" ht="46" customHeight="1">
      <c r="B16" s="5" t="inlineStr">
        <is>
          <t>Four clear segments emerge: VIPs to protect, Loyal to nurture, At risk to win back, and Dormant to re-activate or let go. A small VIP group drives outsized revenue.</t>
        </is>
      </c>
    </row>
    <row r="18">
      <c r="B18" s="4" t="inlineStr">
        <is>
          <t>How to read this file</t>
        </is>
      </c>
    </row>
    <row r="19" ht="46" customHeight="1">
      <c r="B19" s="5" t="inlineStr">
        <is>
          <t>Tabs: Raw Data, Cleaning, Clean Data (with a live segment column), Analysis (live segment profile), Dashboard, VBA. Every number is a formula you can audit.</t>
        </is>
      </c>
    </row>
    <row r="22">
      <c r="B22" s="6" t="inlineStr">
        <is>
          <t>Every formula is open. No black boxes.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17"/>
  <sheetViews>
    <sheetView showGridLines="0" workbookViewId="0">
      <pane ySplit="4" topLeftCell="A5" activePane="bottomLeft" state="frozen"/>
      <selection pane="bottomLeft" activeCell="A1" sqref="A1"/>
    </sheetView>
  </sheetViews>
  <sheetFormatPr baseColWidth="8" defaultRowHeight="15"/>
  <cols>
    <col width="13" customWidth="1" min="1" max="1"/>
    <col width="15" customWidth="1" min="2" max="2"/>
    <col width="10" customWidth="1" min="3" max="3"/>
    <col width="13" customWidth="1" min="4" max="4"/>
    <col width="14" customWidth="1" min="5" max="5"/>
  </cols>
  <sheetData>
    <row r="1">
      <c r="A1" s="7" t="inlineStr">
        <is>
          <t>RAW DATA  (as received, before cleaning)</t>
        </is>
      </c>
    </row>
    <row r="2">
      <c r="A2" s="8" t="inlineStr">
        <is>
          <t>1,113 rows. Real-world mess: mixed formats, text-numbers, duplicates, blanks, inconsistent casing.</t>
        </is>
      </c>
    </row>
    <row r="4" ht="26" customHeight="1">
      <c r="A4" s="9" t="inlineStr">
        <is>
          <t>customer_id</t>
        </is>
      </c>
      <c r="B4" s="9" t="inlineStr">
        <is>
          <t>total_spend</t>
        </is>
      </c>
      <c r="C4" s="9" t="inlineStr">
        <is>
          <t>n_orders</t>
        </is>
      </c>
      <c r="D4" s="9" t="inlineStr">
        <is>
          <t>tenure_days</t>
        </is>
      </c>
      <c r="E4" s="9" t="inlineStr">
        <is>
          <t>recency_days</t>
        </is>
      </c>
    </row>
    <row r="5">
      <c r="A5" s="10" t="inlineStr">
        <is>
          <t>C3210</t>
        </is>
      </c>
      <c r="B5" s="10" t="n">
        <v>1674741</v>
      </c>
      <c r="C5" s="10" t="n">
        <v>6</v>
      </c>
      <c r="D5" s="10" t="n">
        <v>13</v>
      </c>
      <c r="E5" s="10" t="n">
        <v>21</v>
      </c>
    </row>
    <row r="6">
      <c r="A6" s="10" t="inlineStr">
        <is>
          <t>C3650</t>
        </is>
      </c>
      <c r="B6" s="10" t="n">
        <v>10180376</v>
      </c>
      <c r="C6" s="10" t="n">
        <v>31</v>
      </c>
      <c r="D6" s="10" t="n">
        <v>637</v>
      </c>
      <c r="E6" s="10" t="inlineStr">
        <is>
          <t>17 days</t>
        </is>
      </c>
    </row>
    <row r="7">
      <c r="A7" s="10" t="inlineStr">
        <is>
          <t>C4056</t>
        </is>
      </c>
      <c r="B7" s="10" t="n">
        <v>2768582</v>
      </c>
      <c r="C7" s="10" t="n">
        <v>21</v>
      </c>
      <c r="D7" s="10" t="n">
        <v>566</v>
      </c>
      <c r="E7" s="10" t="n">
        <v>24</v>
      </c>
    </row>
    <row r="8">
      <c r="A8" s="10" t="inlineStr">
        <is>
          <t>C3190</t>
        </is>
      </c>
      <c r="B8" s="10" t="n">
        <v>529049</v>
      </c>
      <c r="C8" s="10" t="n">
        <v>9</v>
      </c>
      <c r="D8" s="10" t="n">
        <v>165</v>
      </c>
      <c r="E8" s="10" t="n">
        <v>124</v>
      </c>
    </row>
    <row r="9">
      <c r="A9" s="10" t="inlineStr">
        <is>
          <t>C3203</t>
        </is>
      </c>
      <c r="B9" s="10" t="n">
        <v>4904993</v>
      </c>
      <c r="C9" s="10" t="n">
        <v>8</v>
      </c>
      <c r="D9" s="10" t="n">
        <v>294</v>
      </c>
      <c r="E9" s="10" t="n">
        <v>33</v>
      </c>
    </row>
    <row r="10">
      <c r="A10" s="10" t="inlineStr">
        <is>
          <t>C3810</t>
        </is>
      </c>
      <c r="B10" s="10" t="n">
        <v>2663792</v>
      </c>
      <c r="C10" s="10" t="n">
        <v>11</v>
      </c>
      <c r="D10" s="10" t="n">
        <v>433</v>
      </c>
      <c r="E10" s="10" t="n">
        <v>21</v>
      </c>
    </row>
    <row r="11">
      <c r="A11" s="10" t="inlineStr">
        <is>
          <t>C3444</t>
        </is>
      </c>
      <c r="B11" s="10" t="n">
        <v>3546833</v>
      </c>
      <c r="C11" s="10" t="n">
        <v>16</v>
      </c>
      <c r="D11" s="10" t="n">
        <v>272</v>
      </c>
      <c r="E11" s="10" t="n">
        <v>40</v>
      </c>
    </row>
    <row r="12">
      <c r="A12" s="10" t="inlineStr">
        <is>
          <t>C3325</t>
        </is>
      </c>
      <c r="B12" s="10" t="n">
        <v>1612195</v>
      </c>
      <c r="C12" s="10" t="n">
        <v>1</v>
      </c>
      <c r="D12" s="10" t="n">
        <v>25</v>
      </c>
      <c r="E12" s="10" t="inlineStr">
        <is>
          <t>1 days</t>
        </is>
      </c>
    </row>
    <row r="13">
      <c r="A13" s="10" t="inlineStr">
        <is>
          <t>C4099</t>
        </is>
      </c>
      <c r="B13" s="10" t="n">
        <v>995711</v>
      </c>
      <c r="C13" s="10" t="n">
        <v>4</v>
      </c>
      <c r="D13" s="10" t="n">
        <v>487</v>
      </c>
      <c r="E13" s="10" t="n">
        <v>91</v>
      </c>
    </row>
    <row r="14">
      <c r="A14" s="10" t="inlineStr">
        <is>
          <t>C3937</t>
        </is>
      </c>
      <c r="B14" s="10" t="n">
        <v>387345</v>
      </c>
      <c r="C14" s="10" t="n">
        <v>1</v>
      </c>
      <c r="D14" s="10" t="n">
        <v>61</v>
      </c>
      <c r="E14" s="10" t="n">
        <v>30</v>
      </c>
    </row>
    <row r="15">
      <c r="A15" s="10" t="inlineStr">
        <is>
          <t>C3777</t>
        </is>
      </c>
      <c r="B15" s="10" t="inlineStr">
        <is>
          <t>Rp 445.491</t>
        </is>
      </c>
      <c r="C15" s="10" t="n">
        <v>2</v>
      </c>
      <c r="D15" s="10" t="n">
        <v>539</v>
      </c>
      <c r="E15" s="10" t="n">
        <v>40</v>
      </c>
    </row>
    <row r="16">
      <c r="A16" s="10" t="inlineStr">
        <is>
          <t>C3461</t>
        </is>
      </c>
      <c r="B16" s="10" t="n">
        <v>1172926</v>
      </c>
      <c r="C16" s="10" t="n">
        <v>5</v>
      </c>
      <c r="D16" s="10" t="n">
        <v>111</v>
      </c>
      <c r="E16" s="10" t="n">
        <v>91</v>
      </c>
    </row>
    <row r="17">
      <c r="A17" s="10" t="inlineStr">
        <is>
          <t>C3834</t>
        </is>
      </c>
      <c r="B17" s="10" t="n">
        <v>1116501</v>
      </c>
      <c r="C17" s="10" t="n">
        <v>6</v>
      </c>
      <c r="D17" s="10" t="n">
        <v>338</v>
      </c>
      <c r="E17" s="10" t="n">
        <v>127</v>
      </c>
    </row>
    <row r="18">
      <c r="A18" s="10" t="inlineStr">
        <is>
          <t>C3583</t>
        </is>
      </c>
      <c r="B18" s="10" t="n">
        <v>2598561</v>
      </c>
      <c r="C18" s="10" t="n">
        <v>5</v>
      </c>
      <c r="D18" s="10" t="n">
        <v>460</v>
      </c>
      <c r="E18" s="10" t="n">
        <v>31</v>
      </c>
    </row>
    <row r="19">
      <c r="A19" s="10" t="inlineStr">
        <is>
          <t>C3227</t>
        </is>
      </c>
      <c r="B19" s="10" t="n">
        <v>1486516</v>
      </c>
      <c r="C19" s="10" t="n"/>
      <c r="D19" s="10" t="n">
        <v>48</v>
      </c>
      <c r="E19" s="10" t="n">
        <v>55</v>
      </c>
    </row>
    <row r="20">
      <c r="A20" s="10" t="inlineStr">
        <is>
          <t>C4086</t>
        </is>
      </c>
      <c r="B20" s="10" t="n">
        <v>941505</v>
      </c>
      <c r="C20" s="10" t="n">
        <v>4</v>
      </c>
      <c r="D20" s="10" t="n">
        <v>69</v>
      </c>
      <c r="E20" s="10" t="n">
        <v>64</v>
      </c>
    </row>
    <row r="21">
      <c r="A21" s="10" t="inlineStr">
        <is>
          <t>C3048</t>
        </is>
      </c>
      <c r="B21" s="10" t="n">
        <v>1398014</v>
      </c>
      <c r="C21" s="10" t="n">
        <v>4</v>
      </c>
      <c r="D21" s="10" t="n">
        <v>38</v>
      </c>
      <c r="E21" s="10" t="n">
        <v>4</v>
      </c>
    </row>
    <row r="22">
      <c r="A22" s="10" t="inlineStr">
        <is>
          <t>C3477</t>
        </is>
      </c>
      <c r="B22" s="10" t="inlineStr">
        <is>
          <t>Rp 445.700</t>
        </is>
      </c>
      <c r="C22" s="10" t="n">
        <v>3</v>
      </c>
      <c r="D22" s="10" t="n">
        <v>272</v>
      </c>
      <c r="E22" s="10" t="n">
        <v>43</v>
      </c>
    </row>
    <row r="23">
      <c r="A23" s="10" t="inlineStr">
        <is>
          <t>C3078</t>
        </is>
      </c>
      <c r="B23" s="10" t="n">
        <v>1219310</v>
      </c>
      <c r="C23" s="10" t="n">
        <v>3</v>
      </c>
      <c r="D23" s="10" t="n">
        <v>153</v>
      </c>
      <c r="E23" s="10" t="n">
        <v>12</v>
      </c>
    </row>
    <row r="24">
      <c r="A24" s="10" t="inlineStr">
        <is>
          <t>C3888</t>
        </is>
      </c>
      <c r="B24" s="10" t="n">
        <v>827865</v>
      </c>
      <c r="C24" s="10" t="n">
        <v>3</v>
      </c>
      <c r="D24" s="10" t="n">
        <v>307</v>
      </c>
      <c r="E24" s="10" t="n">
        <v>77</v>
      </c>
    </row>
    <row r="25">
      <c r="A25" s="10" t="inlineStr">
        <is>
          <t>C3848</t>
        </is>
      </c>
      <c r="B25" s="10" t="n">
        <v>1018421</v>
      </c>
      <c r="C25" s="10" t="n">
        <v>4</v>
      </c>
      <c r="D25" s="10" t="n">
        <v>321</v>
      </c>
      <c r="E25" s="10" t="n">
        <v>55</v>
      </c>
    </row>
    <row r="26">
      <c r="A26" s="10" t="inlineStr">
        <is>
          <t>C3580</t>
        </is>
      </c>
      <c r="B26" s="10" t="inlineStr">
        <is>
          <t>Rp 1.557.314</t>
        </is>
      </c>
      <c r="C26" s="10" t="n">
        <v>5</v>
      </c>
      <c r="D26" s="10" t="n">
        <v>134</v>
      </c>
      <c r="E26" s="10" t="inlineStr">
        <is>
          <t>29 days</t>
        </is>
      </c>
    </row>
    <row r="27">
      <c r="A27" s="10" t="inlineStr">
        <is>
          <t>C3996</t>
        </is>
      </c>
      <c r="B27" s="10" t="inlineStr">
        <is>
          <t>Rp 8.621.455</t>
        </is>
      </c>
      <c r="C27" s="10" t="n">
        <v>30</v>
      </c>
      <c r="D27" s="10" t="n">
        <v>693</v>
      </c>
      <c r="E27" s="10" t="n">
        <v>14</v>
      </c>
    </row>
    <row r="28">
      <c r="A28" s="10" t="inlineStr">
        <is>
          <t>C3965</t>
        </is>
      </c>
      <c r="B28" s="10" t="n">
        <v>1581562</v>
      </c>
      <c r="C28" s="10" t="n">
        <v>5</v>
      </c>
      <c r="D28" s="10" t="n">
        <v>58</v>
      </c>
      <c r="E28" s="10" t="n">
        <v>1</v>
      </c>
    </row>
    <row r="29">
      <c r="A29" s="10" t="inlineStr">
        <is>
          <t>C4034</t>
        </is>
      </c>
      <c r="B29" s="10" t="n">
        <v>1333549</v>
      </c>
      <c r="C29" s="10" t="n">
        <v>1</v>
      </c>
      <c r="D29" s="10" t="n">
        <v>374</v>
      </c>
      <c r="E29" s="10" t="n">
        <v>56</v>
      </c>
    </row>
    <row r="30">
      <c r="A30" s="10" t="inlineStr">
        <is>
          <t>C3904</t>
        </is>
      </c>
      <c r="B30" s="10" t="inlineStr">
        <is>
          <t>Rp 2.627.037</t>
        </is>
      </c>
      <c r="C30" s="10" t="n">
        <v>15</v>
      </c>
      <c r="D30" s="10" t="n">
        <v>378</v>
      </c>
      <c r="E30" s="10" t="n">
        <v>16</v>
      </c>
    </row>
    <row r="31">
      <c r="A31" s="10" t="inlineStr">
        <is>
          <t>C3214</t>
        </is>
      </c>
      <c r="B31" s="10" t="n">
        <v>666598</v>
      </c>
      <c r="C31" s="10" t="n">
        <v>4</v>
      </c>
      <c r="D31" s="10" t="n">
        <v>48</v>
      </c>
      <c r="E31" s="10" t="n">
        <v>76</v>
      </c>
    </row>
    <row r="32">
      <c r="A32" s="10" t="inlineStr">
        <is>
          <t>C3401</t>
        </is>
      </c>
      <c r="B32" s="10" t="n">
        <v>1330075</v>
      </c>
      <c r="C32" s="10" t="n">
        <v>3</v>
      </c>
      <c r="D32" s="10" t="n">
        <v>302</v>
      </c>
      <c r="E32" s="10" t="inlineStr">
        <is>
          <t>80 days</t>
        </is>
      </c>
    </row>
    <row r="33">
      <c r="A33" s="10" t="inlineStr">
        <is>
          <t>C3381</t>
        </is>
      </c>
      <c r="B33" s="10" t="n">
        <v>0</v>
      </c>
      <c r="C33" s="10" t="n">
        <v>1</v>
      </c>
      <c r="D33" s="10" t="n">
        <v>56</v>
      </c>
      <c r="E33" s="10" t="inlineStr">
        <is>
          <t>20 days</t>
        </is>
      </c>
    </row>
    <row r="34">
      <c r="A34" s="10" t="inlineStr">
        <is>
          <t>C3493</t>
        </is>
      </c>
      <c r="B34" s="10" t="inlineStr">
        <is>
          <t>Rp 7.970.493</t>
        </is>
      </c>
      <c r="C34" s="10" t="n">
        <v>27</v>
      </c>
      <c r="D34" s="10" t="n">
        <v>782</v>
      </c>
      <c r="E34" s="10" t="n">
        <v>26</v>
      </c>
    </row>
    <row r="35">
      <c r="A35" s="10" t="inlineStr">
        <is>
          <t>C3910</t>
        </is>
      </c>
      <c r="B35" s="10" t="n">
        <v>260616</v>
      </c>
      <c r="C35" s="10" t="n">
        <v>8</v>
      </c>
      <c r="D35" s="10" t="n">
        <v>167</v>
      </c>
      <c r="E35" s="10" t="n">
        <v>97</v>
      </c>
    </row>
    <row r="36">
      <c r="A36" s="10" t="inlineStr">
        <is>
          <t>C3491</t>
        </is>
      </c>
      <c r="B36" s="10" t="inlineStr">
        <is>
          <t>Rp 8.688.623</t>
        </is>
      </c>
      <c r="C36" s="10" t="n">
        <v>28</v>
      </c>
      <c r="D36" s="10" t="n">
        <v>732</v>
      </c>
      <c r="E36" s="10" t="n">
        <v>1</v>
      </c>
    </row>
    <row r="37">
      <c r="A37" s="10" t="inlineStr">
        <is>
          <t>C3617</t>
        </is>
      </c>
      <c r="B37" s="10" t="n">
        <v>3999344</v>
      </c>
      <c r="C37" s="10" t="n">
        <v>18</v>
      </c>
      <c r="D37" s="10" t="n">
        <v>407</v>
      </c>
      <c r="E37" s="10" t="n">
        <v>3</v>
      </c>
    </row>
    <row r="38">
      <c r="A38" s="10" t="inlineStr">
        <is>
          <t>C3765</t>
        </is>
      </c>
      <c r="B38" s="10" t="inlineStr">
        <is>
          <t>Rp 2.628.955</t>
        </is>
      </c>
      <c r="C38" s="10" t="n">
        <v>16</v>
      </c>
      <c r="D38" s="10" t="n">
        <v>414</v>
      </c>
      <c r="E38" s="10" t="n">
        <v>16</v>
      </c>
    </row>
    <row r="39">
      <c r="A39" s="10" t="inlineStr">
        <is>
          <t>C4028</t>
        </is>
      </c>
      <c r="B39" s="10" t="n">
        <v>214148</v>
      </c>
      <c r="C39" s="10" t="n">
        <v>3</v>
      </c>
      <c r="D39" s="10" t="n">
        <v>100</v>
      </c>
      <c r="E39" s="10" t="n">
        <v>9</v>
      </c>
    </row>
    <row r="40">
      <c r="A40" s="10" t="inlineStr">
        <is>
          <t>C3840</t>
        </is>
      </c>
      <c r="B40" s="10" t="inlineStr">
        <is>
          <t>Rp 913.850</t>
        </is>
      </c>
      <c r="C40" s="10" t="n">
        <v>5</v>
      </c>
      <c r="D40" s="10" t="n">
        <v>212</v>
      </c>
      <c r="E40" s="10" t="n">
        <v>62</v>
      </c>
    </row>
    <row r="41">
      <c r="A41" s="10" t="inlineStr">
        <is>
          <t>C3426</t>
        </is>
      </c>
      <c r="B41" s="10" t="inlineStr">
        <is>
          <t>Rp 3.220.721</t>
        </is>
      </c>
      <c r="C41" s="10" t="n">
        <v>12</v>
      </c>
      <c r="D41" s="10" t="n">
        <v>556</v>
      </c>
      <c r="E41" s="10" t="inlineStr">
        <is>
          <t>34 days</t>
        </is>
      </c>
    </row>
    <row r="42">
      <c r="A42" s="10" t="inlineStr">
        <is>
          <t>C3648</t>
        </is>
      </c>
      <c r="B42" s="10" t="n">
        <v>939253</v>
      </c>
      <c r="C42" s="10" t="n">
        <v>3</v>
      </c>
      <c r="D42" s="10" t="n">
        <v>74</v>
      </c>
      <c r="E42" s="10" t="n">
        <v>1</v>
      </c>
    </row>
    <row r="43">
      <c r="A43" s="10" t="inlineStr">
        <is>
          <t>C4091</t>
        </is>
      </c>
      <c r="B43" s="10" t="n">
        <v>451831</v>
      </c>
      <c r="C43" s="10" t="n">
        <v>3</v>
      </c>
      <c r="D43" s="10" t="n">
        <v>207</v>
      </c>
      <c r="E43" s="10" t="n">
        <v>108</v>
      </c>
    </row>
    <row r="44">
      <c r="A44" s="10" t="inlineStr">
        <is>
          <t>C3018</t>
        </is>
      </c>
      <c r="B44" s="10" t="n">
        <v>632882</v>
      </c>
      <c r="C44" s="10" t="n">
        <v>6</v>
      </c>
      <c r="D44" s="10" t="n">
        <v>302</v>
      </c>
      <c r="E44" s="10" t="n">
        <v>56</v>
      </c>
    </row>
    <row r="45">
      <c r="A45" s="10" t="inlineStr">
        <is>
          <t>C3990</t>
        </is>
      </c>
      <c r="B45" s="10" t="inlineStr">
        <is>
          <t>Rp 154.402</t>
        </is>
      </c>
      <c r="C45" s="10" t="n">
        <v>1</v>
      </c>
      <c r="D45" s="10" t="n">
        <v>87</v>
      </c>
      <c r="E45" s="10" t="inlineStr">
        <is>
          <t>29 days</t>
        </is>
      </c>
    </row>
    <row r="46">
      <c r="A46" s="10" t="inlineStr">
        <is>
          <t>C3481</t>
        </is>
      </c>
      <c r="B46" s="10" t="n">
        <v>1822316</v>
      </c>
      <c r="C46" s="10" t="n">
        <v>4</v>
      </c>
      <c r="D46" s="10" t="n">
        <v>59</v>
      </c>
      <c r="E46" s="10" t="n">
        <v>41</v>
      </c>
    </row>
    <row r="47">
      <c r="A47" s="10" t="inlineStr">
        <is>
          <t>C3142</t>
        </is>
      </c>
      <c r="B47" s="10" t="n">
        <v>5186275</v>
      </c>
      <c r="C47" s="10" t="n">
        <v>21</v>
      </c>
      <c r="D47" s="10" t="n">
        <v>607</v>
      </c>
      <c r="E47" s="10" t="inlineStr">
        <is>
          <t>19 days</t>
        </is>
      </c>
    </row>
    <row r="48">
      <c r="A48" s="10" t="inlineStr">
        <is>
          <t>C3749</t>
        </is>
      </c>
      <c r="B48" s="10" t="n">
        <v>1296638</v>
      </c>
      <c r="C48" s="10" t="n">
        <v>2</v>
      </c>
      <c r="D48" s="10" t="n">
        <v>477</v>
      </c>
      <c r="E48" s="10" t="n">
        <v>54</v>
      </c>
    </row>
    <row r="49">
      <c r="A49" s="10" t="inlineStr">
        <is>
          <t>C3244</t>
        </is>
      </c>
      <c r="B49" s="10" t="n">
        <v>10208209</v>
      </c>
      <c r="C49" s="10" t="n">
        <v>33</v>
      </c>
      <c r="D49" s="10" t="n">
        <v>571</v>
      </c>
      <c r="E49" s="10" t="n">
        <v>14</v>
      </c>
    </row>
    <row r="50">
      <c r="A50" s="10" t="inlineStr">
        <is>
          <t>C3735</t>
        </is>
      </c>
      <c r="B50" s="10" t="inlineStr">
        <is>
          <t>Rp 445.477</t>
        </is>
      </c>
      <c r="C50" s="10" t="n">
        <v>6</v>
      </c>
      <c r="D50" s="10" t="n">
        <v>50</v>
      </c>
      <c r="E50" s="10" t="inlineStr">
        <is>
          <t>9 days</t>
        </is>
      </c>
    </row>
    <row r="51">
      <c r="A51" s="10" t="inlineStr">
        <is>
          <t>C4070</t>
        </is>
      </c>
      <c r="B51" s="10" t="n">
        <v>836746</v>
      </c>
      <c r="C51" s="10" t="n">
        <v>4</v>
      </c>
      <c r="D51" s="10" t="n">
        <v>521</v>
      </c>
      <c r="E51" s="10" t="n">
        <v>61</v>
      </c>
    </row>
    <row r="52">
      <c r="A52" s="10" t="inlineStr">
        <is>
          <t>C3780</t>
        </is>
      </c>
      <c r="B52" s="10" t="n">
        <v>7209286</v>
      </c>
      <c r="C52" s="10" t="n">
        <v>26</v>
      </c>
      <c r="D52" s="10" t="n">
        <v>717</v>
      </c>
      <c r="E52" s="10" t="n">
        <v>3</v>
      </c>
    </row>
    <row r="53">
      <c r="A53" s="10" t="inlineStr">
        <is>
          <t>C3192</t>
        </is>
      </c>
      <c r="B53" s="10" t="inlineStr">
        <is>
          <t>Rp 2.368.581</t>
        </is>
      </c>
      <c r="C53" s="10" t="n">
        <v>15</v>
      </c>
      <c r="D53" s="10" t="n">
        <v>209</v>
      </c>
      <c r="E53" s="10" t="n">
        <v>20</v>
      </c>
    </row>
    <row r="54">
      <c r="A54" s="10" t="inlineStr">
        <is>
          <t>C3064</t>
        </is>
      </c>
      <c r="B54" s="10" t="n">
        <v>801500</v>
      </c>
      <c r="C54" s="10" t="n">
        <v>2</v>
      </c>
      <c r="D54" s="10" t="n">
        <v>209</v>
      </c>
      <c r="E54" s="10" t="inlineStr">
        <is>
          <t>47 days</t>
        </is>
      </c>
    </row>
    <row r="55">
      <c r="A55" s="10" t="inlineStr">
        <is>
          <t>C3369</t>
        </is>
      </c>
      <c r="B55" s="10" t="inlineStr">
        <is>
          <t>Rp 1.258.501</t>
        </is>
      </c>
      <c r="C55" s="10" t="n">
        <v>17</v>
      </c>
      <c r="D55" s="10" t="n">
        <v>439</v>
      </c>
      <c r="E55" s="10" t="n">
        <v>9</v>
      </c>
    </row>
    <row r="56">
      <c r="A56" s="10" t="inlineStr">
        <is>
          <t>C3216</t>
        </is>
      </c>
      <c r="B56" s="10" t="n">
        <v>1640728</v>
      </c>
      <c r="C56" s="10" t="n">
        <v>5</v>
      </c>
      <c r="D56" s="10" t="n">
        <v>405</v>
      </c>
      <c r="E56" s="10" t="n">
        <v>41</v>
      </c>
    </row>
    <row r="57">
      <c r="A57" s="10" t="inlineStr">
        <is>
          <t>C3362</t>
        </is>
      </c>
      <c r="B57" s="10" t="n">
        <v>842617</v>
      </c>
      <c r="C57" s="10" t="n">
        <v>8</v>
      </c>
      <c r="D57" s="10" t="n">
        <v>246</v>
      </c>
      <c r="E57" s="10" t="n">
        <v>41</v>
      </c>
    </row>
    <row r="58">
      <c r="A58" s="10" t="inlineStr">
        <is>
          <t>C3099</t>
        </is>
      </c>
      <c r="B58" s="10" t="n">
        <v>1295882</v>
      </c>
      <c r="C58" s="10" t="n">
        <v>4</v>
      </c>
      <c r="D58" s="10" t="n">
        <v>89</v>
      </c>
      <c r="E58" s="10" t="inlineStr">
        <is>
          <t>84 days</t>
        </is>
      </c>
    </row>
    <row r="59">
      <c r="A59" s="10" t="inlineStr">
        <is>
          <t>C3740</t>
        </is>
      </c>
      <c r="B59" s="10" t="n">
        <v>1368620</v>
      </c>
      <c r="C59" s="10" t="n">
        <v>3</v>
      </c>
      <c r="D59" s="10" t="n">
        <v>117</v>
      </c>
      <c r="E59" s="10" t="n">
        <v>42</v>
      </c>
    </row>
    <row r="60">
      <c r="A60" s="10" t="inlineStr">
        <is>
          <t>C3696</t>
        </is>
      </c>
      <c r="B60" s="10" t="n">
        <v>1245027</v>
      </c>
      <c r="C60" s="10" t="n">
        <v>2</v>
      </c>
      <c r="D60" s="10" t="n">
        <v>357</v>
      </c>
      <c r="E60" s="10" t="n">
        <v>40</v>
      </c>
    </row>
    <row r="61">
      <c r="A61" s="10" t="inlineStr">
        <is>
          <t>C4049</t>
        </is>
      </c>
      <c r="B61" s="10" t="n">
        <v>3195142</v>
      </c>
      <c r="C61" s="10" t="n">
        <v>10</v>
      </c>
      <c r="D61" s="10" t="n">
        <v>515</v>
      </c>
      <c r="E61" s="10" t="n">
        <v>20</v>
      </c>
    </row>
    <row r="62">
      <c r="A62" s="10" t="inlineStr">
        <is>
          <t>C4095</t>
        </is>
      </c>
      <c r="B62" s="10" t="n">
        <v>3121637</v>
      </c>
      <c r="C62" s="10" t="n">
        <v>15</v>
      </c>
      <c r="D62" s="10" t="n">
        <v>283</v>
      </c>
      <c r="E62" s="10" t="n">
        <v>16</v>
      </c>
    </row>
    <row r="63">
      <c r="A63" s="10" t="inlineStr">
        <is>
          <t>C3542</t>
        </is>
      </c>
      <c r="B63" s="10" t="n">
        <v>1158317</v>
      </c>
      <c r="C63" s="10" t="n">
        <v>7</v>
      </c>
      <c r="D63" s="10" t="n">
        <v>340</v>
      </c>
      <c r="E63" s="10" t="inlineStr">
        <is>
          <t>31 days</t>
        </is>
      </c>
    </row>
    <row r="64">
      <c r="A64" s="10" t="inlineStr">
        <is>
          <t>C3769</t>
        </is>
      </c>
      <c r="B64" s="10" t="inlineStr">
        <is>
          <t>Rp 4.281.809</t>
        </is>
      </c>
      <c r="C64" s="10" t="n">
        <v>11</v>
      </c>
      <c r="D64" s="10" t="n">
        <v>580</v>
      </c>
      <c r="E64" s="10" t="n">
        <v>26</v>
      </c>
    </row>
    <row r="65">
      <c r="A65" s="10" t="inlineStr">
        <is>
          <t>C3505</t>
        </is>
      </c>
      <c r="B65" s="10" t="n">
        <v>4287519</v>
      </c>
      <c r="C65" s="10" t="n">
        <v>25</v>
      </c>
      <c r="D65" s="10" t="n">
        <v>264</v>
      </c>
      <c r="E65" s="10" t="n">
        <v>34</v>
      </c>
    </row>
    <row r="66">
      <c r="A66" s="10" t="inlineStr">
        <is>
          <t>C3929</t>
        </is>
      </c>
      <c r="B66" s="10" t="n">
        <v>912044</v>
      </c>
      <c r="C66" s="10" t="n">
        <v>6</v>
      </c>
      <c r="D66" s="10" t="n">
        <v>33</v>
      </c>
      <c r="E66" s="10" t="n">
        <v>48</v>
      </c>
    </row>
    <row r="67">
      <c r="A67" s="10" t="inlineStr">
        <is>
          <t>C4019</t>
        </is>
      </c>
      <c r="B67" s="10" t="inlineStr">
        <is>
          <t>Rp 11.558.260</t>
        </is>
      </c>
      <c r="C67" s="10" t="n">
        <v>27</v>
      </c>
      <c r="D67" s="10" t="n">
        <v>543</v>
      </c>
      <c r="E67" s="10" t="n">
        <v>10</v>
      </c>
    </row>
    <row r="68">
      <c r="A68" s="10" t="inlineStr">
        <is>
          <t>C3789</t>
        </is>
      </c>
      <c r="B68" s="10" t="n">
        <v>1226144</v>
      </c>
      <c r="C68" s="10" t="n">
        <v>3</v>
      </c>
      <c r="D68" s="10" t="n">
        <v>92</v>
      </c>
      <c r="E68" s="10" t="n">
        <v>37</v>
      </c>
    </row>
    <row r="69">
      <c r="A69" s="10" t="inlineStr">
        <is>
          <t>C4052</t>
        </is>
      </c>
      <c r="B69" s="10" t="n">
        <v>4588916</v>
      </c>
      <c r="C69" s="10" t="n">
        <v>17</v>
      </c>
      <c r="D69" s="10" t="n">
        <v>323</v>
      </c>
      <c r="E69" s="10" t="n">
        <v>15</v>
      </c>
    </row>
    <row r="70">
      <c r="A70" s="10" t="inlineStr">
        <is>
          <t>C3403</t>
        </is>
      </c>
      <c r="B70" s="10" t="n">
        <v>5821965</v>
      </c>
      <c r="C70" s="10" t="n">
        <v>11</v>
      </c>
      <c r="D70" s="10" t="n">
        <v>598</v>
      </c>
      <c r="E70" s="10" t="n">
        <v>35</v>
      </c>
    </row>
    <row r="71">
      <c r="A71" s="10" t="inlineStr">
        <is>
          <t>C3361</t>
        </is>
      </c>
      <c r="B71" s="10" t="n">
        <v>1394122</v>
      </c>
      <c r="C71" s="10" t="n">
        <v>2</v>
      </c>
      <c r="D71" s="10" t="n">
        <v>72</v>
      </c>
      <c r="E71" s="10" t="n">
        <v>17</v>
      </c>
    </row>
    <row r="72">
      <c r="A72" s="10" t="inlineStr">
        <is>
          <t>C3204</t>
        </is>
      </c>
      <c r="B72" s="10" t="n">
        <v>3961629</v>
      </c>
      <c r="C72" s="10" t="n">
        <v>16</v>
      </c>
      <c r="D72" s="10" t="n">
        <v>181</v>
      </c>
      <c r="E72" s="10" t="n">
        <v>18</v>
      </c>
    </row>
    <row r="73">
      <c r="A73" s="10" t="inlineStr">
        <is>
          <t>C3843</t>
        </is>
      </c>
      <c r="B73" s="10" t="n">
        <v>681337</v>
      </c>
      <c r="C73" s="10" t="n">
        <v>6</v>
      </c>
      <c r="D73" s="10" t="n">
        <v>126</v>
      </c>
      <c r="E73" s="10" t="n">
        <v>101</v>
      </c>
    </row>
    <row r="74">
      <c r="A74" s="10" t="inlineStr">
        <is>
          <t>C3028</t>
        </is>
      </c>
      <c r="B74" s="10" t="n">
        <v>10491055</v>
      </c>
      <c r="C74" s="10" t="n">
        <v>26</v>
      </c>
      <c r="D74" s="10" t="n">
        <v>688</v>
      </c>
      <c r="E74" s="10" t="n">
        <v>20</v>
      </c>
    </row>
    <row r="75">
      <c r="A75" s="10" t="inlineStr">
        <is>
          <t>C3171</t>
        </is>
      </c>
      <c r="B75" s="10" t="n">
        <v>2612497</v>
      </c>
      <c r="C75" s="10" t="n">
        <v>17</v>
      </c>
      <c r="D75" s="10" t="n">
        <v>511</v>
      </c>
      <c r="E75" s="10" t="n">
        <v>10</v>
      </c>
    </row>
    <row r="76">
      <c r="A76" s="10" t="inlineStr">
        <is>
          <t>C3129</t>
        </is>
      </c>
      <c r="B76" s="10" t="inlineStr">
        <is>
          <t>Rp 2.832.816</t>
        </is>
      </c>
      <c r="C76" s="10" t="n">
        <v>14</v>
      </c>
      <c r="D76" s="10" t="n">
        <v>438</v>
      </c>
      <c r="E76" s="10" t="n">
        <v>13</v>
      </c>
    </row>
    <row r="77">
      <c r="A77" s="10" t="inlineStr">
        <is>
          <t>C3725</t>
        </is>
      </c>
      <c r="B77" s="10" t="n">
        <v>1422596</v>
      </c>
      <c r="C77" s="10" t="n">
        <v>2</v>
      </c>
      <c r="D77" s="10" t="n">
        <v>202</v>
      </c>
      <c r="E77" s="10" t="n">
        <v>116</v>
      </c>
    </row>
    <row r="78">
      <c r="A78" s="10" t="inlineStr">
        <is>
          <t>C3052</t>
        </is>
      </c>
      <c r="B78" s="10" t="n">
        <v>2499377</v>
      </c>
      <c r="C78" s="10" t="n">
        <v>15</v>
      </c>
      <c r="D78" s="10" t="n">
        <v>223</v>
      </c>
      <c r="E78" s="10" t="n">
        <v>34</v>
      </c>
    </row>
    <row r="79">
      <c r="A79" s="10" t="inlineStr">
        <is>
          <t>C3076</t>
        </is>
      </c>
      <c r="B79" s="10" t="n">
        <v>2336093</v>
      </c>
      <c r="C79" s="10" t="n">
        <v>11</v>
      </c>
      <c r="D79" s="10" t="n">
        <v>451</v>
      </c>
      <c r="E79" s="10" t="n">
        <v>26</v>
      </c>
    </row>
    <row r="80">
      <c r="A80" s="10" t="inlineStr">
        <is>
          <t>C3191</t>
        </is>
      </c>
      <c r="B80" s="10" t="n">
        <v>3881652</v>
      </c>
      <c r="C80" s="10" t="n">
        <v>11</v>
      </c>
      <c r="D80" s="10" t="n">
        <v>427</v>
      </c>
      <c r="E80" s="10" t="n">
        <v>32</v>
      </c>
    </row>
    <row r="81">
      <c r="A81" s="10" t="inlineStr">
        <is>
          <t>C3483</t>
        </is>
      </c>
      <c r="B81" s="10" t="n">
        <v>577363</v>
      </c>
      <c r="C81" s="10" t="n">
        <v>3</v>
      </c>
      <c r="D81" s="10" t="n">
        <v>480</v>
      </c>
      <c r="E81" s="10" t="n">
        <v>78</v>
      </c>
    </row>
    <row r="82">
      <c r="A82" s="10" t="inlineStr">
        <is>
          <t>C3248</t>
        </is>
      </c>
      <c r="B82" s="10" t="n">
        <v>1272168</v>
      </c>
      <c r="C82" s="10" t="n">
        <v>6</v>
      </c>
      <c r="D82" s="10" t="n">
        <v>217</v>
      </c>
      <c r="E82" s="10" t="inlineStr">
        <is>
          <t>133 days</t>
        </is>
      </c>
    </row>
    <row r="83">
      <c r="A83" s="10" t="inlineStr">
        <is>
          <t>C3835</t>
        </is>
      </c>
      <c r="B83" s="10" t="inlineStr">
        <is>
          <t>Rp 3.602.717</t>
        </is>
      </c>
      <c r="C83" s="10" t="n">
        <v>12</v>
      </c>
      <c r="D83" s="10" t="n">
        <v>394</v>
      </c>
      <c r="E83" s="10" t="n">
        <v>17</v>
      </c>
    </row>
    <row r="84">
      <c r="A84" s="10" t="inlineStr">
        <is>
          <t>C3253</t>
        </is>
      </c>
      <c r="B84" s="10" t="n">
        <v>767233</v>
      </c>
      <c r="C84" s="10" t="n">
        <v>6</v>
      </c>
      <c r="D84" s="10" t="n">
        <v>377</v>
      </c>
      <c r="E84" s="10" t="n">
        <v>119</v>
      </c>
    </row>
    <row r="85">
      <c r="A85" s="10" t="inlineStr">
        <is>
          <t>C3025</t>
        </is>
      </c>
      <c r="B85" s="10" t="n">
        <v>1293077</v>
      </c>
      <c r="C85" s="10" t="n">
        <v>5</v>
      </c>
      <c r="D85" s="10" t="n">
        <v>404</v>
      </c>
      <c r="E85" s="10" t="inlineStr">
        <is>
          <t>25 days</t>
        </is>
      </c>
    </row>
    <row r="86">
      <c r="A86" s="10" t="inlineStr">
        <is>
          <t>C3189</t>
        </is>
      </c>
      <c r="B86" s="10" t="n">
        <v>2869061</v>
      </c>
      <c r="C86" s="10" t="n"/>
      <c r="D86" s="10" t="n">
        <v>625</v>
      </c>
      <c r="E86" s="10" t="n">
        <v>31</v>
      </c>
    </row>
    <row r="87">
      <c r="A87" s="10" t="inlineStr">
        <is>
          <t>C3956</t>
        </is>
      </c>
      <c r="B87" s="10" t="n">
        <v>2568634</v>
      </c>
      <c r="C87" s="10" t="n">
        <v>20</v>
      </c>
      <c r="D87" s="10" t="n">
        <v>111</v>
      </c>
      <c r="E87" s="10" t="inlineStr">
        <is>
          <t>12 days</t>
        </is>
      </c>
    </row>
    <row r="88">
      <c r="A88" s="10" t="inlineStr">
        <is>
          <t>C3354</t>
        </is>
      </c>
      <c r="B88" s="10" t="n">
        <v>1061775</v>
      </c>
      <c r="C88" s="10" t="n">
        <v>4</v>
      </c>
      <c r="D88" s="10" t="n">
        <v>36</v>
      </c>
      <c r="E88" s="10" t="n">
        <v>18</v>
      </c>
    </row>
    <row r="89">
      <c r="A89" s="10" t="inlineStr">
        <is>
          <t>C3767</t>
        </is>
      </c>
      <c r="B89" s="10" t="n">
        <v>3621910</v>
      </c>
      <c r="C89" s="10" t="n">
        <v>17</v>
      </c>
      <c r="D89" s="10" t="n">
        <v>525</v>
      </c>
      <c r="E89" s="10" t="n">
        <v>35</v>
      </c>
    </row>
    <row r="90">
      <c r="A90" s="10" t="inlineStr">
        <is>
          <t>C3224</t>
        </is>
      </c>
      <c r="B90" s="10" t="n">
        <v>3697736</v>
      </c>
      <c r="C90" s="10" t="n">
        <v>18</v>
      </c>
      <c r="D90" s="10" t="n">
        <v>342</v>
      </c>
      <c r="E90" s="10" t="n">
        <v>37</v>
      </c>
    </row>
    <row r="91">
      <c r="A91" s="10" t="inlineStr">
        <is>
          <t>C3736</t>
        </is>
      </c>
      <c r="B91" s="10" t="n">
        <v>1110609</v>
      </c>
      <c r="C91" s="10" t="n">
        <v>4</v>
      </c>
      <c r="D91" s="10" t="n">
        <v>419</v>
      </c>
      <c r="E91" s="10" t="inlineStr">
        <is>
          <t>161 days</t>
        </is>
      </c>
    </row>
    <row r="92">
      <c r="A92" s="10" t="inlineStr">
        <is>
          <t>C3291</t>
        </is>
      </c>
      <c r="B92" s="10" t="n">
        <v>1179963</v>
      </c>
      <c r="C92" s="10" t="n">
        <v>4</v>
      </c>
      <c r="D92" s="10" t="n">
        <v>393</v>
      </c>
      <c r="E92" s="10" t="n">
        <v>26</v>
      </c>
    </row>
    <row r="93">
      <c r="A93" s="10" t="inlineStr">
        <is>
          <t>C3977</t>
        </is>
      </c>
      <c r="B93" s="10" t="n">
        <v>998375</v>
      </c>
      <c r="C93" s="10" t="n">
        <v>3</v>
      </c>
      <c r="D93" s="10" t="n">
        <v>231</v>
      </c>
      <c r="E93" s="10" t="n">
        <v>47</v>
      </c>
    </row>
    <row r="94">
      <c r="A94" s="10" t="inlineStr">
        <is>
          <t>C3809</t>
        </is>
      </c>
      <c r="B94" s="10" t="inlineStr">
        <is>
          <t>Rp 432.651</t>
        </is>
      </c>
      <c r="C94" s="10" t="n">
        <v>5</v>
      </c>
      <c r="D94" s="10" t="n">
        <v>68</v>
      </c>
      <c r="E94" s="10" t="inlineStr">
        <is>
          <t>15 days</t>
        </is>
      </c>
    </row>
    <row r="95">
      <c r="A95" s="10" t="inlineStr">
        <is>
          <t>C3370</t>
        </is>
      </c>
      <c r="B95" s="10" t="n">
        <v>892567</v>
      </c>
      <c r="C95" s="10" t="n">
        <v>4</v>
      </c>
      <c r="D95" s="10" t="n">
        <v>130</v>
      </c>
      <c r="E95" s="10" t="n">
        <v>46</v>
      </c>
    </row>
    <row r="96">
      <c r="A96" s="10" t="inlineStr">
        <is>
          <t>C3207</t>
        </is>
      </c>
      <c r="B96" s="10" t="n">
        <v>4370409</v>
      </c>
      <c r="C96" s="10" t="n">
        <v>15</v>
      </c>
      <c r="D96" s="10" t="n">
        <v>386</v>
      </c>
      <c r="E96" s="10" t="n">
        <v>9</v>
      </c>
    </row>
    <row r="97">
      <c r="A97" s="10" t="inlineStr">
        <is>
          <t>C3451</t>
        </is>
      </c>
      <c r="B97" s="10" t="n">
        <v>1515962</v>
      </c>
      <c r="C97" s="10" t="n">
        <v>3</v>
      </c>
      <c r="D97" s="10" t="n">
        <v>52</v>
      </c>
      <c r="E97" s="10" t="n">
        <v>14</v>
      </c>
    </row>
    <row r="98">
      <c r="A98" s="10" t="inlineStr">
        <is>
          <t>C3846</t>
        </is>
      </c>
      <c r="B98" s="10" t="n">
        <v>1285063</v>
      </c>
      <c r="C98" s="10" t="n">
        <v>5</v>
      </c>
      <c r="D98" s="10" t="n">
        <v>98</v>
      </c>
      <c r="E98" s="10" t="n">
        <v>12</v>
      </c>
    </row>
    <row r="99">
      <c r="A99" s="10" t="inlineStr">
        <is>
          <t>C3113</t>
        </is>
      </c>
      <c r="B99" s="10" t="n">
        <v>1371723</v>
      </c>
      <c r="C99" s="10" t="n">
        <v>3</v>
      </c>
      <c r="D99" s="10" t="n">
        <v>25</v>
      </c>
      <c r="E99" s="10" t="n">
        <v>4</v>
      </c>
    </row>
    <row r="100">
      <c r="A100" s="10" t="inlineStr">
        <is>
          <t>C3346</t>
        </is>
      </c>
      <c r="B100" s="10" t="n">
        <v>3567489</v>
      </c>
      <c r="C100" s="10" t="n">
        <v>13</v>
      </c>
      <c r="D100" s="10" t="n">
        <v>420</v>
      </c>
      <c r="E100" s="10" t="inlineStr">
        <is>
          <t>40 days</t>
        </is>
      </c>
    </row>
    <row r="101">
      <c r="A101" s="10" t="inlineStr">
        <is>
          <t>C3114</t>
        </is>
      </c>
      <c r="B101" s="10" t="n">
        <v>2600781</v>
      </c>
      <c r="C101" s="10" t="n">
        <v>13</v>
      </c>
      <c r="D101" s="10" t="n">
        <v>593</v>
      </c>
      <c r="E101" s="10" t="n">
        <v>21</v>
      </c>
    </row>
    <row r="102">
      <c r="A102" s="10" t="inlineStr">
        <is>
          <t>C3838</t>
        </is>
      </c>
      <c r="B102" s="10" t="n">
        <v>718201</v>
      </c>
      <c r="C102" s="10" t="n">
        <v>7</v>
      </c>
      <c r="D102" s="10" t="n">
        <v>173</v>
      </c>
      <c r="E102" s="10" t="n">
        <v>93</v>
      </c>
    </row>
    <row r="103">
      <c r="A103" s="10" t="inlineStr">
        <is>
          <t>C3639</t>
        </is>
      </c>
      <c r="B103" s="10" t="n">
        <v>605869</v>
      </c>
      <c r="C103" s="10" t="n">
        <v>1</v>
      </c>
      <c r="D103" s="10" t="n">
        <v>390</v>
      </c>
      <c r="E103" s="10" t="n">
        <v>46</v>
      </c>
    </row>
    <row r="104">
      <c r="A104" s="10" t="inlineStr">
        <is>
          <t>C3785</t>
        </is>
      </c>
      <c r="B104" s="10" t="inlineStr">
        <is>
          <t>Rp 778.602</t>
        </is>
      </c>
      <c r="C104" s="10" t="n">
        <v>4</v>
      </c>
      <c r="D104" s="10" t="n">
        <v>533</v>
      </c>
      <c r="E104" s="10" t="n">
        <v>1</v>
      </c>
    </row>
    <row r="105">
      <c r="A105" s="10" t="inlineStr">
        <is>
          <t>C3425</t>
        </is>
      </c>
      <c r="B105" s="10" t="n">
        <v>1036210</v>
      </c>
      <c r="C105" s="10" t="n">
        <v>2</v>
      </c>
      <c r="D105" s="10" t="n">
        <v>339</v>
      </c>
      <c r="E105" s="10" t="n">
        <v>61</v>
      </c>
    </row>
    <row r="106">
      <c r="A106" s="10" t="inlineStr">
        <is>
          <t>C4083</t>
        </is>
      </c>
      <c r="B106" s="10" t="n">
        <v>1534257</v>
      </c>
      <c r="C106" s="10" t="n">
        <v>4</v>
      </c>
      <c r="D106" s="10" t="n">
        <v>177</v>
      </c>
      <c r="E106" s="10" t="n">
        <v>95</v>
      </c>
    </row>
    <row r="107">
      <c r="A107" s="10" t="inlineStr">
        <is>
          <t>C3709</t>
        </is>
      </c>
      <c r="B107" s="10" t="n">
        <v>932642</v>
      </c>
      <c r="C107" s="10" t="n">
        <v>4</v>
      </c>
      <c r="D107" s="10" t="n">
        <v>323</v>
      </c>
      <c r="E107" s="10" t="n">
        <v>182</v>
      </c>
    </row>
    <row r="108">
      <c r="A108" s="10" t="inlineStr">
        <is>
          <t>C3792</t>
        </is>
      </c>
      <c r="B108" s="10" t="n">
        <v>2453334</v>
      </c>
      <c r="C108" s="10" t="n">
        <v>17</v>
      </c>
      <c r="D108" s="10" t="n">
        <v>506</v>
      </c>
      <c r="E108" s="10" t="n">
        <v>38</v>
      </c>
    </row>
    <row r="109">
      <c r="A109" s="10" t="inlineStr">
        <is>
          <t>C3723</t>
        </is>
      </c>
      <c r="B109" s="10" t="n">
        <v>875278</v>
      </c>
      <c r="C109" s="10" t="n">
        <v>3</v>
      </c>
      <c r="D109" s="10" t="n">
        <v>270</v>
      </c>
      <c r="E109" s="10" t="n">
        <v>19</v>
      </c>
    </row>
    <row r="110">
      <c r="A110" s="10" t="inlineStr">
        <is>
          <t>C3822</t>
        </is>
      </c>
      <c r="B110" s="10" t="n">
        <v>3520869</v>
      </c>
      <c r="C110" s="10" t="n">
        <v>11</v>
      </c>
      <c r="D110" s="10" t="n">
        <v>420</v>
      </c>
      <c r="E110" s="10" t="n">
        <v>2</v>
      </c>
    </row>
    <row r="111">
      <c r="A111" s="10" t="inlineStr">
        <is>
          <t>C3014</t>
        </is>
      </c>
      <c r="B111" s="10" t="inlineStr">
        <is>
          <t>Rp 4.439.745</t>
        </is>
      </c>
      <c r="C111" s="10" t="n">
        <v>12</v>
      </c>
      <c r="D111" s="10" t="n">
        <v>450</v>
      </c>
      <c r="E111" s="10" t="n">
        <v>20</v>
      </c>
    </row>
    <row r="112">
      <c r="A112" s="10" t="inlineStr">
        <is>
          <t>C3417</t>
        </is>
      </c>
      <c r="B112" s="10" t="n">
        <v>3009186</v>
      </c>
      <c r="C112" s="10" t="n">
        <v>13</v>
      </c>
      <c r="D112" s="10" t="n">
        <v>510</v>
      </c>
      <c r="E112" s="10" t="n">
        <v>31</v>
      </c>
    </row>
    <row r="113">
      <c r="A113" s="10" t="inlineStr">
        <is>
          <t>C3689</t>
        </is>
      </c>
      <c r="B113" s="10" t="n">
        <v>5256477</v>
      </c>
      <c r="C113" s="10" t="n">
        <v>16</v>
      </c>
      <c r="D113" s="10" t="n">
        <v>47</v>
      </c>
      <c r="E113" s="10" t="n">
        <v>22</v>
      </c>
    </row>
    <row r="114">
      <c r="A114" s="10" t="inlineStr">
        <is>
          <t>C3442</t>
        </is>
      </c>
      <c r="B114" s="10" t="n">
        <v>2004882</v>
      </c>
      <c r="C114" s="10" t="n">
        <v>3</v>
      </c>
      <c r="D114" s="10" t="n">
        <v>50</v>
      </c>
      <c r="E114" s="10" t="n">
        <v>34</v>
      </c>
    </row>
    <row r="115">
      <c r="A115" s="10" t="inlineStr">
        <is>
          <t>C3115</t>
        </is>
      </c>
      <c r="B115" s="10" t="n">
        <v>203038</v>
      </c>
      <c r="C115" s="10" t="n">
        <v>1</v>
      </c>
      <c r="D115" s="10" t="n">
        <v>84</v>
      </c>
      <c r="E115" s="10" t="n">
        <v>1</v>
      </c>
    </row>
    <row r="116">
      <c r="A116" s="10" t="inlineStr">
        <is>
          <t>C3565</t>
        </is>
      </c>
      <c r="B116" s="10" t="n">
        <v>803162</v>
      </c>
      <c r="C116" s="10" t="n">
        <v>4</v>
      </c>
      <c r="D116" s="10" t="n">
        <v>22</v>
      </c>
      <c r="E116" s="10" t="n">
        <v>3</v>
      </c>
    </row>
    <row r="117">
      <c r="A117" s="10" t="inlineStr">
        <is>
          <t>C3833</t>
        </is>
      </c>
      <c r="B117" s="10" t="n">
        <v>672484</v>
      </c>
      <c r="C117" s="10" t="n">
        <v>1</v>
      </c>
      <c r="D117" s="10" t="n">
        <v>89</v>
      </c>
      <c r="E117" s="10" t="n">
        <v>21</v>
      </c>
    </row>
    <row r="118">
      <c r="A118" s="10" t="inlineStr">
        <is>
          <t>C3069</t>
        </is>
      </c>
      <c r="B118" s="10" t="n">
        <v>635909</v>
      </c>
      <c r="C118" s="10" t="n">
        <v>3</v>
      </c>
      <c r="D118" s="10" t="n">
        <v>340</v>
      </c>
      <c r="E118" s="10" t="n">
        <v>140</v>
      </c>
    </row>
    <row r="119">
      <c r="A119" s="10" t="inlineStr">
        <is>
          <t>C3878</t>
        </is>
      </c>
      <c r="B119" s="10" t="inlineStr">
        <is>
          <t>Rp 3.628.330</t>
        </is>
      </c>
      <c r="C119" s="10" t="n">
        <v>9</v>
      </c>
      <c r="D119" s="10" t="n">
        <v>444</v>
      </c>
      <c r="E119" s="10" t="n">
        <v>34</v>
      </c>
    </row>
    <row r="120">
      <c r="A120" s="10" t="inlineStr">
        <is>
          <t>C3169</t>
        </is>
      </c>
      <c r="B120" s="10" t="inlineStr">
        <is>
          <t>Rp 488.303</t>
        </is>
      </c>
      <c r="C120" s="10" t="n">
        <v>3</v>
      </c>
      <c r="D120" s="10" t="n">
        <v>409</v>
      </c>
      <c r="E120" s="10" t="n">
        <v>90</v>
      </c>
    </row>
    <row r="121">
      <c r="A121" s="10" t="inlineStr">
        <is>
          <t>C3139</t>
        </is>
      </c>
      <c r="B121" s="10" t="n">
        <v>4598098</v>
      </c>
      <c r="C121" s="10" t="n">
        <v>15</v>
      </c>
      <c r="D121" s="10" t="n">
        <v>221</v>
      </c>
      <c r="E121" s="10" t="n">
        <v>23</v>
      </c>
    </row>
    <row r="122">
      <c r="A122" s="10" t="inlineStr">
        <is>
          <t>C3906</t>
        </is>
      </c>
      <c r="B122" s="10" t="n">
        <v>1101095</v>
      </c>
      <c r="C122" s="10" t="n">
        <v>7</v>
      </c>
      <c r="D122" s="10" t="n">
        <v>357</v>
      </c>
      <c r="E122" s="10" t="n">
        <v>89</v>
      </c>
    </row>
    <row r="123">
      <c r="A123" s="10" t="inlineStr">
        <is>
          <t>C3509</t>
        </is>
      </c>
      <c r="B123" s="10" t="n">
        <v>302792</v>
      </c>
      <c r="C123" s="10" t="n">
        <v>2</v>
      </c>
      <c r="D123" s="10" t="n">
        <v>487</v>
      </c>
      <c r="E123" s="10" t="n">
        <v>1</v>
      </c>
    </row>
    <row r="124">
      <c r="A124" s="10" t="inlineStr">
        <is>
          <t>C3276</t>
        </is>
      </c>
      <c r="B124" s="10" t="n">
        <v>2878154</v>
      </c>
      <c r="C124" s="10" t="n">
        <v>10</v>
      </c>
      <c r="D124" s="10" t="n">
        <v>266</v>
      </c>
      <c r="E124" s="10" t="n">
        <v>25</v>
      </c>
    </row>
    <row r="125">
      <c r="A125" s="10" t="inlineStr">
        <is>
          <t>C3915</t>
        </is>
      </c>
      <c r="B125" s="10" t="n">
        <v>2172517</v>
      </c>
      <c r="C125" s="10" t="n">
        <v>13</v>
      </c>
      <c r="D125" s="10" t="n">
        <v>331</v>
      </c>
      <c r="E125" s="10" t="n">
        <v>26</v>
      </c>
    </row>
    <row r="126">
      <c r="A126" s="10" t="inlineStr">
        <is>
          <t>C3903</t>
        </is>
      </c>
      <c r="B126" s="10" t="n">
        <v>2291702</v>
      </c>
      <c r="C126" s="10" t="n">
        <v>11</v>
      </c>
      <c r="D126" s="10" t="n">
        <v>664</v>
      </c>
      <c r="E126" s="10" t="n">
        <v>3</v>
      </c>
    </row>
    <row r="127">
      <c r="A127" s="10" t="inlineStr">
        <is>
          <t>C3940</t>
        </is>
      </c>
      <c r="B127" s="10" t="n">
        <v>873168</v>
      </c>
      <c r="C127" s="10" t="n">
        <v>2</v>
      </c>
      <c r="D127" s="10" t="n">
        <v>73</v>
      </c>
      <c r="E127" s="10" t="n">
        <v>28</v>
      </c>
    </row>
    <row r="128">
      <c r="A128" s="10" t="inlineStr">
        <is>
          <t>C3261</t>
        </is>
      </c>
      <c r="B128" s="10" t="n">
        <v>1373757</v>
      </c>
      <c r="C128" s="10" t="n">
        <v>6</v>
      </c>
      <c r="D128" s="10" t="n">
        <v>153</v>
      </c>
      <c r="E128" s="10" t="n">
        <v>12</v>
      </c>
    </row>
    <row r="129">
      <c r="A129" s="10" t="inlineStr">
        <is>
          <t>C3350</t>
        </is>
      </c>
      <c r="B129" s="10" t="n">
        <v>9754474</v>
      </c>
      <c r="C129" s="10" t="n">
        <v>31</v>
      </c>
      <c r="D129" s="10" t="n">
        <v>353</v>
      </c>
      <c r="E129" s="10" t="n">
        <v>7</v>
      </c>
    </row>
    <row r="130">
      <c r="A130" s="10" t="inlineStr">
        <is>
          <t>C3758</t>
        </is>
      </c>
      <c r="B130" s="10" t="n">
        <v>1743690</v>
      </c>
      <c r="C130" s="10" t="n">
        <v>5</v>
      </c>
      <c r="D130" s="10" t="n">
        <v>409</v>
      </c>
      <c r="E130" s="10" t="inlineStr">
        <is>
          <t>134 days</t>
        </is>
      </c>
    </row>
    <row r="131">
      <c r="A131" s="10" t="inlineStr">
        <is>
          <t>C3548</t>
        </is>
      </c>
      <c r="B131" s="10" t="n">
        <v>249841</v>
      </c>
      <c r="C131" s="10" t="n">
        <v>2</v>
      </c>
      <c r="D131" s="10" t="n">
        <v>40</v>
      </c>
      <c r="E131" s="10" t="n">
        <v>70</v>
      </c>
    </row>
    <row r="132">
      <c r="A132" s="10" t="inlineStr">
        <is>
          <t>C3713</t>
        </is>
      </c>
      <c r="B132" s="10" t="n">
        <v>240663</v>
      </c>
      <c r="C132" s="10" t="n">
        <v>8</v>
      </c>
      <c r="D132" s="10" t="n">
        <v>493</v>
      </c>
      <c r="E132" s="10" t="n">
        <v>93</v>
      </c>
    </row>
    <row r="133">
      <c r="A133" s="10" t="inlineStr">
        <is>
          <t>C3434</t>
        </is>
      </c>
      <c r="B133" s="10" t="n">
        <v>2175407</v>
      </c>
      <c r="C133" s="10" t="n">
        <v>8</v>
      </c>
      <c r="D133" s="10" t="n">
        <v>468</v>
      </c>
      <c r="E133" s="10" t="n">
        <v>27</v>
      </c>
    </row>
    <row r="134">
      <c r="A134" s="10" t="inlineStr">
        <is>
          <t>C3931</t>
        </is>
      </c>
      <c r="B134" s="10" t="n">
        <v>3605667</v>
      </c>
      <c r="C134" s="10" t="n">
        <v>13</v>
      </c>
      <c r="D134" s="10" t="n">
        <v>493</v>
      </c>
      <c r="E134" s="10" t="n">
        <v>32</v>
      </c>
    </row>
    <row r="135">
      <c r="A135" s="10" t="inlineStr">
        <is>
          <t>C3989</t>
        </is>
      </c>
      <c r="B135" s="10" t="n">
        <v>305278</v>
      </c>
      <c r="C135" s="10" t="n">
        <v>6</v>
      </c>
      <c r="D135" s="10" t="n">
        <v>216</v>
      </c>
      <c r="E135" s="10" t="n">
        <v>89</v>
      </c>
    </row>
    <row r="136">
      <c r="A136" s="10" t="inlineStr">
        <is>
          <t>C3098</t>
        </is>
      </c>
      <c r="B136" s="10" t="n">
        <v>9704732</v>
      </c>
      <c r="C136" s="10" t="n">
        <v>30</v>
      </c>
      <c r="D136" s="10" t="n">
        <v>691</v>
      </c>
      <c r="E136" s="10" t="n">
        <v>3</v>
      </c>
    </row>
    <row r="137">
      <c r="A137" s="10" t="inlineStr">
        <is>
          <t>C3512</t>
        </is>
      </c>
      <c r="B137" s="10" t="n">
        <v>4282479</v>
      </c>
      <c r="C137" s="10" t="n">
        <v>11</v>
      </c>
      <c r="D137" s="10" t="n">
        <v>584</v>
      </c>
      <c r="E137" s="10" t="n">
        <v>24</v>
      </c>
    </row>
    <row r="138">
      <c r="A138" s="10" t="inlineStr">
        <is>
          <t>C3503</t>
        </is>
      </c>
      <c r="B138" s="10" t="n">
        <v>1937593</v>
      </c>
      <c r="C138" s="10" t="n">
        <v>12</v>
      </c>
      <c r="D138" s="10" t="n">
        <v>350</v>
      </c>
      <c r="E138" s="10" t="n">
        <v>34</v>
      </c>
    </row>
    <row r="139">
      <c r="A139" s="10" t="inlineStr">
        <is>
          <t>C3033</t>
        </is>
      </c>
      <c r="B139" s="10" t="n">
        <v>1227769</v>
      </c>
      <c r="C139" s="10" t="n">
        <v>7</v>
      </c>
      <c r="D139" s="10" t="n">
        <v>418</v>
      </c>
      <c r="E139" s="10" t="n">
        <v>129</v>
      </c>
    </row>
    <row r="140">
      <c r="A140" s="10" t="inlineStr">
        <is>
          <t>C3703</t>
        </is>
      </c>
      <c r="B140" s="10" t="inlineStr">
        <is>
          <t>Rp 3.939.211</t>
        </is>
      </c>
      <c r="C140" s="10" t="n">
        <v>13</v>
      </c>
      <c r="D140" s="10" t="n">
        <v>47</v>
      </c>
      <c r="E140" s="10" t="n">
        <v>3</v>
      </c>
    </row>
    <row r="141">
      <c r="A141" s="10" t="inlineStr">
        <is>
          <t>C3337</t>
        </is>
      </c>
      <c r="B141" s="10" t="n">
        <v>1160737</v>
      </c>
      <c r="C141" s="10" t="n">
        <v>4</v>
      </c>
      <c r="D141" s="10" t="n">
        <v>420</v>
      </c>
      <c r="E141" s="10" t="n">
        <v>85</v>
      </c>
    </row>
    <row r="142">
      <c r="A142" s="10" t="inlineStr">
        <is>
          <t>C3593</t>
        </is>
      </c>
      <c r="B142" s="10" t="n">
        <v>3913102</v>
      </c>
      <c r="C142" s="10" t="n">
        <v>19</v>
      </c>
      <c r="D142" s="10" t="n">
        <v>238</v>
      </c>
      <c r="E142" s="10" t="n">
        <v>40</v>
      </c>
    </row>
    <row r="143">
      <c r="A143" s="10" t="inlineStr">
        <is>
          <t>C3739</t>
        </is>
      </c>
      <c r="B143" s="10" t="n">
        <v>2695472</v>
      </c>
      <c r="C143" s="10" t="n">
        <v>4</v>
      </c>
      <c r="D143" s="10" t="n">
        <v>82</v>
      </c>
      <c r="E143" s="10" t="inlineStr">
        <is>
          <t>20 days</t>
        </is>
      </c>
    </row>
    <row r="144">
      <c r="A144" s="10" t="inlineStr">
        <is>
          <t>C3541</t>
        </is>
      </c>
      <c r="B144" s="10" t="inlineStr">
        <is>
          <t>Rp 3.029.053</t>
        </is>
      </c>
      <c r="C144" s="10" t="n">
        <v>18</v>
      </c>
      <c r="D144" s="10" t="n">
        <v>368</v>
      </c>
      <c r="E144" s="10" t="inlineStr">
        <is>
          <t>9 days</t>
        </is>
      </c>
    </row>
    <row r="145">
      <c r="A145" s="10" t="inlineStr">
        <is>
          <t>C3153</t>
        </is>
      </c>
      <c r="B145" s="10" t="n">
        <v>1533003</v>
      </c>
      <c r="C145" s="10" t="n">
        <v>1</v>
      </c>
      <c r="D145" s="10" t="n">
        <v>98</v>
      </c>
      <c r="E145" s="10" t="n">
        <v>16</v>
      </c>
    </row>
    <row r="146">
      <c r="A146" s="10" t="inlineStr">
        <is>
          <t>C3969</t>
        </is>
      </c>
      <c r="B146" s="10" t="n">
        <v>0</v>
      </c>
      <c r="C146" s="10" t="n"/>
      <c r="D146" s="10" t="n">
        <v>247</v>
      </c>
      <c r="E146" s="10" t="n">
        <v>37</v>
      </c>
    </row>
    <row r="147">
      <c r="A147" s="10" t="inlineStr">
        <is>
          <t>C3511</t>
        </is>
      </c>
      <c r="B147" s="10" t="n">
        <v>1512523</v>
      </c>
      <c r="C147" s="10" t="n">
        <v>7</v>
      </c>
      <c r="D147" s="10" t="n">
        <v>226</v>
      </c>
      <c r="E147" s="10" t="n">
        <v>53</v>
      </c>
    </row>
    <row r="148">
      <c r="A148" s="10" t="inlineStr">
        <is>
          <t>C3502</t>
        </is>
      </c>
      <c r="B148" s="10" t="n">
        <v>1196167</v>
      </c>
      <c r="C148" s="10" t="n">
        <v>2</v>
      </c>
      <c r="D148" s="10" t="n">
        <v>300</v>
      </c>
      <c r="E148" s="10" t="inlineStr">
        <is>
          <t>53 days</t>
        </is>
      </c>
    </row>
    <row r="149">
      <c r="A149" s="10" t="inlineStr">
        <is>
          <t>C3125</t>
        </is>
      </c>
      <c r="B149" s="10" t="n">
        <v>1042056</v>
      </c>
      <c r="C149" s="10" t="n">
        <v>3</v>
      </c>
      <c r="D149" s="10" t="n">
        <v>81</v>
      </c>
      <c r="E149" s="10" t="n">
        <v>3</v>
      </c>
    </row>
    <row r="150">
      <c r="A150" s="10" t="inlineStr">
        <is>
          <t>C3601</t>
        </is>
      </c>
      <c r="B150" s="10" t="n">
        <v>1270434</v>
      </c>
      <c r="C150" s="10" t="n">
        <v>3</v>
      </c>
      <c r="D150" s="10" t="n">
        <v>60</v>
      </c>
      <c r="E150" s="10" t="n">
        <v>5</v>
      </c>
    </row>
    <row r="151">
      <c r="A151" s="10" t="inlineStr">
        <is>
          <t>C3894</t>
        </is>
      </c>
      <c r="B151" s="10" t="n">
        <v>1056340</v>
      </c>
      <c r="C151" s="10" t="n">
        <v>5</v>
      </c>
      <c r="D151" s="10" t="n">
        <v>128</v>
      </c>
      <c r="E151" s="10" t="n">
        <v>1</v>
      </c>
    </row>
    <row r="152">
      <c r="A152" s="10" t="inlineStr">
        <is>
          <t>C3358</t>
        </is>
      </c>
      <c r="B152" s="10" t="n">
        <v>9808832</v>
      </c>
      <c r="C152" s="10" t="n">
        <v>24</v>
      </c>
      <c r="D152" s="10" t="n">
        <v>763</v>
      </c>
      <c r="E152" s="10" t="inlineStr">
        <is>
          <t>10 days</t>
        </is>
      </c>
    </row>
    <row r="153">
      <c r="A153" s="10" t="inlineStr">
        <is>
          <t>C3854</t>
        </is>
      </c>
      <c r="B153" s="10" t="n">
        <v>1042636</v>
      </c>
      <c r="C153" s="10" t="n">
        <v>1</v>
      </c>
      <c r="D153" s="10" t="n">
        <v>48</v>
      </c>
      <c r="E153" s="10" t="n">
        <v>6</v>
      </c>
    </row>
    <row r="154">
      <c r="A154" s="10" t="inlineStr">
        <is>
          <t>C3788</t>
        </is>
      </c>
      <c r="B154" s="10" t="n">
        <v>1001428</v>
      </c>
      <c r="C154" s="10" t="n">
        <v>10</v>
      </c>
      <c r="D154" s="10" t="n">
        <v>243</v>
      </c>
      <c r="E154" s="10" t="inlineStr">
        <is>
          <t>161 days</t>
        </is>
      </c>
    </row>
    <row r="155">
      <c r="A155" s="10" t="inlineStr">
        <is>
          <t>C3991</t>
        </is>
      </c>
      <c r="B155" s="10" t="n">
        <v>1496999</v>
      </c>
      <c r="C155" s="10" t="n">
        <v>6</v>
      </c>
      <c r="D155" s="10" t="n">
        <v>191</v>
      </c>
      <c r="E155" s="10" t="n">
        <v>122</v>
      </c>
    </row>
    <row r="156">
      <c r="A156" s="10" t="inlineStr">
        <is>
          <t>C3783</t>
        </is>
      </c>
      <c r="B156" s="10" t="n">
        <v>2611585</v>
      </c>
      <c r="C156" s="10" t="n">
        <v>5</v>
      </c>
      <c r="D156" s="10" t="n">
        <v>41</v>
      </c>
      <c r="E156" s="10" t="n">
        <v>2</v>
      </c>
    </row>
    <row r="157">
      <c r="A157" s="10" t="inlineStr">
        <is>
          <t>C4031</t>
        </is>
      </c>
      <c r="B157" s="10" t="n">
        <v>8858511</v>
      </c>
      <c r="C157" s="10" t="n">
        <v>27</v>
      </c>
      <c r="D157" s="10" t="n">
        <v>694</v>
      </c>
      <c r="E157" s="10" t="n">
        <v>19</v>
      </c>
    </row>
    <row r="158">
      <c r="A158" s="10" t="inlineStr">
        <is>
          <t>C3464</t>
        </is>
      </c>
      <c r="B158" s="10" t="n">
        <v>3978354</v>
      </c>
      <c r="C158" s="10" t="n"/>
      <c r="D158" s="10" t="n">
        <v>358</v>
      </c>
      <c r="E158" s="10" t="n">
        <v>10</v>
      </c>
    </row>
    <row r="159">
      <c r="A159" s="10" t="inlineStr">
        <is>
          <t>C4044</t>
        </is>
      </c>
      <c r="B159" s="10" t="n">
        <v>883961</v>
      </c>
      <c r="C159" s="10" t="n">
        <v>5</v>
      </c>
      <c r="D159" s="10" t="n">
        <v>386</v>
      </c>
      <c r="E159" s="10" t="n">
        <v>136</v>
      </c>
    </row>
    <row r="160">
      <c r="A160" s="10" t="inlineStr">
        <is>
          <t>C3733</t>
        </is>
      </c>
      <c r="B160" s="10" t="n">
        <v>3218954</v>
      </c>
      <c r="C160" s="10" t="n">
        <v>19</v>
      </c>
      <c r="D160" s="10" t="n">
        <v>435</v>
      </c>
      <c r="E160" s="10" t="n">
        <v>39</v>
      </c>
    </row>
    <row r="161">
      <c r="A161" s="10" t="inlineStr">
        <is>
          <t>C3815</t>
        </is>
      </c>
      <c r="B161" s="10" t="n">
        <v>1251108</v>
      </c>
      <c r="C161" s="10" t="n">
        <v>4</v>
      </c>
      <c r="D161" s="10" t="n">
        <v>77</v>
      </c>
      <c r="E161" s="10" t="inlineStr">
        <is>
          <t>27 days</t>
        </is>
      </c>
    </row>
    <row r="162">
      <c r="A162" s="10" t="inlineStr">
        <is>
          <t>C3151</t>
        </is>
      </c>
      <c r="B162" s="10" t="n">
        <v>3154705</v>
      </c>
      <c r="C162" s="10" t="n">
        <v>10</v>
      </c>
      <c r="D162" s="10" t="n">
        <v>319</v>
      </c>
      <c r="E162" s="10" t="n">
        <v>37</v>
      </c>
    </row>
    <row r="163">
      <c r="A163" s="10" t="inlineStr">
        <is>
          <t>C3427</t>
        </is>
      </c>
      <c r="B163" s="10" t="inlineStr">
        <is>
          <t>Rp 1.816.416</t>
        </is>
      </c>
      <c r="C163" s="10" t="n">
        <v>1</v>
      </c>
      <c r="D163" s="10" t="n">
        <v>477</v>
      </c>
      <c r="E163" s="10" t="n">
        <v>61</v>
      </c>
    </row>
    <row r="164">
      <c r="A164" s="10" t="inlineStr">
        <is>
          <t>C3310</t>
        </is>
      </c>
      <c r="B164" s="10" t="n">
        <v>2390772</v>
      </c>
      <c r="C164" s="10" t="n">
        <v>2</v>
      </c>
      <c r="D164" s="10" t="n">
        <v>80</v>
      </c>
      <c r="E164" s="10" t="n">
        <v>3</v>
      </c>
    </row>
    <row r="165">
      <c r="A165" s="10" t="inlineStr">
        <is>
          <t>C3327</t>
        </is>
      </c>
      <c r="B165" s="10" t="n">
        <v>1062237</v>
      </c>
      <c r="C165" s="10" t="n">
        <v>3</v>
      </c>
      <c r="D165" s="10" t="n">
        <v>476</v>
      </c>
      <c r="E165" s="10" t="inlineStr">
        <is>
          <t>81 days</t>
        </is>
      </c>
    </row>
    <row r="166">
      <c r="A166" s="10" t="inlineStr">
        <is>
          <t>C4037</t>
        </is>
      </c>
      <c r="B166" s="10" t="n">
        <v>4324288</v>
      </c>
      <c r="C166" s="10" t="n">
        <v>12</v>
      </c>
      <c r="D166" s="10" t="n">
        <v>305</v>
      </c>
      <c r="E166" s="10" t="n">
        <v>27</v>
      </c>
    </row>
    <row r="167">
      <c r="A167" s="10" t="inlineStr">
        <is>
          <t>C3274</t>
        </is>
      </c>
      <c r="B167" s="10" t="n">
        <v>2476835</v>
      </c>
      <c r="C167" s="10" t="n">
        <v>17</v>
      </c>
      <c r="D167" s="10" t="n">
        <v>372</v>
      </c>
      <c r="E167" s="10" t="n">
        <v>20</v>
      </c>
    </row>
    <row r="168">
      <c r="A168" s="10" t="inlineStr">
        <is>
          <t>C3808</t>
        </is>
      </c>
      <c r="B168" s="10" t="n">
        <v>3060109</v>
      </c>
      <c r="C168" s="10" t="n">
        <v>11</v>
      </c>
      <c r="D168" s="10" t="n">
        <v>579</v>
      </c>
      <c r="E168" s="10" t="n">
        <v>43</v>
      </c>
    </row>
    <row r="169">
      <c r="A169" s="10" t="inlineStr">
        <is>
          <t>C3200</t>
        </is>
      </c>
      <c r="B169" s="10" t="n">
        <v>449648</v>
      </c>
      <c r="C169" s="10" t="n">
        <v>3</v>
      </c>
      <c r="D169" s="10" t="n">
        <v>74</v>
      </c>
      <c r="E169" s="10" t="n">
        <v>16</v>
      </c>
    </row>
    <row r="170">
      <c r="A170" s="10" t="inlineStr">
        <is>
          <t>C3928</t>
        </is>
      </c>
      <c r="B170" s="10" t="n">
        <v>1361953</v>
      </c>
      <c r="C170" s="10" t="n">
        <v>6</v>
      </c>
      <c r="D170" s="10" t="n">
        <v>574</v>
      </c>
      <c r="E170" s="10" t="n">
        <v>64</v>
      </c>
    </row>
    <row r="171">
      <c r="A171" s="10" t="inlineStr">
        <is>
          <t>C3241</t>
        </is>
      </c>
      <c r="B171" s="10" t="n">
        <v>3785890</v>
      </c>
      <c r="C171" s="10" t="n">
        <v>17</v>
      </c>
      <c r="D171" s="10" t="n">
        <v>408</v>
      </c>
      <c r="E171" s="10" t="n">
        <v>30</v>
      </c>
    </row>
    <row r="172">
      <c r="A172" s="10" t="inlineStr">
        <is>
          <t>C3714</t>
        </is>
      </c>
      <c r="B172" s="10" t="inlineStr">
        <is>
          <t>Rp 2.802.634</t>
        </is>
      </c>
      <c r="C172" s="10" t="n">
        <v>3</v>
      </c>
      <c r="D172" s="10" t="n">
        <v>31</v>
      </c>
      <c r="E172" s="10" t="n">
        <v>22</v>
      </c>
    </row>
    <row r="173">
      <c r="A173" s="10" t="inlineStr">
        <is>
          <t>C3384</t>
        </is>
      </c>
      <c r="B173" s="10" t="n">
        <v>8740270</v>
      </c>
      <c r="C173" s="10" t="n">
        <v>35</v>
      </c>
      <c r="D173" s="10" t="n">
        <v>691</v>
      </c>
      <c r="E173" s="10" t="n">
        <v>12</v>
      </c>
    </row>
    <row r="174">
      <c r="A174" s="10" t="inlineStr">
        <is>
          <t>C3322</t>
        </is>
      </c>
      <c r="B174" s="10" t="n">
        <v>747213</v>
      </c>
      <c r="C174" s="10" t="n">
        <v>5</v>
      </c>
      <c r="D174" s="10" t="n">
        <v>403</v>
      </c>
      <c r="E174" s="10" t="n">
        <v>87</v>
      </c>
    </row>
    <row r="175">
      <c r="A175" s="10" t="inlineStr">
        <is>
          <t>C3105</t>
        </is>
      </c>
      <c r="B175" s="10" t="n">
        <v>1949923</v>
      </c>
      <c r="C175" s="10" t="n">
        <v>5</v>
      </c>
      <c r="D175" s="10" t="n">
        <v>351</v>
      </c>
      <c r="E175" s="10" t="n">
        <v>53</v>
      </c>
    </row>
    <row r="176">
      <c r="A176" s="10" t="inlineStr">
        <is>
          <t>C3441</t>
        </is>
      </c>
      <c r="B176" s="10" t="inlineStr">
        <is>
          <t>Rp 3.456.054</t>
        </is>
      </c>
      <c r="C176" s="10" t="n">
        <v>13</v>
      </c>
      <c r="D176" s="10" t="n">
        <v>184</v>
      </c>
      <c r="E176" s="10" t="n">
        <v>25</v>
      </c>
    </row>
    <row r="177">
      <c r="A177" s="10" t="inlineStr">
        <is>
          <t>C3672</t>
        </is>
      </c>
      <c r="B177" s="10" t="n">
        <v>4183492</v>
      </c>
      <c r="C177" s="10" t="n">
        <v>22</v>
      </c>
      <c r="D177" s="10" t="n">
        <v>316</v>
      </c>
      <c r="E177" s="10" t="n">
        <v>16</v>
      </c>
    </row>
    <row r="178">
      <c r="A178" s="10" t="inlineStr">
        <is>
          <t>C3968</t>
        </is>
      </c>
      <c r="B178" s="10" t="n">
        <v>4948773</v>
      </c>
      <c r="C178" s="10" t="n">
        <v>14</v>
      </c>
      <c r="D178" s="10" t="n">
        <v>621</v>
      </c>
      <c r="E178" s="10" t="n">
        <v>27</v>
      </c>
    </row>
    <row r="179">
      <c r="A179" s="10" t="inlineStr">
        <is>
          <t>C3123</t>
        </is>
      </c>
      <c r="B179" s="10" t="n">
        <v>12312730</v>
      </c>
      <c r="C179" s="10" t="n">
        <v>26</v>
      </c>
      <c r="D179" s="10" t="n">
        <v>570</v>
      </c>
      <c r="E179" s="10" t="n">
        <v>7</v>
      </c>
    </row>
    <row r="180">
      <c r="A180" s="10" t="inlineStr">
        <is>
          <t>C3819</t>
        </is>
      </c>
      <c r="B180" s="10" t="inlineStr">
        <is>
          <t>Rp 8.073.072</t>
        </is>
      </c>
      <c r="C180" s="10" t="n">
        <v>33</v>
      </c>
      <c r="D180" s="10" t="n">
        <v>585</v>
      </c>
      <c r="E180" s="10" t="n">
        <v>11</v>
      </c>
    </row>
    <row r="181">
      <c r="A181" s="10" t="inlineStr">
        <is>
          <t>C3832</t>
        </is>
      </c>
      <c r="B181" s="10" t="n">
        <v>1179797</v>
      </c>
      <c r="C181" s="10" t="n">
        <v>17</v>
      </c>
      <c r="D181" s="10" t="n">
        <v>506</v>
      </c>
      <c r="E181" s="10" t="n">
        <v>26</v>
      </c>
    </row>
    <row r="182">
      <c r="A182" s="10" t="inlineStr">
        <is>
          <t>C4094</t>
        </is>
      </c>
      <c r="B182" s="10" t="n">
        <v>726123</v>
      </c>
      <c r="C182" s="10" t="n"/>
      <c r="D182" s="10" t="n">
        <v>171</v>
      </c>
      <c r="E182" s="10" t="n">
        <v>68</v>
      </c>
    </row>
    <row r="183">
      <c r="A183" s="10" t="inlineStr">
        <is>
          <t>C3825</t>
        </is>
      </c>
      <c r="B183" s="10" t="n">
        <v>1639349</v>
      </c>
      <c r="C183" s="10" t="n">
        <v>1</v>
      </c>
      <c r="D183" s="10" t="n">
        <v>70</v>
      </c>
      <c r="E183" s="10" t="n">
        <v>33</v>
      </c>
    </row>
    <row r="184">
      <c r="A184" s="10" t="inlineStr">
        <is>
          <t>C4025</t>
        </is>
      </c>
      <c r="B184" s="10" t="inlineStr">
        <is>
          <t>Rp 4.358.898</t>
        </is>
      </c>
      <c r="C184" s="10" t="n">
        <v>14</v>
      </c>
      <c r="D184" s="10" t="n">
        <v>210</v>
      </c>
      <c r="E184" s="10" t="n">
        <v>40</v>
      </c>
    </row>
    <row r="185">
      <c r="A185" s="10" t="inlineStr">
        <is>
          <t>C3015</t>
        </is>
      </c>
      <c r="B185" s="10" t="n">
        <v>1007075</v>
      </c>
      <c r="C185" s="10" t="n">
        <v>3</v>
      </c>
      <c r="D185" s="10" t="n">
        <v>383</v>
      </c>
      <c r="E185" s="10" t="n">
        <v>27</v>
      </c>
    </row>
    <row r="186">
      <c r="A186" s="10" t="inlineStr">
        <is>
          <t>C3371</t>
        </is>
      </c>
      <c r="B186" s="10" t="n">
        <v>1113968</v>
      </c>
      <c r="C186" s="10" t="n">
        <v>1</v>
      </c>
      <c r="D186" s="10" t="n">
        <v>109</v>
      </c>
      <c r="E186" s="10" t="n">
        <v>11</v>
      </c>
    </row>
    <row r="187">
      <c r="A187" s="10" t="inlineStr">
        <is>
          <t>C3799</t>
        </is>
      </c>
      <c r="B187" s="10" t="n">
        <v>596139</v>
      </c>
      <c r="C187" s="10" t="n">
        <v>1</v>
      </c>
      <c r="D187" s="10" t="n">
        <v>684</v>
      </c>
      <c r="E187" s="10" t="n">
        <v>72</v>
      </c>
    </row>
    <row r="188">
      <c r="A188" s="10" t="inlineStr">
        <is>
          <t>C3472</t>
        </is>
      </c>
      <c r="B188" s="10" t="n">
        <v>3504902</v>
      </c>
      <c r="C188" s="10" t="n">
        <v>21</v>
      </c>
      <c r="D188" s="10" t="n">
        <v>268</v>
      </c>
      <c r="E188" s="10" t="n">
        <v>39</v>
      </c>
    </row>
    <row r="189">
      <c r="A189" s="10" t="inlineStr">
        <is>
          <t>C3600</t>
        </is>
      </c>
      <c r="B189" s="10" t="inlineStr">
        <is>
          <t>Rp 3.147.020</t>
        </is>
      </c>
      <c r="C189" s="10" t="n">
        <v>20</v>
      </c>
      <c r="D189" s="10" t="n">
        <v>348</v>
      </c>
      <c r="E189" s="10" t="n">
        <v>32</v>
      </c>
    </row>
    <row r="190">
      <c r="A190" s="10" t="inlineStr">
        <is>
          <t>C3961</t>
        </is>
      </c>
      <c r="B190" s="10" t="n">
        <v>7424486</v>
      </c>
      <c r="C190" s="10" t="n">
        <v>29</v>
      </c>
      <c r="D190" s="10" t="n">
        <v>678</v>
      </c>
      <c r="E190" s="10" t="n">
        <v>9</v>
      </c>
    </row>
    <row r="191">
      <c r="A191" s="10" t="inlineStr">
        <is>
          <t>C3416</t>
        </is>
      </c>
      <c r="B191" s="10" t="inlineStr">
        <is>
          <t>Rp 3.987.128</t>
        </is>
      </c>
      <c r="C191" s="10" t="n">
        <v>12</v>
      </c>
      <c r="D191" s="10" t="n">
        <v>490</v>
      </c>
      <c r="E191" s="10" t="n">
        <v>26</v>
      </c>
    </row>
    <row r="192">
      <c r="A192" s="10" t="inlineStr">
        <is>
          <t>C3315</t>
        </is>
      </c>
      <c r="B192" s="10" t="inlineStr">
        <is>
          <t>Rp 327.897</t>
        </is>
      </c>
      <c r="C192" s="10" t="n">
        <v>2</v>
      </c>
      <c r="D192" s="10" t="n">
        <v>260</v>
      </c>
      <c r="E192" s="10" t="n">
        <v>34</v>
      </c>
    </row>
    <row r="193">
      <c r="A193" s="10" t="inlineStr">
        <is>
          <t>C3343</t>
        </is>
      </c>
      <c r="B193" s="10" t="n">
        <v>617755</v>
      </c>
      <c r="C193" s="10" t="n">
        <v>2</v>
      </c>
      <c r="D193" s="10" t="n">
        <v>73</v>
      </c>
      <c r="E193" s="10" t="n">
        <v>27</v>
      </c>
    </row>
    <row r="194">
      <c r="A194" s="10" t="inlineStr">
        <is>
          <t>C3744</t>
        </is>
      </c>
      <c r="B194" s="10" t="n">
        <v>2300202</v>
      </c>
      <c r="C194" s="10" t="n">
        <v>17</v>
      </c>
      <c r="D194" s="10" t="n">
        <v>424</v>
      </c>
      <c r="E194" s="10" t="n">
        <v>41</v>
      </c>
    </row>
    <row r="195">
      <c r="A195" s="10" t="inlineStr">
        <is>
          <t>C3260</t>
        </is>
      </c>
      <c r="B195" s="10" t="n">
        <v>722515</v>
      </c>
      <c r="C195" s="10" t="n">
        <v>5</v>
      </c>
      <c r="D195" s="10" t="n">
        <v>499</v>
      </c>
      <c r="E195" s="10" t="n">
        <v>36</v>
      </c>
    </row>
    <row r="196">
      <c r="A196" s="10" t="inlineStr">
        <is>
          <t>C3584</t>
        </is>
      </c>
      <c r="B196" s="10" t="inlineStr">
        <is>
          <t>Rp 3.702.072</t>
        </is>
      </c>
      <c r="C196" s="10" t="n">
        <v>13</v>
      </c>
      <c r="D196" s="10" t="n">
        <v>523</v>
      </c>
      <c r="E196" s="10" t="n">
        <v>33</v>
      </c>
    </row>
    <row r="197">
      <c r="A197" s="10" t="inlineStr">
        <is>
          <t>C3805</t>
        </is>
      </c>
      <c r="B197" s="10" t="n">
        <v>1003832</v>
      </c>
      <c r="C197" s="10" t="n">
        <v>4</v>
      </c>
      <c r="D197" s="10" t="n">
        <v>195</v>
      </c>
      <c r="E197" s="10" t="n">
        <v>70</v>
      </c>
    </row>
    <row r="198">
      <c r="A198" s="10" t="inlineStr">
        <is>
          <t>C3013</t>
        </is>
      </c>
      <c r="B198" s="10" t="inlineStr">
        <is>
          <t>Rp 1.234.945</t>
        </is>
      </c>
      <c r="C198" s="10" t="n">
        <v>13</v>
      </c>
      <c r="D198" s="10" t="n">
        <v>421</v>
      </c>
      <c r="E198" s="10" t="inlineStr">
        <is>
          <t>33 days</t>
        </is>
      </c>
    </row>
    <row r="199">
      <c r="A199" s="10" t="inlineStr">
        <is>
          <t>C3103</t>
        </is>
      </c>
      <c r="B199" s="10" t="n">
        <v>4145577</v>
      </c>
      <c r="C199" s="10" t="n">
        <v>20</v>
      </c>
      <c r="D199" s="10" t="n">
        <v>316</v>
      </c>
      <c r="E199" s="10" t="n">
        <v>13</v>
      </c>
    </row>
    <row r="200">
      <c r="A200" s="10" t="inlineStr">
        <is>
          <t>C3619</t>
        </is>
      </c>
      <c r="B200" s="10" t="n">
        <v>1365078</v>
      </c>
      <c r="C200" s="10" t="n">
        <v>5</v>
      </c>
      <c r="D200" s="10" t="n">
        <v>531</v>
      </c>
      <c r="E200" s="10" t="inlineStr">
        <is>
          <t>61 days</t>
        </is>
      </c>
    </row>
    <row r="201">
      <c r="A201" s="10" t="inlineStr">
        <is>
          <t>C3637</t>
        </is>
      </c>
      <c r="B201" s="10" t="inlineStr">
        <is>
          <t>Rp 76.985</t>
        </is>
      </c>
      <c r="C201" s="10" t="n">
        <v>1</v>
      </c>
      <c r="D201" s="10" t="n">
        <v>199</v>
      </c>
      <c r="E201" s="10" t="n">
        <v>101</v>
      </c>
    </row>
    <row r="202">
      <c r="A202" s="10" t="inlineStr">
        <is>
          <t>C3614</t>
        </is>
      </c>
      <c r="B202" s="10" t="n">
        <v>3727974</v>
      </c>
      <c r="C202" s="10" t="n">
        <v>15</v>
      </c>
      <c r="D202" s="10" t="n">
        <v>440</v>
      </c>
      <c r="E202" s="10" t="n">
        <v>8</v>
      </c>
    </row>
    <row r="203">
      <c r="A203" s="10" t="inlineStr">
        <is>
          <t>C3913</t>
        </is>
      </c>
      <c r="B203" s="10" t="n">
        <v>209989</v>
      </c>
      <c r="C203" s="10" t="n">
        <v>3</v>
      </c>
      <c r="D203" s="10" t="n">
        <v>126</v>
      </c>
      <c r="E203" s="10" t="n">
        <v>1</v>
      </c>
    </row>
    <row r="204">
      <c r="A204" s="10" t="inlineStr">
        <is>
          <t>C3473</t>
        </is>
      </c>
      <c r="B204" s="10" t="n">
        <v>0</v>
      </c>
      <c r="C204" s="10" t="n">
        <v>3</v>
      </c>
      <c r="D204" s="10" t="n">
        <v>62</v>
      </c>
      <c r="E204" s="10" t="n">
        <v>20</v>
      </c>
    </row>
    <row r="205">
      <c r="A205" s="10" t="inlineStr">
        <is>
          <t>C3800</t>
        </is>
      </c>
      <c r="B205" s="10" t="n">
        <v>3336547</v>
      </c>
      <c r="C205" s="10" t="n">
        <v>18</v>
      </c>
      <c r="D205" s="10" t="n">
        <v>270</v>
      </c>
      <c r="E205" s="10" t="n">
        <v>12</v>
      </c>
    </row>
    <row r="206">
      <c r="A206" s="10" t="inlineStr">
        <is>
          <t>C3041</t>
        </is>
      </c>
      <c r="B206" s="10" t="inlineStr">
        <is>
          <t>Rp 1.201.447</t>
        </is>
      </c>
      <c r="C206" s="10" t="n">
        <v>3</v>
      </c>
      <c r="D206" s="10" t="n">
        <v>396</v>
      </c>
      <c r="E206" s="10" t="n">
        <v>64</v>
      </c>
    </row>
    <row r="207">
      <c r="A207" s="10" t="inlineStr">
        <is>
          <t>C4038</t>
        </is>
      </c>
      <c r="B207" s="10" t="inlineStr">
        <is>
          <t>Rp 1.136.706</t>
        </is>
      </c>
      <c r="C207" s="10" t="n">
        <v>6</v>
      </c>
      <c r="D207" s="10" t="n">
        <v>34</v>
      </c>
      <c r="E207" s="10" t="n">
        <v>26</v>
      </c>
    </row>
    <row r="208">
      <c r="A208" s="10" t="inlineStr">
        <is>
          <t>C3326</t>
        </is>
      </c>
      <c r="B208" s="10" t="inlineStr">
        <is>
          <t>Rp 1.628.248</t>
        </is>
      </c>
      <c r="C208" s="10" t="n">
        <v>1</v>
      </c>
      <c r="D208" s="10" t="n">
        <v>86</v>
      </c>
      <c r="E208" s="10" t="n">
        <v>29</v>
      </c>
    </row>
    <row r="209">
      <c r="A209" s="10" t="inlineStr">
        <is>
          <t>C3963</t>
        </is>
      </c>
      <c r="B209" s="10" t="n">
        <v>608028</v>
      </c>
      <c r="C209" s="10" t="n">
        <v>5</v>
      </c>
      <c r="D209" s="10" t="n">
        <v>350</v>
      </c>
      <c r="E209" s="10" t="inlineStr">
        <is>
          <t>31 days</t>
        </is>
      </c>
    </row>
    <row r="210">
      <c r="A210" s="10" t="inlineStr">
        <is>
          <t>C3438</t>
        </is>
      </c>
      <c r="B210" s="10" t="n">
        <v>889615</v>
      </c>
      <c r="C210" s="10" t="n">
        <v>3</v>
      </c>
      <c r="D210" s="10" t="n">
        <v>259</v>
      </c>
      <c r="E210" s="10" t="n">
        <v>36</v>
      </c>
    </row>
    <row r="211">
      <c r="A211" s="10" t="inlineStr">
        <is>
          <t>C3054</t>
        </is>
      </c>
      <c r="B211" s="10" t="n">
        <v>1484710</v>
      </c>
      <c r="C211" s="10" t="n">
        <v>1</v>
      </c>
      <c r="D211" s="10" t="n">
        <v>53</v>
      </c>
      <c r="E211" s="10" t="n">
        <v>33</v>
      </c>
    </row>
    <row r="212">
      <c r="A212" s="10" t="inlineStr">
        <is>
          <t>C3633</t>
        </is>
      </c>
      <c r="B212" s="10" t="inlineStr">
        <is>
          <t>Rp 3.843.363</t>
        </is>
      </c>
      <c r="C212" s="10" t="n">
        <v>16</v>
      </c>
      <c r="D212" s="10" t="n">
        <v>468</v>
      </c>
      <c r="E212" s="10" t="n">
        <v>21</v>
      </c>
    </row>
    <row r="213">
      <c r="A213" s="10" t="inlineStr">
        <is>
          <t>C3386</t>
        </is>
      </c>
      <c r="B213" s="10" t="n">
        <v>2845153</v>
      </c>
      <c r="C213" s="10" t="n">
        <v>14</v>
      </c>
      <c r="D213" s="10" t="n">
        <v>381</v>
      </c>
      <c r="E213" s="10" t="n">
        <v>42</v>
      </c>
    </row>
    <row r="214">
      <c r="A214" s="10" t="inlineStr">
        <is>
          <t>C3998</t>
        </is>
      </c>
      <c r="B214" s="10" t="inlineStr">
        <is>
          <t>Rp 8.494.806</t>
        </is>
      </c>
      <c r="C214" s="10" t="n">
        <v>31</v>
      </c>
      <c r="D214" s="10" t="n">
        <v>484</v>
      </c>
      <c r="E214" s="10" t="n">
        <v>5</v>
      </c>
    </row>
    <row r="215">
      <c r="A215" s="10" t="inlineStr">
        <is>
          <t>C3398</t>
        </is>
      </c>
      <c r="B215" s="10" t="n">
        <v>4516431</v>
      </c>
      <c r="C215" s="10" t="n">
        <v>13</v>
      </c>
      <c r="D215" s="10" t="n">
        <v>510</v>
      </c>
      <c r="E215" s="10" t="n">
        <v>3</v>
      </c>
    </row>
    <row r="216">
      <c r="A216" s="10" t="inlineStr">
        <is>
          <t>C3071</t>
        </is>
      </c>
      <c r="B216" s="10" t="n">
        <v>3100534</v>
      </c>
      <c r="C216" s="10" t="n"/>
      <c r="D216" s="10" t="n">
        <v>344</v>
      </c>
      <c r="E216" s="10" t="n">
        <v>32</v>
      </c>
    </row>
    <row r="217">
      <c r="A217" s="10" t="inlineStr">
        <is>
          <t>C3265</t>
        </is>
      </c>
      <c r="B217" s="10" t="inlineStr">
        <is>
          <t>Rp 1.246.251</t>
        </is>
      </c>
      <c r="C217" s="10" t="n">
        <v>2</v>
      </c>
      <c r="D217" s="10" t="n">
        <v>419</v>
      </c>
      <c r="E217" s="10" t="n">
        <v>51</v>
      </c>
    </row>
    <row r="218">
      <c r="A218" s="10" t="inlineStr">
        <is>
          <t>C3176</t>
        </is>
      </c>
      <c r="B218" s="10" t="n">
        <v>1052127</v>
      </c>
      <c r="C218" s="10" t="n">
        <v>3</v>
      </c>
      <c r="D218" s="10" t="n">
        <v>13</v>
      </c>
      <c r="E218" s="10" t="n">
        <v>8</v>
      </c>
    </row>
    <row r="219">
      <c r="A219" s="10" t="inlineStr">
        <is>
          <t>C3643</t>
        </is>
      </c>
      <c r="B219" s="10" t="n">
        <v>1168751</v>
      </c>
      <c r="C219" s="10" t="n">
        <v>7</v>
      </c>
      <c r="D219" s="10" t="n">
        <v>488</v>
      </c>
      <c r="E219" s="10" t="n">
        <v>41</v>
      </c>
    </row>
    <row r="220">
      <c r="A220" s="10" t="inlineStr">
        <is>
          <t>C3983</t>
        </is>
      </c>
      <c r="B220" s="10" t="n">
        <v>878916</v>
      </c>
      <c r="C220" s="10" t="n">
        <v>2</v>
      </c>
      <c r="D220" s="10" t="n">
        <v>343</v>
      </c>
      <c r="E220" s="10" t="n">
        <v>54</v>
      </c>
    </row>
    <row r="221">
      <c r="A221" s="10" t="inlineStr">
        <is>
          <t>C3333</t>
        </is>
      </c>
      <c r="B221" s="10" t="n">
        <v>7742297</v>
      </c>
      <c r="C221" s="10" t="n">
        <v>29</v>
      </c>
      <c r="D221" s="10" t="n">
        <v>544</v>
      </c>
      <c r="E221" s="10" t="n">
        <v>22</v>
      </c>
    </row>
    <row r="222">
      <c r="A222" s="10" t="inlineStr">
        <is>
          <t>C3753</t>
        </is>
      </c>
      <c r="B222" s="10" t="n">
        <v>4887568</v>
      </c>
      <c r="C222" s="10" t="n">
        <v>7</v>
      </c>
      <c r="D222" s="10" t="n">
        <v>173</v>
      </c>
      <c r="E222" s="10" t="n">
        <v>29</v>
      </c>
    </row>
    <row r="223">
      <c r="A223" s="10" t="inlineStr">
        <is>
          <t>C3630</t>
        </is>
      </c>
      <c r="B223" s="10" t="n">
        <v>2636125</v>
      </c>
      <c r="C223" s="10" t="n">
        <v>18</v>
      </c>
      <c r="D223" s="10" t="n">
        <v>361</v>
      </c>
      <c r="E223" s="10" t="n">
        <v>14</v>
      </c>
    </row>
    <row r="224">
      <c r="A224" s="10" t="inlineStr">
        <is>
          <t>C3111</t>
        </is>
      </c>
      <c r="B224" s="10" t="n">
        <v>4702712</v>
      </c>
      <c r="C224" s="10" t="n">
        <v>35</v>
      </c>
      <c r="D224" s="10" t="n">
        <v>733</v>
      </c>
      <c r="E224" s="10" t="n">
        <v>16</v>
      </c>
    </row>
    <row r="225">
      <c r="A225" s="10" t="inlineStr">
        <is>
          <t>C3916</t>
        </is>
      </c>
      <c r="B225" s="10" t="n">
        <v>2490247</v>
      </c>
      <c r="C225" s="10" t="n">
        <v>23</v>
      </c>
      <c r="D225" s="10" t="n">
        <v>457</v>
      </c>
      <c r="E225" s="10" t="n">
        <v>29</v>
      </c>
    </row>
    <row r="226">
      <c r="A226" s="10" t="inlineStr">
        <is>
          <t>C3168</t>
        </is>
      </c>
      <c r="B226" s="10" t="n">
        <v>897664</v>
      </c>
      <c r="C226" s="10" t="n">
        <v>4</v>
      </c>
      <c r="D226" s="10" t="n">
        <v>465</v>
      </c>
      <c r="E226" s="10" t="n">
        <v>45</v>
      </c>
    </row>
    <row r="227">
      <c r="A227" s="10" t="inlineStr">
        <is>
          <t>C3094</t>
        </is>
      </c>
      <c r="B227" s="10" t="inlineStr">
        <is>
          <t>Rp 3.220.625</t>
        </is>
      </c>
      <c r="C227" s="10" t="n">
        <v>18</v>
      </c>
      <c r="D227" s="10" t="n">
        <v>459</v>
      </c>
      <c r="E227" s="10" t="n">
        <v>35</v>
      </c>
    </row>
    <row r="228">
      <c r="A228" s="10" t="inlineStr">
        <is>
          <t>C3702</t>
        </is>
      </c>
      <c r="B228" s="10" t="n">
        <v>1880257</v>
      </c>
      <c r="C228" s="10" t="n">
        <v>2</v>
      </c>
      <c r="D228" s="10" t="n">
        <v>311</v>
      </c>
      <c r="E228" s="10" t="inlineStr">
        <is>
          <t>2 days</t>
        </is>
      </c>
    </row>
    <row r="229">
      <c r="A229" s="10" t="inlineStr">
        <is>
          <t>C3428</t>
        </is>
      </c>
      <c r="B229" s="10" t="inlineStr">
        <is>
          <t>Rp 1.913.289</t>
        </is>
      </c>
      <c r="C229" s="10" t="n">
        <v>11</v>
      </c>
      <c r="D229" s="10" t="n">
        <v>587</v>
      </c>
      <c r="E229" s="10" t="inlineStr">
        <is>
          <t>20 days</t>
        </is>
      </c>
    </row>
    <row r="230">
      <c r="A230" s="10" t="inlineStr">
        <is>
          <t>C3280</t>
        </is>
      </c>
      <c r="B230" s="10" t="n">
        <v>1379462</v>
      </c>
      <c r="C230" s="10" t="n">
        <v>2</v>
      </c>
      <c r="D230" s="10" t="n">
        <v>173</v>
      </c>
      <c r="E230" s="10" t="n">
        <v>2</v>
      </c>
    </row>
    <row r="231">
      <c r="A231" s="10" t="inlineStr">
        <is>
          <t>C3408</t>
        </is>
      </c>
      <c r="B231" s="10" t="n">
        <v>217977</v>
      </c>
      <c r="C231" s="10" t="n">
        <v>2</v>
      </c>
      <c r="D231" s="10" t="n">
        <v>5</v>
      </c>
      <c r="E231" s="10" t="n">
        <v>86</v>
      </c>
    </row>
    <row r="232">
      <c r="A232" s="10" t="inlineStr">
        <is>
          <t>C3422</t>
        </is>
      </c>
      <c r="B232" s="10" t="n">
        <v>7660072</v>
      </c>
      <c r="C232" s="10" t="n">
        <v>39</v>
      </c>
      <c r="D232" s="10" t="n">
        <v>419</v>
      </c>
      <c r="E232" s="10" t="n">
        <v>9</v>
      </c>
    </row>
    <row r="233">
      <c r="A233" s="10" t="inlineStr">
        <is>
          <t>C3046</t>
        </is>
      </c>
      <c r="B233" s="10" t="n">
        <v>7859217</v>
      </c>
      <c r="C233" s="10" t="n">
        <v>28</v>
      </c>
      <c r="D233" s="10" t="n">
        <v>721</v>
      </c>
      <c r="E233" s="10" t="n">
        <v>15</v>
      </c>
    </row>
    <row r="234">
      <c r="A234" s="10" t="inlineStr">
        <is>
          <t>C3044</t>
        </is>
      </c>
      <c r="B234" s="10" t="inlineStr">
        <is>
          <t>Rp 70.671</t>
        </is>
      </c>
      <c r="C234" s="10" t="n">
        <v>1</v>
      </c>
      <c r="D234" s="10" t="n">
        <v>463</v>
      </c>
      <c r="E234" s="10" t="n">
        <v>35</v>
      </c>
    </row>
    <row r="235">
      <c r="A235" s="10" t="inlineStr">
        <is>
          <t>C3675</t>
        </is>
      </c>
      <c r="B235" s="10" t="n">
        <v>762044</v>
      </c>
      <c r="C235" s="10" t="n">
        <v>6</v>
      </c>
      <c r="D235" s="10" t="n">
        <v>132</v>
      </c>
      <c r="E235" s="10" t="n">
        <v>65</v>
      </c>
    </row>
    <row r="236">
      <c r="A236" s="10" t="inlineStr">
        <is>
          <t>C3399</t>
        </is>
      </c>
      <c r="B236" s="10" t="n">
        <v>856036</v>
      </c>
      <c r="C236" s="10" t="n">
        <v>5</v>
      </c>
      <c r="D236" s="10" t="n">
        <v>279</v>
      </c>
      <c r="E236" s="10" t="n">
        <v>111</v>
      </c>
    </row>
    <row r="237">
      <c r="A237" s="10" t="inlineStr">
        <is>
          <t>C3396</t>
        </is>
      </c>
      <c r="B237" s="10" t="n">
        <v>1062507</v>
      </c>
      <c r="C237" s="10" t="n">
        <v>1</v>
      </c>
      <c r="D237" s="10" t="n">
        <v>69</v>
      </c>
      <c r="E237" s="10" t="n">
        <v>23</v>
      </c>
    </row>
    <row r="238">
      <c r="A238" s="10" t="inlineStr">
        <is>
          <t>C3579</t>
        </is>
      </c>
      <c r="B238" s="10" t="inlineStr">
        <is>
          <t>Rp 0</t>
        </is>
      </c>
      <c r="C238" s="10" t="n">
        <v>3</v>
      </c>
      <c r="D238" s="10" t="n">
        <v>323</v>
      </c>
      <c r="E238" s="10" t="n">
        <v>33</v>
      </c>
    </row>
    <row r="239">
      <c r="A239" s="10" t="inlineStr">
        <is>
          <t>C4013</t>
        </is>
      </c>
      <c r="B239" s="10" t="n">
        <v>2137716</v>
      </c>
      <c r="C239" s="10" t="n">
        <v>3</v>
      </c>
      <c r="D239" s="10" t="n">
        <v>55</v>
      </c>
      <c r="E239" s="10" t="n">
        <v>11</v>
      </c>
    </row>
    <row r="240">
      <c r="A240" s="10" t="inlineStr">
        <is>
          <t>C3347</t>
        </is>
      </c>
      <c r="B240" s="10" t="inlineStr">
        <is>
          <t>Rp 5.014.686</t>
        </is>
      </c>
      <c r="C240" s="10" t="n">
        <v>14</v>
      </c>
      <c r="D240" s="10" t="n">
        <v>456</v>
      </c>
      <c r="E240" s="10" t="n">
        <v>55</v>
      </c>
    </row>
    <row r="241">
      <c r="A241" s="10" t="inlineStr">
        <is>
          <t>C3936</t>
        </is>
      </c>
      <c r="B241" s="10" t="n">
        <v>995742</v>
      </c>
      <c r="C241" s="10" t="n">
        <v>2</v>
      </c>
      <c r="D241" s="10" t="n">
        <v>451</v>
      </c>
      <c r="E241" s="10" t="n">
        <v>53</v>
      </c>
    </row>
    <row r="242">
      <c r="A242" s="10" t="inlineStr">
        <is>
          <t>C3884</t>
        </is>
      </c>
      <c r="B242" s="10" t="n">
        <v>3658020</v>
      </c>
      <c r="C242" s="10" t="n">
        <v>13</v>
      </c>
      <c r="D242" s="10" t="n">
        <v>250</v>
      </c>
      <c r="E242" s="10" t="n">
        <v>21</v>
      </c>
    </row>
    <row r="243">
      <c r="A243" s="10" t="inlineStr">
        <is>
          <t>C4039</t>
        </is>
      </c>
      <c r="B243" s="10" t="n">
        <v>1694222</v>
      </c>
      <c r="C243" s="10" t="n">
        <v>16</v>
      </c>
      <c r="D243" s="10" t="n">
        <v>359</v>
      </c>
      <c r="E243" s="10" t="n">
        <v>29</v>
      </c>
    </row>
    <row r="244">
      <c r="A244" s="10" t="inlineStr">
        <is>
          <t>C3126</t>
        </is>
      </c>
      <c r="B244" s="10" t="n">
        <v>2204534</v>
      </c>
      <c r="C244" s="10" t="n">
        <v>6</v>
      </c>
      <c r="D244" s="10" t="n">
        <v>236</v>
      </c>
      <c r="E244" s="10" t="inlineStr">
        <is>
          <t>19 days</t>
        </is>
      </c>
    </row>
    <row r="245">
      <c r="A245" s="10" t="inlineStr">
        <is>
          <t>C3498</t>
        </is>
      </c>
      <c r="B245" s="10" t="n">
        <v>1288129</v>
      </c>
      <c r="C245" s="10" t="n">
        <v>1</v>
      </c>
      <c r="D245" s="10" t="n">
        <v>63</v>
      </c>
      <c r="E245" s="10" t="n">
        <v>1</v>
      </c>
    </row>
    <row r="246">
      <c r="A246" s="10" t="inlineStr">
        <is>
          <t>C3523</t>
        </is>
      </c>
      <c r="B246" s="10" t="n">
        <v>1206233</v>
      </c>
      <c r="C246" s="10" t="n">
        <v>3</v>
      </c>
      <c r="D246" s="10" t="n">
        <v>529</v>
      </c>
      <c r="E246" s="10" t="n">
        <v>86</v>
      </c>
    </row>
    <row r="247">
      <c r="A247" s="10" t="inlineStr">
        <is>
          <t>C4079</t>
        </is>
      </c>
      <c r="B247" s="10" t="inlineStr">
        <is>
          <t>Rp 1.670.659</t>
        </is>
      </c>
      <c r="C247" s="10" t="n">
        <v>14</v>
      </c>
      <c r="D247" s="10" t="n">
        <v>538</v>
      </c>
      <c r="E247" s="10" t="n">
        <v>19</v>
      </c>
    </row>
    <row r="248">
      <c r="A248" s="10" t="inlineStr">
        <is>
          <t>C3955</t>
        </is>
      </c>
      <c r="B248" s="10" t="inlineStr">
        <is>
          <t>Rp 2.077.921</t>
        </is>
      </c>
      <c r="C248" s="10" t="n">
        <v>3</v>
      </c>
      <c r="D248" s="10" t="n">
        <v>48</v>
      </c>
      <c r="E248" s="10" t="n">
        <v>19</v>
      </c>
    </row>
    <row r="249">
      <c r="A249" s="10" t="inlineStr">
        <is>
          <t>C3492</t>
        </is>
      </c>
      <c r="B249" s="10" t="n">
        <v>6208556</v>
      </c>
      <c r="C249" s="10" t="n">
        <v>22</v>
      </c>
      <c r="D249" s="10" t="n">
        <v>631</v>
      </c>
      <c r="E249" s="10" t="n">
        <v>5</v>
      </c>
    </row>
    <row r="250">
      <c r="A250" s="10" t="inlineStr">
        <is>
          <t>C3695</t>
        </is>
      </c>
      <c r="B250" s="10" t="n">
        <v>1146457</v>
      </c>
      <c r="C250" s="10" t="n">
        <v>2</v>
      </c>
      <c r="D250" s="10" t="n">
        <v>454</v>
      </c>
      <c r="E250" s="10" t="n">
        <v>116</v>
      </c>
    </row>
    <row r="251">
      <c r="A251" s="10" t="inlineStr">
        <is>
          <t>C4056</t>
        </is>
      </c>
      <c r="B251" s="10" t="n">
        <v>2768582</v>
      </c>
      <c r="C251" s="10" t="n">
        <v>21</v>
      </c>
      <c r="D251" s="10" t="n">
        <v>566</v>
      </c>
      <c r="E251" s="10" t="n">
        <v>24</v>
      </c>
    </row>
    <row r="252">
      <c r="A252" s="10" t="inlineStr">
        <is>
          <t>C3339</t>
        </is>
      </c>
      <c r="B252" s="10" t="n">
        <v>5023258</v>
      </c>
      <c r="C252" s="10" t="n">
        <v>15</v>
      </c>
      <c r="D252" s="10" t="n">
        <v>415</v>
      </c>
      <c r="E252" s="10" t="inlineStr">
        <is>
          <t>10 days</t>
        </is>
      </c>
    </row>
    <row r="253">
      <c r="A253" s="10" t="inlineStr">
        <is>
          <t>C3431</t>
        </is>
      </c>
      <c r="B253" s="10" t="n">
        <v>3253560</v>
      </c>
      <c r="C253" s="10" t="n">
        <v>15</v>
      </c>
      <c r="D253" s="10" t="n">
        <v>245</v>
      </c>
      <c r="E253" s="10" t="n">
        <v>34</v>
      </c>
    </row>
    <row r="254">
      <c r="A254" s="10" t="inlineStr">
        <is>
          <t>C3732</t>
        </is>
      </c>
      <c r="B254" s="10" t="n">
        <v>306868</v>
      </c>
      <c r="C254" s="10" t="n">
        <v>3</v>
      </c>
      <c r="D254" s="10" t="n">
        <v>373</v>
      </c>
      <c r="E254" s="10" t="n">
        <v>49</v>
      </c>
    </row>
    <row r="255">
      <c r="A255" s="10" t="inlineStr">
        <is>
          <t>C3820</t>
        </is>
      </c>
      <c r="B255" s="10" t="n">
        <v>1384929</v>
      </c>
      <c r="C255" s="10" t="n">
        <v>4</v>
      </c>
      <c r="D255" s="10" t="n">
        <v>12</v>
      </c>
      <c r="E255" s="10" t="n">
        <v>13</v>
      </c>
    </row>
    <row r="256">
      <c r="A256" s="10" t="inlineStr">
        <is>
          <t>C3211</t>
        </is>
      </c>
      <c r="B256" s="10" t="inlineStr">
        <is>
          <t>Rp 677.180</t>
        </is>
      </c>
      <c r="C256" s="10" t="n">
        <v>9</v>
      </c>
      <c r="D256" s="10" t="n">
        <v>254</v>
      </c>
      <c r="E256" s="10" t="n">
        <v>58</v>
      </c>
    </row>
    <row r="257">
      <c r="A257" s="10" t="inlineStr">
        <is>
          <t>C3925</t>
        </is>
      </c>
      <c r="B257" s="10" t="n">
        <v>1988634</v>
      </c>
      <c r="C257" s="10" t="n">
        <v>4</v>
      </c>
      <c r="D257" s="10" t="n">
        <v>103</v>
      </c>
      <c r="E257" s="10" t="n">
        <v>25</v>
      </c>
    </row>
    <row r="258">
      <c r="A258" s="10" t="inlineStr">
        <is>
          <t>C3172</t>
        </is>
      </c>
      <c r="B258" s="10" t="n">
        <v>4765613</v>
      </c>
      <c r="C258" s="10" t="n">
        <v>18</v>
      </c>
      <c r="D258" s="10" t="n">
        <v>439</v>
      </c>
      <c r="E258" s="10" t="inlineStr">
        <is>
          <t>11 days</t>
        </is>
      </c>
    </row>
    <row r="259">
      <c r="A259" s="10" t="inlineStr">
        <is>
          <t>C3693</t>
        </is>
      </c>
      <c r="B259" s="10" t="n">
        <v>3812399</v>
      </c>
      <c r="C259" s="10" t="n">
        <v>13</v>
      </c>
      <c r="D259" s="10" t="n">
        <v>661</v>
      </c>
      <c r="E259" s="10" t="n">
        <v>36</v>
      </c>
    </row>
    <row r="260">
      <c r="A260" s="10" t="inlineStr">
        <is>
          <t>C3490</t>
        </is>
      </c>
      <c r="B260" s="10" t="inlineStr">
        <is>
          <t>Rp 5.588.090</t>
        </is>
      </c>
      <c r="C260" s="10" t="n">
        <v>7</v>
      </c>
      <c r="D260" s="10" t="n">
        <v>492</v>
      </c>
      <c r="E260" s="10" t="n">
        <v>33</v>
      </c>
    </row>
    <row r="261">
      <c r="A261" s="10" t="inlineStr">
        <is>
          <t>C3859</t>
        </is>
      </c>
      <c r="B261" s="10" t="n">
        <v>403341</v>
      </c>
      <c r="C261" s="10" t="n">
        <v>5</v>
      </c>
      <c r="D261" s="10" t="n">
        <v>5</v>
      </c>
      <c r="E261" s="10" t="n">
        <v>67</v>
      </c>
    </row>
    <row r="262">
      <c r="A262" s="10" t="inlineStr">
        <is>
          <t>C4020</t>
        </is>
      </c>
      <c r="B262" s="10" t="n">
        <v>631076</v>
      </c>
      <c r="C262" s="10" t="n">
        <v>4</v>
      </c>
      <c r="D262" s="10" t="n">
        <v>78</v>
      </c>
      <c r="E262" s="10" t="n">
        <v>52</v>
      </c>
    </row>
    <row r="263">
      <c r="A263" s="10" t="inlineStr">
        <is>
          <t>C3588</t>
        </is>
      </c>
      <c r="B263" s="10" t="inlineStr">
        <is>
          <t>Rp 5.306.603</t>
        </is>
      </c>
      <c r="C263" s="10" t="n">
        <v>6</v>
      </c>
      <c r="D263" s="10" t="n">
        <v>592</v>
      </c>
      <c r="E263" s="10" t="inlineStr">
        <is>
          <t>12 days</t>
        </is>
      </c>
    </row>
    <row r="264">
      <c r="A264" s="10" t="inlineStr">
        <is>
          <t>C3058</t>
        </is>
      </c>
      <c r="B264" s="10" t="inlineStr">
        <is>
          <t>Rp 6.739.195</t>
        </is>
      </c>
      <c r="C264" s="10" t="n">
        <v>19</v>
      </c>
      <c r="D264" s="10" t="n">
        <v>597</v>
      </c>
      <c r="E264" s="10" t="n">
        <v>14</v>
      </c>
    </row>
    <row r="265">
      <c r="A265" s="10" t="inlineStr">
        <is>
          <t>C3907</t>
        </is>
      </c>
      <c r="B265" s="10" t="n">
        <v>1037054</v>
      </c>
      <c r="C265" s="10" t="n">
        <v>3</v>
      </c>
      <c r="D265" s="10" t="n">
        <v>496</v>
      </c>
      <c r="E265" s="10" t="n">
        <v>122</v>
      </c>
    </row>
    <row r="266">
      <c r="A266" s="10" t="inlineStr">
        <is>
          <t>C3513</t>
        </is>
      </c>
      <c r="B266" s="10" t="n">
        <v>820603</v>
      </c>
      <c r="C266" s="10" t="n">
        <v>4</v>
      </c>
      <c r="D266" s="10" t="n">
        <v>303</v>
      </c>
      <c r="E266" s="10" t="n">
        <v>71</v>
      </c>
    </row>
    <row r="267">
      <c r="A267" s="10" t="inlineStr">
        <is>
          <t>C3518</t>
        </is>
      </c>
      <c r="B267" s="10" t="n">
        <v>841881</v>
      </c>
      <c r="C267" s="10" t="n">
        <v>2</v>
      </c>
      <c r="D267" s="10" t="n">
        <v>325</v>
      </c>
      <c r="E267" s="10" t="n">
        <v>105</v>
      </c>
    </row>
    <row r="268">
      <c r="A268" s="10" t="inlineStr">
        <is>
          <t>C4063</t>
        </is>
      </c>
      <c r="B268" s="10" t="n">
        <v>3677659</v>
      </c>
      <c r="C268" s="10" t="n">
        <v>14</v>
      </c>
      <c r="D268" s="10" t="n">
        <v>380</v>
      </c>
      <c r="E268" s="10" t="n">
        <v>13</v>
      </c>
    </row>
    <row r="269">
      <c r="A269" s="10" t="inlineStr">
        <is>
          <t>C3495</t>
        </is>
      </c>
      <c r="B269" s="10" t="inlineStr">
        <is>
          <t>Rp 474.857</t>
        </is>
      </c>
      <c r="C269" s="10" t="n">
        <v>4</v>
      </c>
      <c r="D269" s="10" t="n">
        <v>43</v>
      </c>
      <c r="E269" s="10" t="n">
        <v>11</v>
      </c>
    </row>
    <row r="270">
      <c r="A270" s="10" t="inlineStr">
        <is>
          <t>C4017</t>
        </is>
      </c>
      <c r="B270" s="10" t="n">
        <v>3536514</v>
      </c>
      <c r="C270" s="10" t="n">
        <v>14</v>
      </c>
      <c r="D270" s="10" t="n">
        <v>295</v>
      </c>
      <c r="E270" s="10" t="n">
        <v>48</v>
      </c>
    </row>
    <row r="271">
      <c r="A271" s="10" t="inlineStr">
        <is>
          <t>C4066</t>
        </is>
      </c>
      <c r="B271" s="10" t="n">
        <v>4285436</v>
      </c>
      <c r="C271" s="10" t="n">
        <v>17</v>
      </c>
      <c r="D271" s="10" t="n">
        <v>495</v>
      </c>
      <c r="E271" s="10" t="n">
        <v>32</v>
      </c>
    </row>
    <row r="272">
      <c r="A272" s="10" t="inlineStr">
        <is>
          <t>C3445</t>
        </is>
      </c>
      <c r="B272" s="10" t="n">
        <v>3682746</v>
      </c>
      <c r="C272" s="10" t="n">
        <v>19</v>
      </c>
      <c r="D272" s="10" t="n">
        <v>456</v>
      </c>
      <c r="E272" s="10" t="n">
        <v>20</v>
      </c>
    </row>
    <row r="273">
      <c r="A273" s="10" t="inlineStr">
        <is>
          <t>C3647</t>
        </is>
      </c>
      <c r="B273" s="10" t="n">
        <v>8348066</v>
      </c>
      <c r="C273" s="10" t="n">
        <v>18</v>
      </c>
      <c r="D273" s="10" t="n">
        <v>547</v>
      </c>
      <c r="E273" s="10" t="n">
        <v>5</v>
      </c>
    </row>
    <row r="274">
      <c r="A274" s="10" t="inlineStr">
        <is>
          <t>C3136</t>
        </is>
      </c>
      <c r="B274" s="10" t="n">
        <v>1223133</v>
      </c>
      <c r="C274" s="10" t="n">
        <v>3</v>
      </c>
      <c r="D274" s="10" t="n">
        <v>382</v>
      </c>
      <c r="E274" s="10" t="n">
        <v>44</v>
      </c>
    </row>
    <row r="275">
      <c r="A275" s="10" t="inlineStr">
        <is>
          <t>C3035</t>
        </is>
      </c>
      <c r="B275" s="10" t="inlineStr">
        <is>
          <t>Rp 4.331.577</t>
        </is>
      </c>
      <c r="C275" s="10" t="n">
        <v>15</v>
      </c>
      <c r="D275" s="10" t="n">
        <v>582</v>
      </c>
      <c r="E275" s="10" t="n">
        <v>56</v>
      </c>
    </row>
    <row r="276">
      <c r="A276" s="10" t="inlineStr">
        <is>
          <t>C3642</t>
        </is>
      </c>
      <c r="B276" s="10" t="n">
        <v>931266</v>
      </c>
      <c r="C276" s="10" t="n">
        <v>6</v>
      </c>
      <c r="D276" s="10" t="n">
        <v>380</v>
      </c>
      <c r="E276" s="10" t="n">
        <v>97</v>
      </c>
    </row>
    <row r="277">
      <c r="A277" s="10" t="inlineStr">
        <is>
          <t>C3217</t>
        </is>
      </c>
      <c r="B277" s="10" t="n">
        <v>163418</v>
      </c>
      <c r="C277" s="10" t="n">
        <v>3</v>
      </c>
      <c r="D277" s="10" t="n">
        <v>521</v>
      </c>
      <c r="E277" s="10" t="inlineStr">
        <is>
          <t>4 days</t>
        </is>
      </c>
    </row>
    <row r="278">
      <c r="A278" s="10" t="inlineStr">
        <is>
          <t>C3976</t>
        </is>
      </c>
      <c r="B278" s="10" t="n">
        <v>1976426</v>
      </c>
      <c r="C278" s="10" t="n">
        <v>9</v>
      </c>
      <c r="D278" s="10" t="n">
        <v>321</v>
      </c>
      <c r="E278" s="10" t="n">
        <v>26</v>
      </c>
    </row>
    <row r="279">
      <c r="A279" s="10" t="inlineStr">
        <is>
          <t>C3938</t>
        </is>
      </c>
      <c r="B279" s="10" t="inlineStr">
        <is>
          <t>Rp 942.611</t>
        </is>
      </c>
      <c r="C279" s="10" t="n">
        <v>3</v>
      </c>
      <c r="D279" s="10" t="n">
        <v>186</v>
      </c>
      <c r="E279" s="10" t="n">
        <v>105</v>
      </c>
    </row>
    <row r="280">
      <c r="A280" s="10" t="inlineStr">
        <is>
          <t>C3036</t>
        </is>
      </c>
      <c r="B280" s="10" t="n">
        <v>2923859</v>
      </c>
      <c r="C280" s="10" t="n">
        <v>14</v>
      </c>
      <c r="D280" s="10" t="n">
        <v>138</v>
      </c>
      <c r="E280" s="10" t="n">
        <v>13</v>
      </c>
    </row>
    <row r="281">
      <c r="A281" s="10" t="inlineStr">
        <is>
          <t>C3446</t>
        </is>
      </c>
      <c r="B281" s="10" t="n">
        <v>1156026</v>
      </c>
      <c r="C281" s="10" t="n">
        <v>1</v>
      </c>
      <c r="D281" s="10" t="n">
        <v>401</v>
      </c>
      <c r="E281" s="10" t="n">
        <v>44</v>
      </c>
    </row>
    <row r="282">
      <c r="A282" s="10" t="inlineStr">
        <is>
          <t>C3465</t>
        </is>
      </c>
      <c r="B282" s="10" t="n">
        <v>711836</v>
      </c>
      <c r="C282" s="10" t="n">
        <v>3</v>
      </c>
      <c r="D282" s="10" t="n">
        <v>112</v>
      </c>
      <c r="E282" s="10" t="n">
        <v>21</v>
      </c>
    </row>
    <row r="283">
      <c r="A283" s="10" t="inlineStr">
        <is>
          <t>C3305</t>
        </is>
      </c>
      <c r="B283" s="10" t="n">
        <v>2661178</v>
      </c>
      <c r="C283" s="10" t="n">
        <v>1</v>
      </c>
      <c r="D283" s="10" t="n">
        <v>77</v>
      </c>
      <c r="E283" s="10" t="inlineStr">
        <is>
          <t>38 days</t>
        </is>
      </c>
    </row>
    <row r="284">
      <c r="A284" s="10" t="inlineStr">
        <is>
          <t>C3861</t>
        </is>
      </c>
      <c r="B284" s="10" t="n">
        <v>6807982</v>
      </c>
      <c r="C284" s="10" t="n">
        <v>29</v>
      </c>
      <c r="D284" s="10" t="n">
        <v>461</v>
      </c>
      <c r="E284" s="10" t="n">
        <v>20</v>
      </c>
    </row>
    <row r="285">
      <c r="A285" s="10" t="inlineStr">
        <is>
          <t>C3748</t>
        </is>
      </c>
      <c r="B285" s="10" t="n">
        <v>3295287</v>
      </c>
      <c r="C285" s="10" t="n">
        <v>16</v>
      </c>
      <c r="D285" s="10" t="n">
        <v>235</v>
      </c>
      <c r="E285" s="10" t="n">
        <v>29</v>
      </c>
    </row>
    <row r="286">
      <c r="A286" s="10" t="inlineStr">
        <is>
          <t>C3352</t>
        </is>
      </c>
      <c r="B286" s="10" t="n">
        <v>1119944</v>
      </c>
      <c r="C286" s="10" t="n">
        <v>1</v>
      </c>
      <c r="D286" s="10" t="n">
        <v>273</v>
      </c>
      <c r="E286" s="10" t="n">
        <v>94</v>
      </c>
    </row>
    <row r="287">
      <c r="A287" s="10" t="inlineStr">
        <is>
          <t>C3621</t>
        </is>
      </c>
      <c r="B287" s="10" t="inlineStr">
        <is>
          <t>Rp 882.380</t>
        </is>
      </c>
      <c r="C287" s="10" t="n">
        <v>6</v>
      </c>
      <c r="D287" s="10" t="n">
        <v>36</v>
      </c>
      <c r="E287" s="10" t="n">
        <v>77</v>
      </c>
    </row>
    <row r="288">
      <c r="A288" s="10" t="inlineStr">
        <is>
          <t>C3988</t>
        </is>
      </c>
      <c r="B288" s="10" t="n">
        <v>3662248</v>
      </c>
      <c r="C288" s="10" t="n">
        <v>10</v>
      </c>
      <c r="D288" s="10" t="n">
        <v>122</v>
      </c>
      <c r="E288" s="10" t="inlineStr">
        <is>
          <t>19 days</t>
        </is>
      </c>
    </row>
    <row r="289">
      <c r="A289" s="10" t="inlineStr">
        <is>
          <t>C3670</t>
        </is>
      </c>
      <c r="B289" s="10" t="n">
        <v>8677669</v>
      </c>
      <c r="C289" s="10" t="n">
        <v>44</v>
      </c>
      <c r="D289" s="10" t="n">
        <v>631</v>
      </c>
      <c r="E289" s="10" t="n">
        <v>10</v>
      </c>
    </row>
    <row r="290">
      <c r="A290" s="10" t="inlineStr">
        <is>
          <t>C3449</t>
        </is>
      </c>
      <c r="B290" s="10" t="n">
        <v>7949</v>
      </c>
      <c r="C290" s="10" t="n">
        <v>1</v>
      </c>
      <c r="D290" s="10" t="n">
        <v>46</v>
      </c>
      <c r="E290" s="10" t="n">
        <v>32</v>
      </c>
    </row>
    <row r="291">
      <c r="A291" s="10" t="inlineStr">
        <is>
          <t>C3598</t>
        </is>
      </c>
      <c r="B291" s="10" t="inlineStr">
        <is>
          <t>Rp 4.336.547</t>
        </is>
      </c>
      <c r="C291" s="10" t="n">
        <v>16</v>
      </c>
      <c r="D291" s="10" t="n">
        <v>430</v>
      </c>
      <c r="E291" s="10" t="n">
        <v>1</v>
      </c>
    </row>
    <row r="292">
      <c r="A292" s="10" t="inlineStr">
        <is>
          <t>C3666</t>
        </is>
      </c>
      <c r="B292" s="10" t="inlineStr">
        <is>
          <t>Rp 3.356.227</t>
        </is>
      </c>
      <c r="C292" s="10" t="n">
        <v>11</v>
      </c>
      <c r="D292" s="10" t="n">
        <v>451</v>
      </c>
      <c r="E292" s="10" t="n">
        <v>41</v>
      </c>
    </row>
    <row r="293">
      <c r="A293" s="10" t="inlineStr">
        <is>
          <t>C3827</t>
        </is>
      </c>
      <c r="B293" s="10" t="inlineStr">
        <is>
          <t>Rp 770.237</t>
        </is>
      </c>
      <c r="C293" s="10" t="n">
        <v>4</v>
      </c>
      <c r="D293" s="10" t="n">
        <v>384</v>
      </c>
      <c r="E293" s="10" t="n">
        <v>128</v>
      </c>
    </row>
    <row r="294">
      <c r="A294" s="10" t="inlineStr">
        <is>
          <t>C4074</t>
        </is>
      </c>
      <c r="B294" s="10" t="n">
        <v>1816290</v>
      </c>
      <c r="C294" s="10" t="n">
        <v>7</v>
      </c>
      <c r="D294" s="10" t="n">
        <v>67</v>
      </c>
      <c r="E294" s="10" t="inlineStr">
        <is>
          <t>1 days</t>
        </is>
      </c>
    </row>
    <row r="295">
      <c r="A295" s="10" t="inlineStr">
        <is>
          <t>C3781</t>
        </is>
      </c>
      <c r="B295" s="10" t="inlineStr">
        <is>
          <t>Rp 871.232</t>
        </is>
      </c>
      <c r="C295" s="10" t="n">
        <v>5</v>
      </c>
      <c r="D295" s="10" t="n">
        <v>518</v>
      </c>
      <c r="E295" s="10" t="n">
        <v>52</v>
      </c>
    </row>
    <row r="296">
      <c r="A296" s="10" t="inlineStr">
        <is>
          <t>C3634</t>
        </is>
      </c>
      <c r="B296" s="10" t="inlineStr">
        <is>
          <t>Rp 758.835</t>
        </is>
      </c>
      <c r="C296" s="10" t="n">
        <v>2</v>
      </c>
      <c r="D296" s="10" t="n">
        <v>125</v>
      </c>
      <c r="E296" s="10" t="n">
        <v>28</v>
      </c>
    </row>
    <row r="297">
      <c r="A297" s="10" t="inlineStr">
        <is>
          <t>C3692</t>
        </is>
      </c>
      <c r="B297" s="10" t="inlineStr">
        <is>
          <t>Rp 8.520.130</t>
        </is>
      </c>
      <c r="C297" s="10" t="n">
        <v>33</v>
      </c>
      <c r="D297" s="10" t="n">
        <v>590</v>
      </c>
      <c r="E297" s="10" t="n">
        <v>29</v>
      </c>
    </row>
    <row r="298">
      <c r="A298" s="10" t="inlineStr">
        <is>
          <t>C3804</t>
        </is>
      </c>
      <c r="B298" s="10" t="n">
        <v>1623825</v>
      </c>
      <c r="C298" s="10" t="n">
        <v>23</v>
      </c>
      <c r="D298" s="10" t="n">
        <v>570</v>
      </c>
      <c r="E298" s="10" t="n">
        <v>30</v>
      </c>
    </row>
    <row r="299">
      <c r="A299" s="10" t="inlineStr">
        <is>
          <t>C3886</t>
        </is>
      </c>
      <c r="B299" s="10" t="n">
        <v>794761</v>
      </c>
      <c r="C299" s="10" t="n">
        <v>3</v>
      </c>
      <c r="D299" s="10" t="n">
        <v>230</v>
      </c>
      <c r="E299" s="10" t="n">
        <v>111</v>
      </c>
    </row>
    <row r="300">
      <c r="A300" s="10" t="inlineStr">
        <is>
          <t>C3655</t>
        </is>
      </c>
      <c r="B300" s="10" t="n">
        <v>1547732</v>
      </c>
      <c r="C300" s="10" t="n">
        <v>4</v>
      </c>
      <c r="D300" s="10" t="n">
        <v>238</v>
      </c>
      <c r="E300" s="10" t="inlineStr">
        <is>
          <t>46 days</t>
        </is>
      </c>
    </row>
    <row r="301">
      <c r="A301" s="10" t="inlineStr">
        <is>
          <t>C3300</t>
        </is>
      </c>
      <c r="B301" s="10" t="n">
        <v>876344</v>
      </c>
      <c r="C301" s="10" t="n">
        <v>5</v>
      </c>
      <c r="D301" s="10" t="n">
        <v>43</v>
      </c>
      <c r="E301" s="10" t="n">
        <v>36</v>
      </c>
    </row>
    <row r="302">
      <c r="A302" s="10" t="inlineStr">
        <is>
          <t>C3932</t>
        </is>
      </c>
      <c r="B302" s="10" t="n">
        <v>7994631</v>
      </c>
      <c r="C302" s="10" t="n">
        <v>28</v>
      </c>
      <c r="D302" s="10" t="n">
        <v>454</v>
      </c>
      <c r="E302" s="10" t="n">
        <v>8</v>
      </c>
    </row>
    <row r="303">
      <c r="A303" s="10" t="inlineStr">
        <is>
          <t>C3479</t>
        </is>
      </c>
      <c r="B303" s="10" t="n">
        <v>3636390</v>
      </c>
      <c r="C303" s="10" t="n">
        <v>18</v>
      </c>
      <c r="D303" s="10" t="n">
        <v>407</v>
      </c>
      <c r="E303" s="10" t="n">
        <v>23</v>
      </c>
    </row>
    <row r="304">
      <c r="A304" s="10" t="inlineStr">
        <is>
          <t>C3147</t>
        </is>
      </c>
      <c r="B304" s="10" t="n">
        <v>1516880</v>
      </c>
      <c r="C304" s="10" t="n">
        <v>1</v>
      </c>
      <c r="D304" s="10" t="n">
        <v>65</v>
      </c>
      <c r="E304" s="10" t="n">
        <v>24</v>
      </c>
    </row>
    <row r="305">
      <c r="A305" s="10" t="inlineStr">
        <is>
          <t>C3734</t>
        </is>
      </c>
      <c r="B305" s="10" t="inlineStr">
        <is>
          <t>Rp 3.734.863</t>
        </is>
      </c>
      <c r="C305" s="10" t="n">
        <v>16</v>
      </c>
      <c r="D305" s="10" t="n">
        <v>378</v>
      </c>
      <c r="E305" s="10" t="n">
        <v>35</v>
      </c>
    </row>
    <row r="306">
      <c r="A306" s="10" t="inlineStr">
        <is>
          <t>C3212</t>
        </is>
      </c>
      <c r="B306" s="10" t="inlineStr">
        <is>
          <t>Rp 1.232.539</t>
        </is>
      </c>
      <c r="C306" s="10" t="n">
        <v>7</v>
      </c>
      <c r="D306" s="10" t="n">
        <v>225</v>
      </c>
      <c r="E306" s="10" t="n">
        <v>56</v>
      </c>
    </row>
    <row r="307">
      <c r="A307" s="10" t="inlineStr">
        <is>
          <t>C3816</t>
        </is>
      </c>
      <c r="B307" s="10" t="n">
        <v>1525539</v>
      </c>
      <c r="C307" s="10" t="n">
        <v>2</v>
      </c>
      <c r="D307" s="10" t="n">
        <v>378</v>
      </c>
      <c r="E307" s="10" t="n">
        <v>98</v>
      </c>
    </row>
    <row r="308">
      <c r="A308" s="10" t="inlineStr">
        <is>
          <t>C3188</t>
        </is>
      </c>
      <c r="B308" s="10" t="n">
        <v>740187</v>
      </c>
      <c r="C308" s="10" t="n">
        <v>2</v>
      </c>
      <c r="D308" s="10" t="n">
        <v>477</v>
      </c>
      <c r="E308" s="10" t="inlineStr">
        <is>
          <t>23 days</t>
        </is>
      </c>
    </row>
    <row r="309">
      <c r="A309" s="10" t="inlineStr">
        <is>
          <t>C3899</t>
        </is>
      </c>
      <c r="B309" s="10" t="n">
        <v>1088853</v>
      </c>
      <c r="C309" s="10" t="n">
        <v>4</v>
      </c>
      <c r="D309" s="10" t="n">
        <v>5</v>
      </c>
      <c r="E309" s="10" t="inlineStr">
        <is>
          <t>13 days</t>
        </is>
      </c>
    </row>
    <row r="310">
      <c r="A310" s="10" t="inlineStr">
        <is>
          <t>C3570</t>
        </is>
      </c>
      <c r="B310" s="10" t="n">
        <v>10392523</v>
      </c>
      <c r="C310" s="10" t="n"/>
      <c r="D310" s="10" t="n">
        <v>522</v>
      </c>
      <c r="E310" s="10" t="inlineStr">
        <is>
          <t>8 days</t>
        </is>
      </c>
    </row>
    <row r="311">
      <c r="A311" s="10" t="inlineStr">
        <is>
          <t>C3741</t>
        </is>
      </c>
      <c r="B311" s="10" t="n">
        <v>1122321</v>
      </c>
      <c r="C311" s="10" t="n">
        <v>5</v>
      </c>
      <c r="D311" s="10" t="n">
        <v>432</v>
      </c>
      <c r="E311" s="10" t="n">
        <v>74</v>
      </c>
    </row>
    <row r="312">
      <c r="A312" s="10" t="inlineStr">
        <is>
          <t>C4001</t>
        </is>
      </c>
      <c r="B312" s="10" t="n">
        <v>1240714</v>
      </c>
      <c r="C312" s="10" t="n">
        <v>6</v>
      </c>
      <c r="D312" s="10" t="n">
        <v>32</v>
      </c>
      <c r="E312" s="10" t="n">
        <v>33</v>
      </c>
    </row>
    <row r="313">
      <c r="A313" s="10" t="inlineStr">
        <is>
          <t>C3611</t>
        </is>
      </c>
      <c r="B313" s="10" t="n">
        <v>9527971</v>
      </c>
      <c r="C313" s="10" t="n">
        <v>43</v>
      </c>
      <c r="D313" s="10" t="n">
        <v>459</v>
      </c>
      <c r="E313" s="10" t="n">
        <v>14</v>
      </c>
    </row>
    <row r="314">
      <c r="A314" s="10" t="inlineStr">
        <is>
          <t>C3165</t>
        </is>
      </c>
      <c r="B314" s="10" t="n">
        <v>599877</v>
      </c>
      <c r="C314" s="10" t="n">
        <v>6</v>
      </c>
      <c r="D314" s="10" t="n">
        <v>109</v>
      </c>
      <c r="E314" s="10" t="inlineStr">
        <is>
          <t>35 days</t>
        </is>
      </c>
    </row>
    <row r="315">
      <c r="A315" s="10" t="inlineStr">
        <is>
          <t>C3687</t>
        </is>
      </c>
      <c r="B315" s="10" t="n">
        <v>1283259</v>
      </c>
      <c r="C315" s="10" t="n">
        <v>1</v>
      </c>
      <c r="D315" s="10" t="n">
        <v>138</v>
      </c>
      <c r="E315" s="10" t="n">
        <v>36</v>
      </c>
    </row>
    <row r="316">
      <c r="A316" s="10" t="inlineStr">
        <is>
          <t>C3921</t>
        </is>
      </c>
      <c r="B316" s="10" t="n">
        <v>2247326</v>
      </c>
      <c r="C316" s="10" t="n">
        <v>3</v>
      </c>
      <c r="D316" s="10" t="n">
        <v>5</v>
      </c>
      <c r="E316" s="10" t="inlineStr">
        <is>
          <t>9 days</t>
        </is>
      </c>
    </row>
    <row r="317">
      <c r="A317" s="10" t="inlineStr">
        <is>
          <t>C3947</t>
        </is>
      </c>
      <c r="B317" s="10" t="n">
        <v>2202367</v>
      </c>
      <c r="C317" s="10" t="n">
        <v>11</v>
      </c>
      <c r="D317" s="10" t="n">
        <v>466</v>
      </c>
      <c r="E317" s="10" t="n">
        <v>14</v>
      </c>
    </row>
    <row r="318">
      <c r="A318" s="10" t="inlineStr">
        <is>
          <t>C3980</t>
        </is>
      </c>
      <c r="B318" s="10" t="n">
        <v>897139</v>
      </c>
      <c r="C318" s="10" t="n">
        <v>3</v>
      </c>
      <c r="D318" s="10" t="n">
        <v>155</v>
      </c>
      <c r="E318" s="10" t="n">
        <v>14</v>
      </c>
    </row>
    <row r="319">
      <c r="A319" s="10" t="inlineStr">
        <is>
          <t>C3775</t>
        </is>
      </c>
      <c r="B319" s="10" t="n">
        <v>1035344</v>
      </c>
      <c r="C319" s="10" t="n">
        <v>3</v>
      </c>
      <c r="D319" s="10" t="n">
        <v>247</v>
      </c>
      <c r="E319" s="10" t="n">
        <v>98</v>
      </c>
    </row>
    <row r="320">
      <c r="A320" s="10" t="inlineStr">
        <is>
          <t>C3900</t>
        </is>
      </c>
      <c r="B320" s="10" t="n">
        <v>0</v>
      </c>
      <c r="C320" s="10" t="n">
        <v>4</v>
      </c>
      <c r="D320" s="10" t="n">
        <v>124</v>
      </c>
      <c r="E320" s="10" t="n">
        <v>12</v>
      </c>
    </row>
    <row r="321">
      <c r="A321" s="10" t="inlineStr">
        <is>
          <t>C3566</t>
        </is>
      </c>
      <c r="B321" s="10" t="n">
        <v>10217979</v>
      </c>
      <c r="C321" s="10" t="n">
        <v>23</v>
      </c>
      <c r="D321" s="10" t="n">
        <v>811</v>
      </c>
      <c r="E321" s="10" t="n">
        <v>17</v>
      </c>
    </row>
    <row r="322">
      <c r="A322" s="10" t="inlineStr">
        <is>
          <t>C3845</t>
        </is>
      </c>
      <c r="B322" s="10" t="inlineStr">
        <is>
          <t>Rp 1.091.589</t>
        </is>
      </c>
      <c r="C322" s="10" t="n">
        <v>4</v>
      </c>
      <c r="D322" s="10" t="n">
        <v>331</v>
      </c>
      <c r="E322" s="10" t="n">
        <v>31</v>
      </c>
    </row>
    <row r="323">
      <c r="A323" s="10" t="inlineStr">
        <is>
          <t>C3199</t>
        </is>
      </c>
      <c r="B323" s="10" t="n">
        <v>357571</v>
      </c>
      <c r="C323" s="10" t="n">
        <v>2</v>
      </c>
      <c r="D323" s="10" t="n">
        <v>293</v>
      </c>
      <c r="E323" s="10" t="n">
        <v>64</v>
      </c>
    </row>
    <row r="324">
      <c r="A324" s="10" t="inlineStr">
        <is>
          <t>C3056</t>
        </is>
      </c>
      <c r="B324" s="10" t="inlineStr">
        <is>
          <t>Rp 831.064</t>
        </is>
      </c>
      <c r="C324" s="10" t="n">
        <v>5</v>
      </c>
      <c r="D324" s="10" t="n">
        <v>332</v>
      </c>
      <c r="E324" s="10" t="n">
        <v>46</v>
      </c>
    </row>
    <row r="325">
      <c r="A325" s="10" t="inlineStr">
        <is>
          <t>C3112</t>
        </is>
      </c>
      <c r="B325" s="10" t="n">
        <v>5066714</v>
      </c>
      <c r="C325" s="10" t="n">
        <v>14</v>
      </c>
      <c r="D325" s="10" t="n">
        <v>443</v>
      </c>
      <c r="E325" s="10" t="n">
        <v>19</v>
      </c>
    </row>
    <row r="326">
      <c r="A326" s="10" t="inlineStr">
        <is>
          <t>C3641</t>
        </is>
      </c>
      <c r="B326" s="10" t="n">
        <v>1077684</v>
      </c>
      <c r="C326" s="10" t="n">
        <v>2</v>
      </c>
      <c r="D326" s="10" t="n">
        <v>434</v>
      </c>
      <c r="E326" s="10" t="n">
        <v>74</v>
      </c>
    </row>
    <row r="327">
      <c r="A327" s="10" t="inlineStr">
        <is>
          <t>C3062</t>
        </is>
      </c>
      <c r="B327" s="10" t="n">
        <v>1116836</v>
      </c>
      <c r="C327" s="10" t="n">
        <v>4</v>
      </c>
      <c r="D327" s="10" t="n">
        <v>96</v>
      </c>
      <c r="E327" s="10" t="n">
        <v>26</v>
      </c>
    </row>
    <row r="328">
      <c r="A328" s="10" t="inlineStr">
        <is>
          <t>C3742</t>
        </is>
      </c>
      <c r="B328" s="10" t="n">
        <v>924706</v>
      </c>
      <c r="C328" s="10" t="n">
        <v>3</v>
      </c>
      <c r="D328" s="10" t="n">
        <v>177</v>
      </c>
      <c r="E328" s="10" t="n">
        <v>75</v>
      </c>
    </row>
    <row r="329">
      <c r="A329" s="10" t="inlineStr">
        <is>
          <t>C3620</t>
        </is>
      </c>
      <c r="B329" s="10" t="n">
        <v>731876</v>
      </c>
      <c r="C329" s="10" t="n">
        <v>4</v>
      </c>
      <c r="D329" s="10" t="n">
        <v>79</v>
      </c>
      <c r="E329" s="10" t="n">
        <v>38</v>
      </c>
    </row>
    <row r="330">
      <c r="A330" s="10" t="inlineStr">
        <is>
          <t>C3526</t>
        </is>
      </c>
      <c r="B330" s="10" t="inlineStr">
        <is>
          <t>Rp 4.324.799</t>
        </is>
      </c>
      <c r="C330" s="10" t="n">
        <v>17</v>
      </c>
      <c r="D330" s="10" t="n">
        <v>375</v>
      </c>
      <c r="E330" s="10" t="n">
        <v>4</v>
      </c>
    </row>
    <row r="331">
      <c r="A331" s="10" t="inlineStr">
        <is>
          <t>C3141</t>
        </is>
      </c>
      <c r="B331" s="10" t="inlineStr">
        <is>
          <t>Rp 7.823.464</t>
        </is>
      </c>
      <c r="C331" s="10" t="n">
        <v>40</v>
      </c>
      <c r="D331" s="10" t="n">
        <v>557</v>
      </c>
      <c r="E331" s="10" t="n">
        <v>7</v>
      </c>
    </row>
    <row r="332">
      <c r="A332" s="10" t="inlineStr">
        <is>
          <t>C3949</t>
        </is>
      </c>
      <c r="B332" s="10" t="n">
        <v>1113476</v>
      </c>
      <c r="C332" s="10" t="n">
        <v>3</v>
      </c>
      <c r="D332" s="10" t="n">
        <v>5</v>
      </c>
      <c r="E332" s="10" t="n">
        <v>52</v>
      </c>
    </row>
    <row r="333">
      <c r="A333" s="10" t="inlineStr">
        <is>
          <t>C3946</t>
        </is>
      </c>
      <c r="B333" s="10" t="n">
        <v>326902</v>
      </c>
      <c r="C333" s="10" t="n">
        <v>9</v>
      </c>
      <c r="D333" s="10" t="n">
        <v>295</v>
      </c>
      <c r="E333" s="10" t="n">
        <v>61</v>
      </c>
    </row>
    <row r="334">
      <c r="A334" s="10" t="inlineStr">
        <is>
          <t>C3341</t>
        </is>
      </c>
      <c r="B334" s="10" t="n">
        <v>531096</v>
      </c>
      <c r="C334" s="10" t="n">
        <v>13</v>
      </c>
      <c r="D334" s="10" t="n">
        <v>374</v>
      </c>
      <c r="E334" s="10" t="inlineStr">
        <is>
          <t>22 days</t>
        </is>
      </c>
    </row>
    <row r="335">
      <c r="A335" s="10" t="inlineStr">
        <is>
          <t>C3874</t>
        </is>
      </c>
      <c r="B335" s="10" t="n">
        <v>985310</v>
      </c>
      <c r="C335" s="10" t="n">
        <v>2</v>
      </c>
      <c r="D335" s="10" t="n">
        <v>5</v>
      </c>
      <c r="E335" s="10" t="inlineStr">
        <is>
          <t>16 days</t>
        </is>
      </c>
    </row>
    <row r="336">
      <c r="A336" s="10" t="inlineStr">
        <is>
          <t>C3202</t>
        </is>
      </c>
      <c r="B336" s="10" t="n">
        <v>1275398</v>
      </c>
      <c r="C336" s="10" t="n">
        <v>2</v>
      </c>
      <c r="D336" s="10" t="n">
        <v>191</v>
      </c>
      <c r="E336" s="10" t="n">
        <v>28</v>
      </c>
    </row>
    <row r="337">
      <c r="A337" s="10" t="inlineStr">
        <is>
          <t>C3798</t>
        </is>
      </c>
      <c r="B337" s="10" t="n">
        <v>2614489</v>
      </c>
      <c r="C337" s="10" t="n">
        <v>16</v>
      </c>
      <c r="D337" s="10" t="n">
        <v>89</v>
      </c>
      <c r="E337" s="10" t="n">
        <v>24</v>
      </c>
    </row>
    <row r="338">
      <c r="A338" s="10" t="inlineStr">
        <is>
          <t>C3629</t>
        </is>
      </c>
      <c r="B338" s="10" t="n">
        <v>1300248</v>
      </c>
      <c r="C338" s="10" t="n">
        <v>3</v>
      </c>
      <c r="D338" s="10" t="n">
        <v>67</v>
      </c>
      <c r="E338" s="10" t="inlineStr">
        <is>
          <t>31 days</t>
        </is>
      </c>
    </row>
    <row r="339">
      <c r="A339" s="10" t="inlineStr">
        <is>
          <t>C3743</t>
        </is>
      </c>
      <c r="B339" s="10" t="n">
        <v>2760716</v>
      </c>
      <c r="C339" s="10" t="n">
        <v>1</v>
      </c>
      <c r="D339" s="10" t="n">
        <v>20</v>
      </c>
      <c r="E339" s="10" t="n">
        <v>16</v>
      </c>
    </row>
    <row r="340">
      <c r="A340" s="10" t="inlineStr">
        <is>
          <t>C3719</t>
        </is>
      </c>
      <c r="B340" s="10" t="n">
        <v>728748</v>
      </c>
      <c r="C340" s="10" t="n">
        <v>2</v>
      </c>
      <c r="D340" s="10" t="n">
        <v>123</v>
      </c>
      <c r="E340" s="10" t="n">
        <v>51</v>
      </c>
    </row>
    <row r="341">
      <c r="A341" s="10" t="inlineStr">
        <is>
          <t>C3582</t>
        </is>
      </c>
      <c r="B341" s="10" t="n">
        <v>1869639</v>
      </c>
      <c r="C341" s="10" t="n">
        <v>1</v>
      </c>
      <c r="D341" s="10" t="n">
        <v>521</v>
      </c>
      <c r="E341" s="10" t="n">
        <v>118</v>
      </c>
    </row>
    <row r="342">
      <c r="A342" s="10" t="inlineStr">
        <is>
          <t>C3336</t>
        </is>
      </c>
      <c r="B342" s="10" t="inlineStr">
        <is>
          <t>Rp 7.389.593</t>
        </is>
      </c>
      <c r="C342" s="10" t="n">
        <v>38</v>
      </c>
      <c r="D342" s="10" t="n">
        <v>690</v>
      </c>
      <c r="E342" s="10" t="n">
        <v>23</v>
      </c>
    </row>
    <row r="343">
      <c r="A343" s="10" t="inlineStr">
        <is>
          <t>C3284</t>
        </is>
      </c>
      <c r="B343" s="10" t="inlineStr">
        <is>
          <t>Rp 1.146.398</t>
        </is>
      </c>
      <c r="C343" s="10" t="n">
        <v>5</v>
      </c>
      <c r="D343" s="10" t="n">
        <v>299</v>
      </c>
      <c r="E343" s="10" t="n">
        <v>68</v>
      </c>
    </row>
    <row r="344">
      <c r="A344" s="10" t="inlineStr">
        <is>
          <t>C3597</t>
        </is>
      </c>
      <c r="B344" s="10" t="n">
        <v>1273550</v>
      </c>
      <c r="C344" s="10" t="n"/>
      <c r="D344" s="10" t="n">
        <v>324</v>
      </c>
      <c r="E344" s="10" t="inlineStr">
        <is>
          <t>39 days</t>
        </is>
      </c>
    </row>
    <row r="345">
      <c r="A345" s="10" t="inlineStr">
        <is>
          <t>C3499</t>
        </is>
      </c>
      <c r="B345" s="10" t="n">
        <v>826906</v>
      </c>
      <c r="C345" s="10" t="n">
        <v>5</v>
      </c>
      <c r="D345" s="10" t="n">
        <v>383</v>
      </c>
      <c r="E345" s="10" t="n">
        <v>84</v>
      </c>
    </row>
    <row r="346">
      <c r="A346" s="10" t="inlineStr">
        <is>
          <t>C4048</t>
        </is>
      </c>
      <c r="B346" s="10" t="n">
        <v>1100537</v>
      </c>
      <c r="C346" s="10" t="n">
        <v>5</v>
      </c>
      <c r="D346" s="10" t="n">
        <v>135</v>
      </c>
      <c r="E346" s="10" t="inlineStr">
        <is>
          <t>61 days</t>
        </is>
      </c>
    </row>
    <row r="347">
      <c r="A347" s="10" t="inlineStr">
        <is>
          <t>C3545</t>
        </is>
      </c>
      <c r="B347" s="10" t="n">
        <v>1284335</v>
      </c>
      <c r="C347" s="10" t="n">
        <v>4</v>
      </c>
      <c r="D347" s="10" t="n">
        <v>182</v>
      </c>
      <c r="E347" s="10" t="n">
        <v>59</v>
      </c>
    </row>
    <row r="348">
      <c r="A348" s="10" t="inlineStr">
        <is>
          <t>C3726</t>
        </is>
      </c>
      <c r="B348" s="10" t="n">
        <v>1043665</v>
      </c>
      <c r="C348" s="10" t="n">
        <v>4</v>
      </c>
      <c r="D348" s="10" t="n">
        <v>274</v>
      </c>
      <c r="E348" s="10" t="n">
        <v>18</v>
      </c>
    </row>
    <row r="349">
      <c r="A349" s="10" t="inlineStr">
        <is>
          <t>C3676</t>
        </is>
      </c>
      <c r="B349" s="10" t="inlineStr">
        <is>
          <t>Rp 1.168.689</t>
        </is>
      </c>
      <c r="C349" s="10" t="n">
        <v>4</v>
      </c>
      <c r="D349" s="10" t="n">
        <v>5</v>
      </c>
      <c r="E349" s="10" t="n">
        <v>7</v>
      </c>
    </row>
    <row r="350">
      <c r="A350" s="10" t="inlineStr">
        <is>
          <t>C3866</t>
        </is>
      </c>
      <c r="B350" s="10" t="n">
        <v>1257496</v>
      </c>
      <c r="C350" s="10" t="n">
        <v>6</v>
      </c>
      <c r="D350" s="10" t="n">
        <v>339</v>
      </c>
      <c r="E350" s="10" t="n">
        <v>91</v>
      </c>
    </row>
    <row r="351">
      <c r="A351" s="10" t="inlineStr">
        <is>
          <t>C4022</t>
        </is>
      </c>
      <c r="B351" s="10" t="n">
        <v>1493054</v>
      </c>
      <c r="C351" s="10" t="n">
        <v>15</v>
      </c>
      <c r="D351" s="10" t="n">
        <v>404</v>
      </c>
      <c r="E351" s="10" t="n">
        <v>22</v>
      </c>
    </row>
    <row r="352">
      <c r="A352" s="10" t="inlineStr">
        <is>
          <t>C3134</t>
        </is>
      </c>
      <c r="B352" s="10" t="n">
        <v>2294730</v>
      </c>
      <c r="C352" s="10" t="n">
        <v>14</v>
      </c>
      <c r="D352" s="10" t="n">
        <v>321</v>
      </c>
      <c r="E352" s="10" t="inlineStr">
        <is>
          <t>2 days</t>
        </is>
      </c>
    </row>
    <row r="353">
      <c r="A353" s="10" t="inlineStr">
        <is>
          <t>C3236</t>
        </is>
      </c>
      <c r="B353" s="10" t="n">
        <v>4293229</v>
      </c>
      <c r="C353" s="10" t="n">
        <v>17</v>
      </c>
      <c r="D353" s="10" t="n">
        <v>247</v>
      </c>
      <c r="E353" s="10" t="n">
        <v>35</v>
      </c>
    </row>
    <row r="354">
      <c r="A354" s="10" t="inlineStr">
        <is>
          <t>C3720</t>
        </is>
      </c>
      <c r="B354" s="10" t="n">
        <v>1454705</v>
      </c>
      <c r="C354" s="10" t="n">
        <v>5</v>
      </c>
      <c r="D354" s="10" t="n">
        <v>284</v>
      </c>
      <c r="E354" s="10" t="n">
        <v>46</v>
      </c>
    </row>
    <row r="355">
      <c r="A355" s="10" t="inlineStr">
        <is>
          <t>C3535</t>
        </is>
      </c>
      <c r="B355" s="10" t="n">
        <v>2793269</v>
      </c>
      <c r="C355" s="10" t="n">
        <v>13</v>
      </c>
      <c r="D355" s="10" t="n">
        <v>530</v>
      </c>
      <c r="E355" s="10" t="n">
        <v>21</v>
      </c>
    </row>
    <row r="356">
      <c r="A356" s="10" t="inlineStr">
        <is>
          <t>C3053</t>
        </is>
      </c>
      <c r="B356" s="10" t="inlineStr">
        <is>
          <t>Rp 1.034.246</t>
        </is>
      </c>
      <c r="C356" s="10" t="n">
        <v>4</v>
      </c>
      <c r="D356" s="10" t="n">
        <v>19</v>
      </c>
      <c r="E356" s="10" t="n">
        <v>12</v>
      </c>
    </row>
    <row r="357">
      <c r="A357" s="10" t="inlineStr">
        <is>
          <t>C3314</t>
        </is>
      </c>
      <c r="B357" s="10" t="inlineStr">
        <is>
          <t>Rp 3.628.942</t>
        </is>
      </c>
      <c r="C357" s="10" t="n">
        <v>17</v>
      </c>
      <c r="D357" s="10" t="n">
        <v>637</v>
      </c>
      <c r="E357" s="10" t="n">
        <v>5</v>
      </c>
    </row>
    <row r="358">
      <c r="A358" s="10" t="inlineStr">
        <is>
          <t>C3668</t>
        </is>
      </c>
      <c r="B358" s="10" t="n">
        <v>1629749</v>
      </c>
      <c r="C358" s="10" t="n">
        <v>2</v>
      </c>
      <c r="D358" s="10" t="n">
        <v>60</v>
      </c>
      <c r="E358" s="10" t="n">
        <v>1</v>
      </c>
    </row>
    <row r="359">
      <c r="A359" s="10" t="inlineStr">
        <is>
          <t>C3366</t>
        </is>
      </c>
      <c r="B359" s="10" t="inlineStr">
        <is>
          <t>Rp 1.141.767</t>
        </is>
      </c>
      <c r="C359" s="10" t="n">
        <v>2</v>
      </c>
      <c r="D359" s="10" t="n">
        <v>437</v>
      </c>
      <c r="E359" s="10" t="n">
        <v>77</v>
      </c>
    </row>
    <row r="360">
      <c r="A360" s="10" t="inlineStr">
        <is>
          <t>C3594</t>
        </is>
      </c>
      <c r="B360" s="10" t="n">
        <v>1491863</v>
      </c>
      <c r="C360" s="10" t="n">
        <v>2</v>
      </c>
      <c r="D360" s="10" t="n">
        <v>121</v>
      </c>
      <c r="E360" s="10" t="n">
        <v>45</v>
      </c>
    </row>
    <row r="361">
      <c r="A361" s="10" t="inlineStr">
        <is>
          <t>C3898</t>
        </is>
      </c>
      <c r="B361" s="10" t="n">
        <v>1033203</v>
      </c>
      <c r="C361" s="10" t="n">
        <v>5</v>
      </c>
      <c r="D361" s="10" t="n">
        <v>45</v>
      </c>
      <c r="E361" s="10" t="n">
        <v>29</v>
      </c>
    </row>
    <row r="362">
      <c r="A362" s="10" t="inlineStr">
        <is>
          <t>C3970</t>
        </is>
      </c>
      <c r="B362" s="10" t="n">
        <v>11581505</v>
      </c>
      <c r="C362" s="10" t="n">
        <v>30</v>
      </c>
      <c r="D362" s="10" t="n">
        <v>613</v>
      </c>
      <c r="E362" s="10" t="n">
        <v>16</v>
      </c>
    </row>
    <row r="363">
      <c r="A363" s="10" t="inlineStr">
        <is>
          <t>C3157</t>
        </is>
      </c>
      <c r="B363" s="10" t="n">
        <v>463189</v>
      </c>
      <c r="C363" s="10" t="n">
        <v>6</v>
      </c>
      <c r="D363" s="10" t="n">
        <v>237</v>
      </c>
      <c r="E363" s="10" t="n">
        <v>56</v>
      </c>
    </row>
    <row r="364">
      <c r="A364" s="10" t="inlineStr">
        <is>
          <t>C3750</t>
        </is>
      </c>
      <c r="B364" s="10" t="n">
        <v>2945859</v>
      </c>
      <c r="C364" s="10" t="n">
        <v>13</v>
      </c>
      <c r="D364" s="10" t="n">
        <v>399</v>
      </c>
      <c r="E364" s="10" t="n">
        <v>17</v>
      </c>
    </row>
    <row r="365">
      <c r="A365" s="10" t="inlineStr">
        <is>
          <t>C3003</t>
        </is>
      </c>
      <c r="B365" s="10" t="n">
        <v>3187446</v>
      </c>
      <c r="C365" s="10" t="n">
        <v>14</v>
      </c>
      <c r="D365" s="10" t="n">
        <v>231</v>
      </c>
      <c r="E365" s="10" t="inlineStr">
        <is>
          <t>16 days</t>
        </is>
      </c>
    </row>
    <row r="366">
      <c r="A366" s="10" t="inlineStr">
        <is>
          <t>C3002</t>
        </is>
      </c>
      <c r="B366" s="10" t="n">
        <v>1917246</v>
      </c>
      <c r="C366" s="10" t="n">
        <v>10</v>
      </c>
      <c r="D366" s="10" t="n">
        <v>369</v>
      </c>
      <c r="E366" s="10" t="n">
        <v>30</v>
      </c>
    </row>
    <row r="367">
      <c r="A367" s="10" t="inlineStr">
        <is>
          <t>C3059</t>
        </is>
      </c>
      <c r="B367" s="10" t="inlineStr">
        <is>
          <t>Rp 1.004.456</t>
        </is>
      </c>
      <c r="C367" s="10" t="n">
        <v>6</v>
      </c>
      <c r="D367" s="10" t="n">
        <v>251</v>
      </c>
      <c r="E367" s="10" t="n">
        <v>59</v>
      </c>
    </row>
    <row r="368">
      <c r="A368" s="10" t="inlineStr">
        <is>
          <t>C3293</t>
        </is>
      </c>
      <c r="B368" s="10" t="n">
        <v>1546650</v>
      </c>
      <c r="C368" s="10" t="n">
        <v>7</v>
      </c>
      <c r="D368" s="10" t="n">
        <v>536</v>
      </c>
      <c r="E368" s="10" t="n">
        <v>90</v>
      </c>
    </row>
    <row r="369">
      <c r="A369" s="10" t="inlineStr">
        <is>
          <t>C3226</t>
        </is>
      </c>
      <c r="B369" s="10" t="n">
        <v>3778068</v>
      </c>
      <c r="C369" s="10" t="n">
        <v>17</v>
      </c>
      <c r="D369" s="10" t="n">
        <v>276</v>
      </c>
      <c r="E369" s="10" t="n">
        <v>29</v>
      </c>
    </row>
    <row r="370">
      <c r="A370" s="10" t="inlineStr">
        <is>
          <t>C3429</t>
        </is>
      </c>
      <c r="B370" s="10" t="n">
        <v>4928420</v>
      </c>
      <c r="C370" s="10" t="n"/>
      <c r="D370" s="10" t="n">
        <v>433</v>
      </c>
      <c r="E370" s="10" t="n">
        <v>23</v>
      </c>
    </row>
    <row r="371">
      <c r="A371" s="10" t="inlineStr">
        <is>
          <t>C3556</t>
        </is>
      </c>
      <c r="B371" s="10" t="n">
        <v>84326</v>
      </c>
      <c r="C371" s="10" t="n">
        <v>5</v>
      </c>
      <c r="D371" s="10" t="n">
        <v>334</v>
      </c>
      <c r="E371" s="10" t="n">
        <v>85</v>
      </c>
    </row>
    <row r="372">
      <c r="A372" s="10" t="inlineStr">
        <is>
          <t>C3421</t>
        </is>
      </c>
      <c r="B372" s="10" t="inlineStr">
        <is>
          <t>Rp 1.328.082</t>
        </is>
      </c>
      <c r="C372" s="10" t="n"/>
      <c r="D372" s="10" t="n">
        <v>52</v>
      </c>
      <c r="E372" s="10" t="inlineStr">
        <is>
          <t>11 days</t>
        </is>
      </c>
    </row>
    <row r="373">
      <c r="A373" s="10" t="inlineStr">
        <is>
          <t>C3831</t>
        </is>
      </c>
      <c r="B373" s="10" t="n">
        <v>1121113</v>
      </c>
      <c r="C373" s="10" t="n">
        <v>6</v>
      </c>
      <c r="D373" s="10" t="n">
        <v>331</v>
      </c>
      <c r="E373" s="10" t="n">
        <v>136</v>
      </c>
    </row>
    <row r="374">
      <c r="A374" s="10" t="inlineStr">
        <is>
          <t>C3144</t>
        </is>
      </c>
      <c r="B374" s="10" t="n">
        <v>727716</v>
      </c>
      <c r="C374" s="10" t="n">
        <v>4</v>
      </c>
      <c r="D374" s="10" t="n">
        <v>490</v>
      </c>
      <c r="E374" s="10" t="n">
        <v>48</v>
      </c>
    </row>
    <row r="375">
      <c r="A375" s="10" t="inlineStr">
        <is>
          <t>C3017</t>
        </is>
      </c>
      <c r="B375" s="10" t="inlineStr">
        <is>
          <t>Rp 1.059.556</t>
        </is>
      </c>
      <c r="C375" s="10" t="n">
        <v>4</v>
      </c>
      <c r="D375" s="10" t="n">
        <v>433</v>
      </c>
      <c r="E375" s="10" t="n">
        <v>21</v>
      </c>
    </row>
    <row r="376">
      <c r="A376" s="10" t="inlineStr">
        <is>
          <t>C3232</t>
        </is>
      </c>
      <c r="B376" s="10" t="n">
        <v>7809679</v>
      </c>
      <c r="C376" s="10" t="n">
        <v>30</v>
      </c>
      <c r="D376" s="10" t="n">
        <v>676</v>
      </c>
      <c r="E376" s="10" t="n">
        <v>7</v>
      </c>
    </row>
    <row r="377">
      <c r="A377" s="10" t="inlineStr">
        <is>
          <t>C3710</t>
        </is>
      </c>
      <c r="B377" s="10" t="n">
        <v>882340</v>
      </c>
      <c r="C377" s="10" t="n">
        <v>1</v>
      </c>
      <c r="D377" s="10" t="n">
        <v>131</v>
      </c>
      <c r="E377" s="10" t="n">
        <v>33</v>
      </c>
    </row>
    <row r="378">
      <c r="A378" s="10" t="inlineStr">
        <is>
          <t>C3140</t>
        </is>
      </c>
      <c r="B378" s="10" t="n">
        <v>841118</v>
      </c>
      <c r="C378" s="10" t="n">
        <v>6</v>
      </c>
      <c r="D378" s="10" t="n">
        <v>267</v>
      </c>
      <c r="E378" s="10" t="n">
        <v>118</v>
      </c>
    </row>
    <row r="379">
      <c r="A379" s="10" t="inlineStr">
        <is>
          <t>C3363</t>
        </is>
      </c>
      <c r="B379" s="10" t="inlineStr">
        <is>
          <t>Rp 499.808</t>
        </is>
      </c>
      <c r="C379" s="10" t="n">
        <v>3</v>
      </c>
      <c r="D379" s="10" t="n">
        <v>287</v>
      </c>
      <c r="E379" s="10" t="inlineStr">
        <is>
          <t>96 days</t>
        </is>
      </c>
    </row>
    <row r="380">
      <c r="A380" s="10" t="inlineStr">
        <is>
          <t>C3930</t>
        </is>
      </c>
      <c r="B380" s="10" t="n">
        <v>6636558</v>
      </c>
      <c r="C380" s="10" t="n">
        <v>34</v>
      </c>
      <c r="D380" s="10" t="n">
        <v>691</v>
      </c>
      <c r="E380" s="10" t="n">
        <v>30</v>
      </c>
    </row>
    <row r="381">
      <c r="A381" s="10" t="inlineStr">
        <is>
          <t>C3700</t>
        </is>
      </c>
      <c r="B381" s="10" t="n">
        <v>2857222</v>
      </c>
      <c r="C381" s="10" t="n">
        <v>4</v>
      </c>
      <c r="D381" s="10" t="n">
        <v>114</v>
      </c>
      <c r="E381" s="10" t="n">
        <v>26</v>
      </c>
    </row>
    <row r="382">
      <c r="A382" s="10" t="inlineStr">
        <is>
          <t>C3242</t>
        </is>
      </c>
      <c r="B382" s="10" t="n">
        <v>6105967</v>
      </c>
      <c r="C382" s="10" t="n">
        <v>19</v>
      </c>
      <c r="D382" s="10" t="n">
        <v>365</v>
      </c>
      <c r="E382" s="10" t="n">
        <v>20</v>
      </c>
    </row>
    <row r="383">
      <c r="A383" s="10" t="inlineStr">
        <is>
          <t>C3999</t>
        </is>
      </c>
      <c r="B383" s="10" t="n">
        <v>3137683</v>
      </c>
      <c r="C383" s="10" t="n"/>
      <c r="D383" s="10" t="n">
        <v>277</v>
      </c>
      <c r="E383" s="10" t="n">
        <v>15</v>
      </c>
    </row>
    <row r="384">
      <c r="A384" s="10" t="inlineStr">
        <is>
          <t>C3876</t>
        </is>
      </c>
      <c r="B384" s="10" t="n">
        <v>829932</v>
      </c>
      <c r="C384" s="10" t="n">
        <v>1</v>
      </c>
      <c r="D384" s="10" t="n">
        <v>318</v>
      </c>
      <c r="E384" s="10" t="n">
        <v>118</v>
      </c>
    </row>
    <row r="385">
      <c r="A385" s="10" t="inlineStr">
        <is>
          <t>C3912</t>
        </is>
      </c>
      <c r="B385" s="10" t="n">
        <v>3449092</v>
      </c>
      <c r="C385" s="10" t="n">
        <v>16</v>
      </c>
      <c r="D385" s="10" t="n">
        <v>315</v>
      </c>
      <c r="E385" s="10" t="n">
        <v>49</v>
      </c>
    </row>
    <row r="386">
      <c r="A386" s="10" t="inlineStr">
        <is>
          <t>C3027</t>
        </is>
      </c>
      <c r="B386" s="10" t="n">
        <v>1864810</v>
      </c>
      <c r="C386" s="10" t="n">
        <v>6</v>
      </c>
      <c r="D386" s="10" t="n">
        <v>37</v>
      </c>
      <c r="E386" s="10" t="n">
        <v>7</v>
      </c>
    </row>
    <row r="387">
      <c r="A387" s="10" t="inlineStr">
        <is>
          <t>C3470</t>
        </is>
      </c>
      <c r="B387" s="10" t="n">
        <v>2593067</v>
      </c>
      <c r="C387" s="10" t="n">
        <v>20</v>
      </c>
      <c r="D387" s="10" t="n">
        <v>511</v>
      </c>
      <c r="E387" s="10" t="n">
        <v>35</v>
      </c>
    </row>
    <row r="388">
      <c r="A388" s="10" t="inlineStr">
        <is>
          <t>C3318</t>
        </is>
      </c>
      <c r="B388" s="10" t="n">
        <v>3978112</v>
      </c>
      <c r="C388" s="10" t="n">
        <v>11</v>
      </c>
      <c r="D388" s="10" t="n">
        <v>303</v>
      </c>
      <c r="E388" s="10" t="n">
        <v>6</v>
      </c>
    </row>
    <row r="389">
      <c r="A389" s="10" t="inlineStr">
        <is>
          <t>C3068</t>
        </is>
      </c>
      <c r="B389" s="10" t="inlineStr">
        <is>
          <t>Rp 1.629.375</t>
        </is>
      </c>
      <c r="C389" s="10" t="n">
        <v>2</v>
      </c>
      <c r="D389" s="10" t="n">
        <v>444</v>
      </c>
      <c r="E389" s="10" t="n">
        <v>83</v>
      </c>
    </row>
    <row r="390">
      <c r="A390" s="10" t="inlineStr">
        <is>
          <t>C3569</t>
        </is>
      </c>
      <c r="B390" s="10" t="n">
        <v>954272</v>
      </c>
      <c r="C390" s="10" t="n">
        <v>2</v>
      </c>
      <c r="D390" s="10" t="n">
        <v>56</v>
      </c>
      <c r="E390" s="10" t="n">
        <v>9</v>
      </c>
    </row>
    <row r="391">
      <c r="A391" s="10" t="inlineStr">
        <is>
          <t>C3694</t>
        </is>
      </c>
      <c r="B391" s="10" t="n">
        <v>4206371</v>
      </c>
      <c r="C391" s="10" t="n">
        <v>12</v>
      </c>
      <c r="D391" s="10" t="n">
        <v>248</v>
      </c>
      <c r="E391" s="10" t="n">
        <v>39</v>
      </c>
    </row>
    <row r="392">
      <c r="A392" s="10" t="inlineStr">
        <is>
          <t>C3952</t>
        </is>
      </c>
      <c r="B392" s="10" t="n">
        <v>8643881</v>
      </c>
      <c r="C392" s="10" t="n">
        <v>20</v>
      </c>
      <c r="D392" s="10" t="n">
        <v>475</v>
      </c>
      <c r="E392" s="10" t="n">
        <v>9</v>
      </c>
    </row>
    <row r="393">
      <c r="A393" s="10" t="inlineStr">
        <is>
          <t>C3628</t>
        </is>
      </c>
      <c r="B393" s="10" t="inlineStr">
        <is>
          <t>Rp 916.104</t>
        </is>
      </c>
      <c r="C393" s="10" t="n">
        <v>2</v>
      </c>
      <c r="D393" s="10" t="n">
        <v>160</v>
      </c>
      <c r="E393" s="10" t="n">
        <v>37</v>
      </c>
    </row>
    <row r="394">
      <c r="A394" s="10" t="inlineStr">
        <is>
          <t>C4012</t>
        </is>
      </c>
      <c r="B394" s="10" t="n">
        <v>786303</v>
      </c>
      <c r="C394" s="10" t="n">
        <v>6</v>
      </c>
      <c r="D394" s="10" t="n">
        <v>366</v>
      </c>
      <c r="E394" s="10" t="n">
        <v>73</v>
      </c>
    </row>
    <row r="395">
      <c r="A395" s="10" t="inlineStr">
        <is>
          <t>C4054</t>
        </is>
      </c>
      <c r="B395" s="10" t="inlineStr">
        <is>
          <t>Rp 3.996.151</t>
        </is>
      </c>
      <c r="C395" s="10" t="n">
        <v>12</v>
      </c>
      <c r="D395" s="10" t="n">
        <v>490</v>
      </c>
      <c r="E395" s="10" t="n">
        <v>28</v>
      </c>
    </row>
    <row r="396">
      <c r="A396" s="10" t="inlineStr">
        <is>
          <t>C3167</t>
        </is>
      </c>
      <c r="B396" s="10" t="n">
        <v>747669</v>
      </c>
      <c r="C396" s="10" t="n">
        <v>2</v>
      </c>
      <c r="D396" s="10" t="n">
        <v>236</v>
      </c>
      <c r="E396" s="10" t="n">
        <v>1</v>
      </c>
    </row>
    <row r="397">
      <c r="A397" s="10" t="inlineStr">
        <is>
          <t>C3715</t>
        </is>
      </c>
      <c r="B397" s="10" t="n">
        <v>2725123</v>
      </c>
      <c r="C397" s="10" t="n">
        <v>2</v>
      </c>
      <c r="D397" s="10" t="n">
        <v>106</v>
      </c>
      <c r="E397" s="10" t="n">
        <v>16</v>
      </c>
    </row>
    <row r="398">
      <c r="A398" s="10" t="inlineStr">
        <is>
          <t>C3560</t>
        </is>
      </c>
      <c r="B398" s="10" t="n">
        <v>1948952</v>
      </c>
      <c r="C398" s="10" t="n">
        <v>1</v>
      </c>
      <c r="D398" s="10" t="n">
        <v>97</v>
      </c>
      <c r="E398" s="10" t="n">
        <v>16</v>
      </c>
    </row>
    <row r="399">
      <c r="A399" s="10" t="inlineStr">
        <is>
          <t>C3181</t>
        </is>
      </c>
      <c r="B399" s="10" t="n">
        <v>2935788</v>
      </c>
      <c r="C399" s="10" t="n">
        <v>10</v>
      </c>
      <c r="D399" s="10" t="n">
        <v>283</v>
      </c>
      <c r="E399" s="10" t="n">
        <v>30</v>
      </c>
    </row>
    <row r="400">
      <c r="A400" s="10" t="inlineStr">
        <is>
          <t>C3563</t>
        </is>
      </c>
      <c r="B400" s="10" t="n">
        <v>4544672</v>
      </c>
      <c r="C400" s="10" t="n">
        <v>18</v>
      </c>
      <c r="D400" s="10" t="n">
        <v>261</v>
      </c>
      <c r="E400" s="10" t="inlineStr">
        <is>
          <t>24 days</t>
        </is>
      </c>
    </row>
    <row r="401">
      <c r="A401" s="10" t="inlineStr">
        <is>
          <t>C3945</t>
        </is>
      </c>
      <c r="B401" s="10" t="n">
        <v>3774886</v>
      </c>
      <c r="C401" s="10" t="n">
        <v>16</v>
      </c>
      <c r="D401" s="10" t="n">
        <v>131</v>
      </c>
      <c r="E401" s="10" t="n">
        <v>21</v>
      </c>
    </row>
    <row r="402">
      <c r="A402" s="10" t="inlineStr">
        <is>
          <t>C3868</t>
        </is>
      </c>
      <c r="B402" s="10" t="n">
        <v>0</v>
      </c>
      <c r="C402" s="10" t="n">
        <v>6</v>
      </c>
      <c r="D402" s="10" t="n">
        <v>160</v>
      </c>
      <c r="E402" s="10" t="n">
        <v>101</v>
      </c>
    </row>
    <row r="403">
      <c r="A403" s="10" t="inlineStr">
        <is>
          <t>C3636</t>
        </is>
      </c>
      <c r="B403" s="10" t="n">
        <v>1379234</v>
      </c>
      <c r="C403" s="10" t="n">
        <v>3</v>
      </c>
      <c r="D403" s="10" t="n">
        <v>363</v>
      </c>
      <c r="E403" s="10" t="n">
        <v>38</v>
      </c>
    </row>
    <row r="404">
      <c r="A404" s="10" t="inlineStr">
        <is>
          <t>C3357</t>
        </is>
      </c>
      <c r="B404" s="10" t="n">
        <v>1033253</v>
      </c>
      <c r="C404" s="10" t="n">
        <v>2</v>
      </c>
      <c r="D404" s="10" t="n">
        <v>358</v>
      </c>
      <c r="E404" s="10" t="n">
        <v>122</v>
      </c>
    </row>
    <row r="405">
      <c r="A405" s="10" t="inlineStr">
        <is>
          <t>C3378</t>
        </is>
      </c>
      <c r="B405" s="10" t="n">
        <v>1231389</v>
      </c>
      <c r="C405" s="10" t="n">
        <v>3</v>
      </c>
      <c r="D405" s="10" t="n">
        <v>32</v>
      </c>
      <c r="E405" s="10" t="n">
        <v>1</v>
      </c>
    </row>
    <row r="406">
      <c r="A406" s="10" t="inlineStr">
        <is>
          <t>C3586</t>
        </is>
      </c>
      <c r="B406" s="10" t="n">
        <v>2388910</v>
      </c>
      <c r="C406" s="10" t="n">
        <v>18</v>
      </c>
      <c r="D406" s="10" t="n">
        <v>310</v>
      </c>
      <c r="E406" s="10" t="n">
        <v>4</v>
      </c>
    </row>
    <row r="407">
      <c r="A407" s="10" t="inlineStr">
        <is>
          <t>C4084</t>
        </is>
      </c>
      <c r="B407" s="10" t="n">
        <v>11396669</v>
      </c>
      <c r="C407" s="10" t="n">
        <v>23</v>
      </c>
      <c r="D407" s="10" t="n">
        <v>722</v>
      </c>
      <c r="E407" s="10" t="n">
        <v>15</v>
      </c>
    </row>
    <row r="408">
      <c r="A408" s="10" t="inlineStr">
        <is>
          <t>C3132</t>
        </is>
      </c>
      <c r="B408" s="10" t="inlineStr">
        <is>
          <t>Rp 4.187.588</t>
        </is>
      </c>
      <c r="C408" s="10" t="n">
        <v>25</v>
      </c>
      <c r="D408" s="10" t="n">
        <v>575</v>
      </c>
      <c r="E408" s="10" t="inlineStr">
        <is>
          <t>19 days</t>
        </is>
      </c>
    </row>
    <row r="409">
      <c r="A409" s="10" t="inlineStr">
        <is>
          <t>C3393</t>
        </is>
      </c>
      <c r="B409" s="10" t="n">
        <v>897874</v>
      </c>
      <c r="C409" s="10" t="n">
        <v>7</v>
      </c>
      <c r="D409" s="10" t="n">
        <v>337</v>
      </c>
      <c r="E409" s="10" t="n">
        <v>81</v>
      </c>
    </row>
    <row r="410">
      <c r="A410" s="10" t="inlineStr">
        <is>
          <t>C4016</t>
        </is>
      </c>
      <c r="B410" s="10" t="n">
        <v>6422141</v>
      </c>
      <c r="C410" s="10" t="n">
        <v>16</v>
      </c>
      <c r="D410" s="10" t="n">
        <v>405</v>
      </c>
      <c r="E410" s="10" t="n">
        <v>34</v>
      </c>
    </row>
    <row r="411">
      <c r="A411" s="10" t="inlineStr">
        <is>
          <t>C3587</t>
        </is>
      </c>
      <c r="B411" s="10" t="n">
        <v>577673</v>
      </c>
      <c r="C411" s="10" t="n">
        <v>5</v>
      </c>
      <c r="D411" s="10" t="n">
        <v>464</v>
      </c>
      <c r="E411" s="10" t="n">
        <v>55</v>
      </c>
    </row>
    <row r="412">
      <c r="A412" s="10" t="inlineStr">
        <is>
          <t>C3413</t>
        </is>
      </c>
      <c r="B412" s="10" t="n">
        <v>517892</v>
      </c>
      <c r="C412" s="10" t="n">
        <v>7</v>
      </c>
      <c r="D412" s="10" t="n">
        <v>92</v>
      </c>
      <c r="E412" s="10" t="n">
        <v>13</v>
      </c>
    </row>
    <row r="413">
      <c r="A413" s="10" t="inlineStr">
        <is>
          <t>C3797</t>
        </is>
      </c>
      <c r="B413" s="10" t="n">
        <v>1861117</v>
      </c>
      <c r="C413" s="10" t="n">
        <v>3</v>
      </c>
      <c r="D413" s="10" t="n">
        <v>102</v>
      </c>
      <c r="E413" s="10" t="n">
        <v>14</v>
      </c>
    </row>
    <row r="414">
      <c r="A414" s="10" t="inlineStr">
        <is>
          <t>C4004</t>
        </is>
      </c>
      <c r="B414" s="10" t="n">
        <v>5286757</v>
      </c>
      <c r="C414" s="10" t="n">
        <v>10</v>
      </c>
      <c r="D414" s="10" t="n">
        <v>375</v>
      </c>
      <c r="E414" s="10" t="n">
        <v>43</v>
      </c>
    </row>
    <row r="415">
      <c r="A415" s="10" t="inlineStr">
        <is>
          <t>C3842</t>
        </is>
      </c>
      <c r="B415" s="10" t="inlineStr">
        <is>
          <t>Rp 3.707.193</t>
        </is>
      </c>
      <c r="C415" s="10" t="n"/>
      <c r="D415" s="10" t="n">
        <v>459</v>
      </c>
      <c r="E415" s="10" t="n">
        <v>41</v>
      </c>
    </row>
    <row r="416">
      <c r="A416" s="10" t="inlineStr">
        <is>
          <t>C3019</t>
        </is>
      </c>
      <c r="B416" s="10" t="n">
        <v>1138581</v>
      </c>
      <c r="C416" s="10" t="n">
        <v>3</v>
      </c>
      <c r="D416" s="10" t="n">
        <v>395</v>
      </c>
      <c r="E416" s="10" t="n">
        <v>15</v>
      </c>
    </row>
    <row r="417">
      <c r="A417" s="10" t="inlineStr">
        <is>
          <t>C3180</t>
        </is>
      </c>
      <c r="B417" s="10" t="inlineStr">
        <is>
          <t>Rp 1.886.490</t>
        </is>
      </c>
      <c r="C417" s="10" t="n">
        <v>3</v>
      </c>
      <c r="D417" s="10" t="n">
        <v>188</v>
      </c>
      <c r="E417" s="10" t="inlineStr">
        <is>
          <t>77 days</t>
        </is>
      </c>
    </row>
    <row r="418">
      <c r="A418" s="10" t="inlineStr">
        <is>
          <t>C3277</t>
        </is>
      </c>
      <c r="B418" s="10" t="n">
        <v>1251462</v>
      </c>
      <c r="C418" s="10" t="n">
        <v>3</v>
      </c>
      <c r="D418" s="10" t="n">
        <v>170</v>
      </c>
      <c r="E418" s="10" t="n">
        <v>50</v>
      </c>
    </row>
    <row r="419">
      <c r="A419" s="10" t="inlineStr">
        <is>
          <t>C3294</t>
        </is>
      </c>
      <c r="B419" s="10" t="n">
        <v>780622</v>
      </c>
      <c r="C419" s="10" t="n">
        <v>4</v>
      </c>
      <c r="D419" s="10" t="n">
        <v>520</v>
      </c>
      <c r="E419" s="10" t="n">
        <v>24</v>
      </c>
    </row>
    <row r="420">
      <c r="A420" s="10" t="inlineStr">
        <is>
          <t>C3850</t>
        </is>
      </c>
      <c r="B420" s="10" t="n">
        <v>2043987</v>
      </c>
      <c r="C420" s="10" t="n">
        <v>1</v>
      </c>
      <c r="D420" s="10" t="n">
        <v>5</v>
      </c>
      <c r="E420" s="10" t="n">
        <v>19</v>
      </c>
    </row>
    <row r="421">
      <c r="A421" s="10" t="inlineStr">
        <is>
          <t>C4046</t>
        </is>
      </c>
      <c r="B421" s="10" t="n">
        <v>1630138</v>
      </c>
      <c r="C421" s="10" t="n">
        <v>7</v>
      </c>
      <c r="D421" s="10" t="n">
        <v>318</v>
      </c>
      <c r="E421" s="10" t="n">
        <v>44</v>
      </c>
    </row>
    <row r="422">
      <c r="A422" s="10" t="inlineStr">
        <is>
          <t>C3249</t>
        </is>
      </c>
      <c r="B422" s="10" t="n">
        <v>3858484</v>
      </c>
      <c r="C422" s="10" t="n">
        <v>9</v>
      </c>
      <c r="D422" s="10" t="n">
        <v>519</v>
      </c>
      <c r="E422" s="10" t="n">
        <v>20</v>
      </c>
    </row>
    <row r="423">
      <c r="A423" s="10" t="inlineStr">
        <is>
          <t>C3179</t>
        </is>
      </c>
      <c r="B423" s="10" t="n">
        <v>844111</v>
      </c>
      <c r="C423" s="10" t="n">
        <v>5</v>
      </c>
      <c r="D423" s="10" t="n">
        <v>303</v>
      </c>
      <c r="E423" s="10" t="n">
        <v>47</v>
      </c>
    </row>
    <row r="424">
      <c r="A424" s="10" t="inlineStr">
        <is>
          <t>C3865</t>
        </is>
      </c>
      <c r="B424" s="10" t="inlineStr">
        <is>
          <t>Rp 636.882</t>
        </is>
      </c>
      <c r="C424" s="10" t="n">
        <v>5</v>
      </c>
      <c r="D424" s="10" t="n">
        <v>352</v>
      </c>
      <c r="E424" s="10" t="n">
        <v>40</v>
      </c>
    </row>
    <row r="425">
      <c r="A425" s="10" t="inlineStr">
        <is>
          <t>C3665</t>
        </is>
      </c>
      <c r="B425" s="10" t="n">
        <v>592827</v>
      </c>
      <c r="C425" s="10" t="n">
        <v>4</v>
      </c>
      <c r="D425" s="10" t="n">
        <v>359</v>
      </c>
      <c r="E425" s="10" t="n">
        <v>50</v>
      </c>
    </row>
    <row r="426">
      <c r="A426" s="10" t="inlineStr">
        <is>
          <t>C3201</t>
        </is>
      </c>
      <c r="B426" s="10" t="n">
        <v>2433558</v>
      </c>
      <c r="C426" s="10" t="n">
        <v>10</v>
      </c>
      <c r="D426" s="10" t="n">
        <v>181</v>
      </c>
      <c r="E426" s="10" t="n">
        <v>31</v>
      </c>
    </row>
    <row r="427">
      <c r="A427" s="10" t="inlineStr">
        <is>
          <t>C4077</t>
        </is>
      </c>
      <c r="B427" s="10" t="n">
        <v>2181212</v>
      </c>
      <c r="C427" s="10" t="n">
        <v>3</v>
      </c>
      <c r="D427" s="10" t="n">
        <v>76</v>
      </c>
      <c r="E427" s="10" t="n">
        <v>40</v>
      </c>
    </row>
    <row r="428">
      <c r="A428" s="10" t="inlineStr">
        <is>
          <t>C3784</t>
        </is>
      </c>
      <c r="B428" s="10" t="n">
        <v>2833839</v>
      </c>
      <c r="C428" s="10" t="n">
        <v>18</v>
      </c>
      <c r="D428" s="10" t="n">
        <v>478</v>
      </c>
      <c r="E428" s="10" t="inlineStr">
        <is>
          <t>39 days</t>
        </is>
      </c>
    </row>
    <row r="429">
      <c r="A429" s="10" t="inlineStr">
        <is>
          <t>C3764</t>
        </is>
      </c>
      <c r="B429" s="10" t="n">
        <v>4777887</v>
      </c>
      <c r="C429" s="10" t="n">
        <v>15</v>
      </c>
      <c r="D429" s="10" t="n">
        <v>456</v>
      </c>
      <c r="E429" s="10" t="n">
        <v>46</v>
      </c>
    </row>
    <row r="430">
      <c r="A430" s="10" t="inlineStr">
        <is>
          <t>C3531</t>
        </is>
      </c>
      <c r="B430" s="10" t="inlineStr">
        <is>
          <t>Rp 3.272.961</t>
        </is>
      </c>
      <c r="C430" s="10" t="n">
        <v>14</v>
      </c>
      <c r="D430" s="10" t="n">
        <v>457</v>
      </c>
      <c r="E430" s="10" t="n">
        <v>16</v>
      </c>
    </row>
    <row r="431">
      <c r="A431" s="10" t="inlineStr">
        <is>
          <t>C3812</t>
        </is>
      </c>
      <c r="B431" s="10" t="n">
        <v>1082975</v>
      </c>
      <c r="C431" s="10" t="n">
        <v>2</v>
      </c>
      <c r="D431" s="10" t="n">
        <v>335</v>
      </c>
      <c r="E431" s="10" t="n">
        <v>130</v>
      </c>
    </row>
    <row r="432">
      <c r="A432" s="10" t="inlineStr">
        <is>
          <t>C3853</t>
        </is>
      </c>
      <c r="B432" s="10" t="n">
        <v>1333440</v>
      </c>
      <c r="C432" s="10" t="n">
        <v>3</v>
      </c>
      <c r="D432" s="10" t="n">
        <v>185</v>
      </c>
      <c r="E432" s="10" t="n">
        <v>59</v>
      </c>
    </row>
    <row r="433">
      <c r="A433" s="10" t="inlineStr">
        <is>
          <t>C3450</t>
        </is>
      </c>
      <c r="B433" s="10" t="n">
        <v>5042610</v>
      </c>
      <c r="C433" s="10" t="n">
        <v>7</v>
      </c>
      <c r="D433" s="10" t="n">
        <v>335</v>
      </c>
      <c r="E433" s="10" t="n">
        <v>5</v>
      </c>
    </row>
    <row r="434">
      <c r="A434" s="10" t="inlineStr">
        <is>
          <t>C3286</t>
        </is>
      </c>
      <c r="B434" s="10" t="n">
        <v>538649</v>
      </c>
      <c r="C434" s="10" t="n">
        <v>4</v>
      </c>
      <c r="D434" s="10" t="n">
        <v>14</v>
      </c>
      <c r="E434" s="10" t="n">
        <v>131</v>
      </c>
    </row>
    <row r="435">
      <c r="A435" s="10" t="inlineStr">
        <is>
          <t>C3999</t>
        </is>
      </c>
      <c r="B435" s="10" t="n">
        <v>3137683</v>
      </c>
      <c r="C435" s="10" t="n"/>
      <c r="D435" s="10" t="n">
        <v>277</v>
      </c>
      <c r="E435" s="10" t="n">
        <v>15</v>
      </c>
    </row>
    <row r="436">
      <c r="A436" s="10" t="inlineStr">
        <is>
          <t>C3802</t>
        </is>
      </c>
      <c r="B436" s="10" t="n">
        <v>5309394</v>
      </c>
      <c r="C436" s="10" t="n">
        <v>20</v>
      </c>
      <c r="D436" s="10" t="n">
        <v>695</v>
      </c>
      <c r="E436" s="10" t="n">
        <v>26</v>
      </c>
    </row>
    <row r="437">
      <c r="A437" s="10" t="inlineStr">
        <is>
          <t>C3657</t>
        </is>
      </c>
      <c r="B437" s="10" t="n">
        <v>1122962</v>
      </c>
      <c r="C437" s="10" t="n">
        <v>1</v>
      </c>
      <c r="D437" s="10" t="n">
        <v>21</v>
      </c>
      <c r="E437" s="10" t="n">
        <v>19</v>
      </c>
    </row>
    <row r="438">
      <c r="A438" s="10" t="inlineStr">
        <is>
          <t>C4067</t>
        </is>
      </c>
      <c r="B438" s="10" t="n">
        <v>4667950</v>
      </c>
      <c r="C438" s="10" t="n">
        <v>16</v>
      </c>
      <c r="D438" s="10" t="n">
        <v>384</v>
      </c>
      <c r="E438" s="10" t="n">
        <v>18</v>
      </c>
    </row>
    <row r="439">
      <c r="A439" s="10" t="inlineStr">
        <is>
          <t>C3522</t>
        </is>
      </c>
      <c r="B439" s="10" t="inlineStr">
        <is>
          <t>Rp 10.868.415</t>
        </is>
      </c>
      <c r="C439" s="10" t="n">
        <v>21</v>
      </c>
      <c r="D439" s="10" t="n">
        <v>690</v>
      </c>
      <c r="E439" s="10" t="n">
        <v>3</v>
      </c>
    </row>
    <row r="440">
      <c r="A440" s="10" t="inlineStr">
        <is>
          <t>C3340</t>
        </is>
      </c>
      <c r="B440" s="10" t="n">
        <v>1552153</v>
      </c>
      <c r="C440" s="10" t="n">
        <v>2</v>
      </c>
      <c r="D440" s="10" t="n">
        <v>67</v>
      </c>
      <c r="E440" s="10" t="n">
        <v>2</v>
      </c>
    </row>
    <row r="441">
      <c r="A441" s="10" t="inlineStr">
        <is>
          <t>C3045</t>
        </is>
      </c>
      <c r="B441" s="10" t="n">
        <v>746870</v>
      </c>
      <c r="C441" s="10" t="n">
        <v>5</v>
      </c>
      <c r="D441" s="10" t="n">
        <v>321</v>
      </c>
      <c r="E441" s="10" t="n">
        <v>155</v>
      </c>
    </row>
    <row r="442">
      <c r="A442" s="10" t="inlineStr">
        <is>
          <t>C3606</t>
        </is>
      </c>
      <c r="B442" s="10" t="n">
        <v>6802789</v>
      </c>
      <c r="C442" s="10" t="n">
        <v>24</v>
      </c>
      <c r="D442" s="10" t="n">
        <v>606</v>
      </c>
      <c r="E442" s="10" t="inlineStr">
        <is>
          <t>12 days</t>
        </is>
      </c>
    </row>
    <row r="443">
      <c r="A443" s="10" t="inlineStr">
        <is>
          <t>C3624</t>
        </is>
      </c>
      <c r="B443" s="10" t="n">
        <v>638472</v>
      </c>
      <c r="C443" s="10" t="n">
        <v>3</v>
      </c>
      <c r="D443" s="10" t="n">
        <v>149</v>
      </c>
      <c r="E443" s="10" t="n">
        <v>40</v>
      </c>
    </row>
    <row r="444">
      <c r="A444" s="10" t="inlineStr">
        <is>
          <t>C3738</t>
        </is>
      </c>
      <c r="B444" s="10" t="n">
        <v>1420880</v>
      </c>
      <c r="C444" s="10" t="n">
        <v>1</v>
      </c>
      <c r="D444" s="10" t="n">
        <v>250</v>
      </c>
      <c r="E444" s="10" t="n">
        <v>178</v>
      </c>
    </row>
    <row r="445">
      <c r="A445" s="10" t="inlineStr">
        <is>
          <t>C3879</t>
        </is>
      </c>
      <c r="B445" s="10" t="inlineStr">
        <is>
          <t>Rp 9.316.343</t>
        </is>
      </c>
      <c r="C445" s="10" t="n">
        <v>23</v>
      </c>
      <c r="D445" s="10" t="n">
        <v>627</v>
      </c>
      <c r="E445" s="10" t="n">
        <v>5</v>
      </c>
    </row>
    <row r="446">
      <c r="A446" s="10" t="inlineStr">
        <is>
          <t>C3457</t>
        </is>
      </c>
      <c r="B446" s="10" t="n">
        <v>1218533</v>
      </c>
      <c r="C446" s="10" t="n"/>
      <c r="D446" s="10" t="n">
        <v>308</v>
      </c>
      <c r="E446" s="10" t="n">
        <v>112</v>
      </c>
    </row>
    <row r="447">
      <c r="A447" s="10" t="inlineStr">
        <is>
          <t>C3407</t>
        </is>
      </c>
      <c r="B447" s="10" t="n">
        <v>1002421</v>
      </c>
      <c r="C447" s="10" t="n">
        <v>4</v>
      </c>
      <c r="D447" s="10" t="n">
        <v>326</v>
      </c>
      <c r="E447" s="10" t="n">
        <v>121</v>
      </c>
    </row>
    <row r="448">
      <c r="A448" s="10" t="inlineStr">
        <is>
          <t>C3264</t>
        </is>
      </c>
      <c r="B448" s="10" t="inlineStr">
        <is>
          <t>Rp 12.146.188</t>
        </is>
      </c>
      <c r="C448" s="10" t="n">
        <v>33</v>
      </c>
      <c r="D448" s="10" t="n">
        <v>489</v>
      </c>
      <c r="E448" s="10" t="n">
        <v>3</v>
      </c>
    </row>
    <row r="449">
      <c r="A449" s="10" t="inlineStr">
        <is>
          <t>C3759</t>
        </is>
      </c>
      <c r="B449" s="10" t="n">
        <v>624127</v>
      </c>
      <c r="C449" s="10" t="n">
        <v>3</v>
      </c>
      <c r="D449" s="10" t="n">
        <v>413</v>
      </c>
      <c r="E449" s="10" t="inlineStr">
        <is>
          <t>103 days</t>
        </is>
      </c>
    </row>
    <row r="450">
      <c r="A450" s="10" t="inlineStr">
        <is>
          <t>C4080</t>
        </is>
      </c>
      <c r="B450" s="10" t="n">
        <v>913080</v>
      </c>
      <c r="C450" s="10" t="n">
        <v>3</v>
      </c>
      <c r="D450" s="10" t="n">
        <v>329</v>
      </c>
      <c r="E450" s="10" t="n">
        <v>40</v>
      </c>
    </row>
    <row r="451">
      <c r="A451" s="10" t="inlineStr">
        <is>
          <t>C3288</t>
        </is>
      </c>
      <c r="B451" s="10" t="n">
        <v>1891659</v>
      </c>
      <c r="C451" s="10" t="n">
        <v>1</v>
      </c>
      <c r="D451" s="10" t="n">
        <v>59</v>
      </c>
      <c r="E451" s="10" t="n">
        <v>23</v>
      </c>
    </row>
    <row r="452">
      <c r="A452" s="10" t="inlineStr">
        <is>
          <t>C3392</t>
        </is>
      </c>
      <c r="B452" s="10" t="n">
        <v>990252</v>
      </c>
      <c r="C452" s="10" t="n">
        <v>1</v>
      </c>
      <c r="D452" s="10" t="n">
        <v>85</v>
      </c>
      <c r="E452" s="10" t="n">
        <v>23</v>
      </c>
    </row>
    <row r="453">
      <c r="A453" s="10" t="inlineStr">
        <is>
          <t>C3707</t>
        </is>
      </c>
      <c r="B453" s="10" t="n">
        <v>903509</v>
      </c>
      <c r="C453" s="10" t="n">
        <v>4</v>
      </c>
      <c r="D453" s="10" t="n">
        <v>144</v>
      </c>
      <c r="E453" s="10" t="n">
        <v>63</v>
      </c>
    </row>
    <row r="454">
      <c r="A454" s="10" t="inlineStr">
        <is>
          <t>C3737</t>
        </is>
      </c>
      <c r="B454" s="10" t="n">
        <v>1257939</v>
      </c>
      <c r="C454" s="10" t="n">
        <v>6</v>
      </c>
      <c r="D454" s="10" t="n">
        <v>184</v>
      </c>
      <c r="E454" s="10" t="n">
        <v>22</v>
      </c>
    </row>
    <row r="455">
      <c r="A455" s="10" t="inlineStr">
        <is>
          <t>C4018</t>
        </is>
      </c>
      <c r="B455" s="10" t="n">
        <v>3732337</v>
      </c>
      <c r="C455" s="10" t="n">
        <v>10</v>
      </c>
      <c r="D455" s="10" t="n">
        <v>520</v>
      </c>
      <c r="E455" s="10" t="n">
        <v>38</v>
      </c>
    </row>
    <row r="456">
      <c r="A456" s="10" t="inlineStr">
        <is>
          <t>C3235</t>
        </is>
      </c>
      <c r="B456" s="10" t="n">
        <v>4764089</v>
      </c>
      <c r="C456" s="10" t="n">
        <v>12</v>
      </c>
      <c r="D456" s="10" t="n">
        <v>420</v>
      </c>
      <c r="E456" s="10" t="n">
        <v>24</v>
      </c>
    </row>
    <row r="457">
      <c r="A457" s="10" t="inlineStr">
        <is>
          <t>C3828</t>
        </is>
      </c>
      <c r="B457" s="10" t="n">
        <v>841085</v>
      </c>
      <c r="C457" s="10" t="n">
        <v>4</v>
      </c>
      <c r="D457" s="10" t="n">
        <v>164</v>
      </c>
      <c r="E457" s="10" t="n">
        <v>44</v>
      </c>
    </row>
    <row r="458">
      <c r="A458" s="10" t="inlineStr">
        <is>
          <t>C3667</t>
        </is>
      </c>
      <c r="B458" s="10" t="n">
        <v>1059709</v>
      </c>
      <c r="C458" s="10" t="n">
        <v>3</v>
      </c>
      <c r="D458" s="10" t="n">
        <v>21</v>
      </c>
      <c r="E458" s="10" t="n">
        <v>53</v>
      </c>
    </row>
    <row r="459">
      <c r="A459" s="10" t="inlineStr">
        <is>
          <t>C3773</t>
        </is>
      </c>
      <c r="B459" s="10" t="n">
        <v>1443256</v>
      </c>
      <c r="C459" s="10" t="n">
        <v>3</v>
      </c>
      <c r="D459" s="10" t="n">
        <v>120</v>
      </c>
      <c r="E459" s="10" t="n">
        <v>9</v>
      </c>
    </row>
    <row r="460">
      <c r="A460" s="10" t="inlineStr">
        <is>
          <t>C3458</t>
        </is>
      </c>
      <c r="B460" s="10" t="n">
        <v>1046051</v>
      </c>
      <c r="C460" s="10" t="n">
        <v>2</v>
      </c>
      <c r="D460" s="10" t="n">
        <v>406</v>
      </c>
      <c r="E460" s="10" t="n">
        <v>106</v>
      </c>
    </row>
    <row r="461">
      <c r="A461" s="10" t="inlineStr">
        <is>
          <t>C3607</t>
        </is>
      </c>
      <c r="B461" s="10" t="n">
        <v>2874795</v>
      </c>
      <c r="C461" s="10" t="n">
        <v>13</v>
      </c>
      <c r="D461" s="10" t="n">
        <v>389</v>
      </c>
      <c r="E461" s="10" t="n">
        <v>41</v>
      </c>
    </row>
    <row r="462">
      <c r="A462" s="10" t="inlineStr">
        <is>
          <t>C3135</t>
        </is>
      </c>
      <c r="B462" s="10" t="n">
        <v>4266676</v>
      </c>
      <c r="C462" s="10" t="n">
        <v>12</v>
      </c>
      <c r="D462" s="10" t="n">
        <v>479</v>
      </c>
      <c r="E462" s="10" t="n">
        <v>17</v>
      </c>
    </row>
    <row r="463">
      <c r="A463" s="10" t="inlineStr">
        <is>
          <t>C3948</t>
        </is>
      </c>
      <c r="B463" s="10" t="n">
        <v>3029009</v>
      </c>
      <c r="C463" s="10" t="n">
        <v>15</v>
      </c>
      <c r="D463" s="10" t="n">
        <v>479</v>
      </c>
      <c r="E463" s="10" t="n">
        <v>11</v>
      </c>
    </row>
    <row r="464">
      <c r="A464" s="10" t="inlineStr">
        <is>
          <t>C3250</t>
        </is>
      </c>
      <c r="B464" s="10" t="n">
        <v>105627</v>
      </c>
      <c r="C464" s="10" t="n">
        <v>7</v>
      </c>
      <c r="D464" s="10" t="n">
        <v>544</v>
      </c>
      <c r="E464" s="10" t="inlineStr">
        <is>
          <t>37 days</t>
        </is>
      </c>
    </row>
    <row r="465">
      <c r="A465" s="10" t="inlineStr">
        <is>
          <t>C3678</t>
        </is>
      </c>
      <c r="B465" s="10" t="n">
        <v>680443</v>
      </c>
      <c r="C465" s="10" t="n">
        <v>7</v>
      </c>
      <c r="D465" s="10" t="n">
        <v>515</v>
      </c>
      <c r="E465" s="10" t="n">
        <v>99</v>
      </c>
    </row>
    <row r="466">
      <c r="A466" s="10" t="inlineStr">
        <is>
          <t>C4030</t>
        </is>
      </c>
      <c r="B466" s="10" t="n">
        <v>3525199</v>
      </c>
      <c r="C466" s="10" t="n">
        <v>14</v>
      </c>
      <c r="D466" s="10" t="n">
        <v>169</v>
      </c>
      <c r="E466" s="10" t="n">
        <v>16</v>
      </c>
    </row>
    <row r="467">
      <c r="A467" s="10" t="inlineStr">
        <is>
          <t>C3893</t>
        </is>
      </c>
      <c r="B467" s="10" t="n">
        <v>2709332</v>
      </c>
      <c r="C467" s="10" t="n">
        <v>10</v>
      </c>
      <c r="D467" s="10" t="n">
        <v>275</v>
      </c>
      <c r="E467" s="10" t="n">
        <v>22</v>
      </c>
    </row>
    <row r="468">
      <c r="A468" s="10" t="inlineStr">
        <is>
          <t>C3973</t>
        </is>
      </c>
      <c r="B468" s="10" t="inlineStr">
        <is>
          <t>Rp 7.946.906</t>
        </is>
      </c>
      <c r="C468" s="10" t="n">
        <v>34</v>
      </c>
      <c r="D468" s="10" t="n">
        <v>609</v>
      </c>
      <c r="E468" s="10" t="n">
        <v>12</v>
      </c>
    </row>
    <row r="469">
      <c r="A469" s="10" t="inlineStr">
        <is>
          <t>C3106</t>
        </is>
      </c>
      <c r="B469" s="10" t="n">
        <v>2785440</v>
      </c>
      <c r="C469" s="10" t="n">
        <v>11</v>
      </c>
      <c r="D469" s="10" t="n">
        <v>257</v>
      </c>
      <c r="E469" s="10" t="n">
        <v>32</v>
      </c>
    </row>
    <row r="470">
      <c r="A470" s="10" t="inlineStr">
        <is>
          <t>C3552</t>
        </is>
      </c>
      <c r="B470" s="10" t="n">
        <v>2526413</v>
      </c>
      <c r="C470" s="10" t="n">
        <v>12</v>
      </c>
      <c r="D470" s="10" t="n">
        <v>312</v>
      </c>
      <c r="E470" s="10" t="n">
        <v>35</v>
      </c>
    </row>
    <row r="471">
      <c r="A471" s="10" t="inlineStr">
        <is>
          <t>C3205</t>
        </is>
      </c>
      <c r="B471" s="10" t="n">
        <v>3548455</v>
      </c>
      <c r="C471" s="10" t="n">
        <v>27</v>
      </c>
      <c r="D471" s="10" t="n">
        <v>479</v>
      </c>
      <c r="E471" s="10" t="n">
        <v>13</v>
      </c>
    </row>
    <row r="472">
      <c r="A472" s="10" t="inlineStr">
        <is>
          <t>C3794</t>
        </is>
      </c>
      <c r="B472" s="10" t="n">
        <v>724221</v>
      </c>
      <c r="C472" s="10" t="n">
        <v>7</v>
      </c>
      <c r="D472" s="10" t="n">
        <v>150</v>
      </c>
      <c r="E472" s="10" t="inlineStr">
        <is>
          <t>135 days</t>
        </is>
      </c>
    </row>
    <row r="473">
      <c r="A473" s="10" t="inlineStr">
        <is>
          <t>C3537</t>
        </is>
      </c>
      <c r="B473" s="10" t="n">
        <v>783360</v>
      </c>
      <c r="C473" s="10" t="n">
        <v>4</v>
      </c>
      <c r="D473" s="10" t="n">
        <v>64</v>
      </c>
      <c r="E473" s="10" t="n">
        <v>66</v>
      </c>
    </row>
    <row r="474">
      <c r="A474" s="10" t="inlineStr">
        <is>
          <t>C3238</t>
        </is>
      </c>
      <c r="B474" s="10" t="inlineStr">
        <is>
          <t>Rp 921.898</t>
        </is>
      </c>
      <c r="C474" s="10" t="n">
        <v>4</v>
      </c>
      <c r="D474" s="10" t="n">
        <v>375</v>
      </c>
      <c r="E474" s="10" t="n">
        <v>64</v>
      </c>
    </row>
    <row r="475">
      <c r="A475" s="10" t="inlineStr">
        <is>
          <t>C3397</t>
        </is>
      </c>
      <c r="B475" s="10" t="n">
        <v>1062698</v>
      </c>
      <c r="C475" s="10" t="n">
        <v>2</v>
      </c>
      <c r="D475" s="10" t="n">
        <v>5</v>
      </c>
      <c r="E475" s="10" t="inlineStr">
        <is>
          <t>25 days</t>
        </is>
      </c>
    </row>
    <row r="476">
      <c r="A476" s="10" t="inlineStr">
        <is>
          <t>C3107</t>
        </is>
      </c>
      <c r="B476" s="10" t="n">
        <v>3554669</v>
      </c>
      <c r="C476" s="10" t="n">
        <v>15</v>
      </c>
      <c r="D476" s="10" t="n">
        <v>273</v>
      </c>
      <c r="E476" s="10" t="n">
        <v>29</v>
      </c>
    </row>
    <row r="477">
      <c r="A477" s="10" t="inlineStr">
        <is>
          <t>C3209</t>
        </is>
      </c>
      <c r="B477" s="10" t="n">
        <v>1656038</v>
      </c>
      <c r="C477" s="10" t="n">
        <v>6</v>
      </c>
      <c r="D477" s="10" t="n">
        <v>68</v>
      </c>
      <c r="E477" s="10" t="n">
        <v>29</v>
      </c>
    </row>
    <row r="478">
      <c r="A478" s="10" t="inlineStr">
        <is>
          <t>C3807</t>
        </is>
      </c>
      <c r="B478" s="10" t="inlineStr">
        <is>
          <t>Rp 2.661.256</t>
        </is>
      </c>
      <c r="C478" s="10" t="n">
        <v>14</v>
      </c>
      <c r="D478" s="10" t="n">
        <v>186</v>
      </c>
      <c r="E478" s="10" t="n">
        <v>1</v>
      </c>
    </row>
    <row r="479">
      <c r="A479" s="10" t="inlineStr">
        <is>
          <t>C3061</t>
        </is>
      </c>
      <c r="B479" s="10" t="n">
        <v>1093269</v>
      </c>
      <c r="C479" s="10" t="n">
        <v>10</v>
      </c>
      <c r="D479" s="10" t="n">
        <v>468</v>
      </c>
      <c r="E479" s="10" t="n">
        <v>33</v>
      </c>
    </row>
    <row r="480">
      <c r="A480" s="10" t="inlineStr">
        <is>
          <t>C3506</t>
        </is>
      </c>
      <c r="B480" s="10" t="inlineStr">
        <is>
          <t>Rp 11.637.924</t>
        </is>
      </c>
      <c r="C480" s="10" t="n">
        <v>23</v>
      </c>
      <c r="D480" s="10" t="n">
        <v>618</v>
      </c>
      <c r="E480" s="10" t="n">
        <v>1</v>
      </c>
    </row>
    <row r="481">
      <c r="A481" s="10" t="inlineStr">
        <is>
          <t>C3380</t>
        </is>
      </c>
      <c r="B481" s="10" t="n">
        <v>7357422</v>
      </c>
      <c r="C481" s="10" t="n">
        <v>22</v>
      </c>
      <c r="D481" s="10" t="n">
        <v>399</v>
      </c>
      <c r="E481" s="10" t="n">
        <v>8</v>
      </c>
    </row>
    <row r="482">
      <c r="A482" s="10" t="inlineStr">
        <is>
          <t>C3196</t>
        </is>
      </c>
      <c r="B482" s="10" t="n">
        <v>811754</v>
      </c>
      <c r="C482" s="10" t="n">
        <v>1</v>
      </c>
      <c r="D482" s="10" t="n">
        <v>336</v>
      </c>
      <c r="E482" s="10" t="inlineStr">
        <is>
          <t>37 days</t>
        </is>
      </c>
    </row>
    <row r="483">
      <c r="A483" s="10" t="inlineStr">
        <is>
          <t>C3681</t>
        </is>
      </c>
      <c r="B483" s="10" t="inlineStr">
        <is>
          <t>Rp 0</t>
        </is>
      </c>
      <c r="C483" s="10" t="n">
        <v>6</v>
      </c>
      <c r="D483" s="10" t="n">
        <v>46</v>
      </c>
      <c r="E483" s="10" t="n">
        <v>5</v>
      </c>
    </row>
    <row r="484">
      <c r="A484" s="10" t="inlineStr">
        <is>
          <t>C3081</t>
        </is>
      </c>
      <c r="B484" s="10" t="n">
        <v>1455012</v>
      </c>
      <c r="C484" s="10" t="n">
        <v>3</v>
      </c>
      <c r="D484" s="10" t="n">
        <v>507</v>
      </c>
      <c r="E484" s="10" t="n">
        <v>88</v>
      </c>
    </row>
    <row r="485">
      <c r="A485" s="10" t="inlineStr">
        <is>
          <t>C3919</t>
        </is>
      </c>
      <c r="B485" s="10" t="inlineStr">
        <is>
          <t>Rp 4.666.325</t>
        </is>
      </c>
      <c r="C485" s="10" t="n">
        <v>14</v>
      </c>
      <c r="D485" s="10" t="n">
        <v>383</v>
      </c>
      <c r="E485" s="10" t="n">
        <v>9</v>
      </c>
    </row>
    <row r="486">
      <c r="A486" s="10" t="inlineStr">
        <is>
          <t>C3592</t>
        </is>
      </c>
      <c r="B486" s="10" t="n">
        <v>3765124</v>
      </c>
      <c r="C486" s="10" t="n">
        <v>21</v>
      </c>
      <c r="D486" s="10" t="n">
        <v>572</v>
      </c>
      <c r="E486" s="10" t="inlineStr">
        <is>
          <t>44 days</t>
        </is>
      </c>
    </row>
    <row r="487">
      <c r="A487" s="10" t="inlineStr">
        <is>
          <t>C3724</t>
        </is>
      </c>
      <c r="B487" s="10" t="inlineStr">
        <is>
          <t>Rp 2.613.772</t>
        </is>
      </c>
      <c r="C487" s="10" t="n">
        <v>14</v>
      </c>
      <c r="D487" s="10" t="n">
        <v>369</v>
      </c>
      <c r="E487" s="10" t="n">
        <v>15</v>
      </c>
    </row>
    <row r="488">
      <c r="A488" s="10" t="inlineStr">
        <is>
          <t>C3419</t>
        </is>
      </c>
      <c r="B488" s="10" t="n">
        <v>591171</v>
      </c>
      <c r="C488" s="10" t="n">
        <v>4</v>
      </c>
      <c r="D488" s="10" t="n">
        <v>174</v>
      </c>
      <c r="E488" s="10" t="n">
        <v>199</v>
      </c>
    </row>
    <row r="489">
      <c r="A489" s="10" t="inlineStr">
        <is>
          <t>C3150</t>
        </is>
      </c>
      <c r="B489" s="10" t="n">
        <v>1029381</v>
      </c>
      <c r="C489" s="10" t="n">
        <v>3</v>
      </c>
      <c r="D489" s="10" t="n">
        <v>364</v>
      </c>
      <c r="E489" s="10" t="n">
        <v>16</v>
      </c>
    </row>
    <row r="490">
      <c r="A490" s="10" t="inlineStr">
        <is>
          <t>C3009</t>
        </is>
      </c>
      <c r="B490" s="10" t="n">
        <v>6249343</v>
      </c>
      <c r="C490" s="10" t="n">
        <v>29</v>
      </c>
      <c r="D490" s="10" t="n">
        <v>468</v>
      </c>
      <c r="E490" s="10" t="inlineStr">
        <is>
          <t>23 days</t>
        </is>
      </c>
    </row>
    <row r="491">
      <c r="A491" s="10" t="inlineStr">
        <is>
          <t>C3007</t>
        </is>
      </c>
      <c r="B491" s="10" t="n">
        <v>690781</v>
      </c>
      <c r="C491" s="10" t="n">
        <v>3</v>
      </c>
      <c r="D491" s="10" t="n">
        <v>327</v>
      </c>
      <c r="E491" s="10" t="n">
        <v>80</v>
      </c>
    </row>
    <row r="492">
      <c r="A492" s="10" t="inlineStr">
        <is>
          <t>C4089</t>
        </is>
      </c>
      <c r="B492" s="10" t="inlineStr">
        <is>
          <t>Rp 1.679.058</t>
        </is>
      </c>
      <c r="C492" s="10" t="n">
        <v>2</v>
      </c>
      <c r="D492" s="10" t="n">
        <v>78</v>
      </c>
      <c r="E492" s="10" t="inlineStr">
        <is>
          <t>21 days</t>
        </is>
      </c>
    </row>
    <row r="493">
      <c r="A493" s="10" t="inlineStr">
        <is>
          <t>C3762</t>
        </is>
      </c>
      <c r="B493" s="10" t="n">
        <v>1418036</v>
      </c>
      <c r="C493" s="10" t="n">
        <v>2</v>
      </c>
      <c r="D493" s="10" t="n">
        <v>28</v>
      </c>
      <c r="E493" s="10" t="n">
        <v>7</v>
      </c>
    </row>
    <row r="494">
      <c r="A494" s="10" t="inlineStr">
        <is>
          <t>C3034</t>
        </is>
      </c>
      <c r="B494" s="10" t="inlineStr">
        <is>
          <t>Rp 3.575.459</t>
        </is>
      </c>
      <c r="C494" s="10" t="n">
        <v>18</v>
      </c>
      <c r="D494" s="10" t="n">
        <v>311</v>
      </c>
      <c r="E494" s="10" t="n">
        <v>18</v>
      </c>
    </row>
    <row r="495">
      <c r="A495" s="10" t="inlineStr">
        <is>
          <t>C3066</t>
        </is>
      </c>
      <c r="B495" s="10" t="n">
        <v>420518</v>
      </c>
      <c r="C495" s="10" t="n">
        <v>3</v>
      </c>
      <c r="D495" s="10" t="n">
        <v>164</v>
      </c>
      <c r="E495" s="10" t="n">
        <v>80</v>
      </c>
    </row>
    <row r="496">
      <c r="A496" s="10" t="inlineStr">
        <is>
          <t>C3296</t>
        </is>
      </c>
      <c r="B496" s="10" t="inlineStr">
        <is>
          <t>Rp 978.479</t>
        </is>
      </c>
      <c r="C496" s="10" t="n"/>
      <c r="D496" s="10" t="n">
        <v>166</v>
      </c>
      <c r="E496" s="10" t="n">
        <v>19</v>
      </c>
    </row>
    <row r="497">
      <c r="A497" s="10" t="inlineStr">
        <is>
          <t>C3390</t>
        </is>
      </c>
      <c r="B497" s="10" t="n">
        <v>6109303</v>
      </c>
      <c r="C497" s="10" t="n">
        <v>19</v>
      </c>
      <c r="D497" s="10" t="n">
        <v>497</v>
      </c>
      <c r="E497" s="10" t="n">
        <v>31</v>
      </c>
    </row>
    <row r="498">
      <c r="A498" s="10" t="inlineStr">
        <is>
          <t>C3463</t>
        </is>
      </c>
      <c r="B498" s="10" t="inlineStr">
        <is>
          <t>Rp 1.336.783</t>
        </is>
      </c>
      <c r="C498" s="10" t="n">
        <v>3</v>
      </c>
      <c r="D498" s="10" t="n">
        <v>528</v>
      </c>
      <c r="E498" s="10" t="n">
        <v>1</v>
      </c>
    </row>
    <row r="499">
      <c r="A499" s="10" t="inlineStr">
        <is>
          <t>C3922</t>
        </is>
      </c>
      <c r="B499" s="10" t="n">
        <v>1017806</v>
      </c>
      <c r="C499" s="10" t="n">
        <v>1</v>
      </c>
      <c r="D499" s="10" t="n">
        <v>104</v>
      </c>
      <c r="E499" s="10" t="n">
        <v>1</v>
      </c>
    </row>
    <row r="500">
      <c r="A500" s="10" t="inlineStr">
        <is>
          <t>C3005</t>
        </is>
      </c>
      <c r="B500" s="10" t="inlineStr">
        <is>
          <t>Rp 3.007.561</t>
        </is>
      </c>
      <c r="C500" s="10" t="n">
        <v>10</v>
      </c>
      <c r="D500" s="10" t="n">
        <v>441</v>
      </c>
      <c r="E500" s="10" t="n">
        <v>12</v>
      </c>
    </row>
    <row r="501">
      <c r="A501" s="10" t="inlineStr">
        <is>
          <t>C3223</t>
        </is>
      </c>
      <c r="B501" s="10" t="n">
        <v>935434</v>
      </c>
      <c r="C501" s="10" t="n">
        <v>3</v>
      </c>
      <c r="D501" s="10" t="n">
        <v>323</v>
      </c>
      <c r="E501" s="10" t="inlineStr">
        <is>
          <t>63 days</t>
        </is>
      </c>
    </row>
    <row r="502">
      <c r="A502" s="10" t="inlineStr">
        <is>
          <t>C3345</t>
        </is>
      </c>
      <c r="B502" s="10" t="n">
        <v>3340365</v>
      </c>
      <c r="C502" s="10" t="n">
        <v>15</v>
      </c>
      <c r="D502" s="10" t="n">
        <v>410</v>
      </c>
      <c r="E502" s="10" t="n">
        <v>7</v>
      </c>
    </row>
    <row r="503">
      <c r="A503" s="10" t="inlineStr">
        <is>
          <t>C3595</t>
        </is>
      </c>
      <c r="B503" s="10" t="inlineStr">
        <is>
          <t>Rp 4.494.515</t>
        </is>
      </c>
      <c r="C503" s="10" t="n">
        <v>4</v>
      </c>
      <c r="D503" s="10" t="n">
        <v>274</v>
      </c>
      <c r="E503" s="10" t="inlineStr">
        <is>
          <t>29 days</t>
        </is>
      </c>
    </row>
    <row r="504">
      <c r="A504" s="10" t="inlineStr">
        <is>
          <t>C3290</t>
        </is>
      </c>
      <c r="B504" s="10" t="n">
        <v>1583571</v>
      </c>
      <c r="C504" s="10" t="n">
        <v>2</v>
      </c>
      <c r="D504" s="10" t="n">
        <v>112</v>
      </c>
      <c r="E504" s="10" t="n">
        <v>19</v>
      </c>
    </row>
    <row r="505">
      <c r="A505" s="10" t="inlineStr">
        <is>
          <t>C3685</t>
        </is>
      </c>
      <c r="B505" s="10" t="n">
        <v>1177390</v>
      </c>
      <c r="C505" s="10" t="n">
        <v>3</v>
      </c>
      <c r="D505" s="10" t="n">
        <v>369</v>
      </c>
      <c r="E505" s="10" t="n">
        <v>59</v>
      </c>
    </row>
    <row r="506">
      <c r="A506" s="10" t="inlineStr">
        <is>
          <t>C3673</t>
        </is>
      </c>
      <c r="B506" s="10" t="inlineStr">
        <is>
          <t>Rp 3.449.042</t>
        </is>
      </c>
      <c r="C506" s="10" t="n"/>
      <c r="D506" s="10" t="n">
        <v>368</v>
      </c>
      <c r="E506" s="10" t="n">
        <v>24</v>
      </c>
    </row>
    <row r="507">
      <c r="A507" s="10" t="inlineStr">
        <is>
          <t>C3564</t>
        </is>
      </c>
      <c r="B507" s="10" t="n">
        <v>805139</v>
      </c>
      <c r="C507" s="10" t="n">
        <v>1</v>
      </c>
      <c r="D507" s="10" t="n">
        <v>223</v>
      </c>
      <c r="E507" s="10" t="n">
        <v>95</v>
      </c>
    </row>
    <row r="508">
      <c r="A508" s="10" t="inlineStr">
        <is>
          <t>C3701</t>
        </is>
      </c>
      <c r="B508" s="10" t="n">
        <v>525728</v>
      </c>
      <c r="C508" s="10" t="n">
        <v>2</v>
      </c>
      <c r="D508" s="10" t="n">
        <v>5</v>
      </c>
      <c r="E508" s="10" t="n">
        <v>27</v>
      </c>
    </row>
    <row r="509">
      <c r="A509" s="10" t="inlineStr">
        <is>
          <t>C3447</t>
        </is>
      </c>
      <c r="B509" s="10" t="n">
        <v>1787307</v>
      </c>
      <c r="C509" s="10" t="n">
        <v>2</v>
      </c>
      <c r="D509" s="10" t="n">
        <v>130</v>
      </c>
      <c r="E509" s="10" t="n">
        <v>21</v>
      </c>
    </row>
    <row r="510">
      <c r="A510" s="10" t="inlineStr">
        <is>
          <t>C3524</t>
        </is>
      </c>
      <c r="B510" s="10" t="n">
        <v>2765772</v>
      </c>
      <c r="C510" s="10" t="n">
        <v>17</v>
      </c>
      <c r="D510" s="10" t="n">
        <v>321</v>
      </c>
      <c r="E510" s="10" t="n">
        <v>39</v>
      </c>
    </row>
    <row r="511">
      <c r="A511" s="10" t="inlineStr">
        <is>
          <t>C3285</t>
        </is>
      </c>
      <c r="B511" s="10" t="n">
        <v>4232665</v>
      </c>
      <c r="C511" s="10" t="n">
        <v>23</v>
      </c>
      <c r="D511" s="10" t="n">
        <v>402</v>
      </c>
      <c r="E511" s="10" t="n">
        <v>19</v>
      </c>
    </row>
    <row r="512">
      <c r="A512" s="10" t="inlineStr">
        <is>
          <t>C3770</t>
        </is>
      </c>
      <c r="B512" s="10" t="n">
        <v>756579</v>
      </c>
      <c r="C512" s="10" t="n">
        <v>2</v>
      </c>
      <c r="D512" s="10" t="n">
        <v>191</v>
      </c>
      <c r="E512" s="10" t="n">
        <v>116</v>
      </c>
    </row>
    <row r="513">
      <c r="A513" s="10" t="inlineStr">
        <is>
          <t>C4078</t>
        </is>
      </c>
      <c r="B513" s="10" t="n">
        <v>1460351</v>
      </c>
      <c r="C513" s="10" t="n">
        <v>2</v>
      </c>
      <c r="D513" s="10" t="n">
        <v>263</v>
      </c>
      <c r="E513" s="10" t="n">
        <v>54</v>
      </c>
    </row>
    <row r="514">
      <c r="A514" s="10" t="inlineStr">
        <is>
          <t>C3682</t>
        </is>
      </c>
      <c r="B514" s="10" t="n">
        <v>665113</v>
      </c>
      <c r="C514" s="10" t="n">
        <v>4</v>
      </c>
      <c r="D514" s="10" t="n">
        <v>110</v>
      </c>
      <c r="E514" s="10" t="inlineStr">
        <is>
          <t>80 days</t>
        </is>
      </c>
    </row>
    <row r="515">
      <c r="A515" s="10" t="inlineStr">
        <is>
          <t>C3923</t>
        </is>
      </c>
      <c r="B515" s="10" t="inlineStr">
        <is>
          <t>Rp 4.410.399</t>
        </is>
      </c>
      <c r="C515" s="10" t="n">
        <v>11</v>
      </c>
      <c r="D515" s="10" t="n">
        <v>266</v>
      </c>
      <c r="E515" s="10" t="n">
        <v>28</v>
      </c>
    </row>
    <row r="516">
      <c r="A516" s="10" t="inlineStr">
        <is>
          <t>C4069</t>
        </is>
      </c>
      <c r="B516" s="10" t="n">
        <v>8481313</v>
      </c>
      <c r="C516" s="10" t="n">
        <v>27</v>
      </c>
      <c r="D516" s="10" t="n">
        <v>540</v>
      </c>
      <c r="E516" s="10" t="n">
        <v>17</v>
      </c>
    </row>
    <row r="517">
      <c r="A517" s="10" t="inlineStr">
        <is>
          <t>C3997</t>
        </is>
      </c>
      <c r="B517" s="10" t="n">
        <v>1595638</v>
      </c>
      <c r="C517" s="10" t="n">
        <v>3</v>
      </c>
      <c r="D517" s="10" t="n">
        <v>85</v>
      </c>
      <c r="E517" s="10" t="n">
        <v>22</v>
      </c>
    </row>
    <row r="518">
      <c r="A518" s="10" t="inlineStr">
        <is>
          <t>C3156</t>
        </is>
      </c>
      <c r="B518" s="10" t="n">
        <v>1262143</v>
      </c>
      <c r="C518" s="10" t="n">
        <v>1</v>
      </c>
      <c r="D518" s="10" t="n">
        <v>72</v>
      </c>
      <c r="E518" s="10" t="inlineStr">
        <is>
          <t>22 days</t>
        </is>
      </c>
    </row>
    <row r="519">
      <c r="A519" s="10" t="inlineStr">
        <is>
          <t>C3388</t>
        </is>
      </c>
      <c r="B519" s="10" t="n">
        <v>571555</v>
      </c>
      <c r="C519" s="10" t="n">
        <v>8</v>
      </c>
      <c r="D519" s="10" t="n">
        <v>63</v>
      </c>
      <c r="E519" s="10" t="n">
        <v>23</v>
      </c>
    </row>
    <row r="520">
      <c r="A520" s="10" t="inlineStr">
        <is>
          <t>C3382</t>
        </is>
      </c>
      <c r="B520" s="10" t="inlineStr">
        <is>
          <t>Rp 1.349.820</t>
        </is>
      </c>
      <c r="C520" s="10" t="n">
        <v>4</v>
      </c>
      <c r="D520" s="10" t="n">
        <v>387</v>
      </c>
      <c r="E520" s="10" t="n">
        <v>86</v>
      </c>
    </row>
    <row r="521">
      <c r="A521" s="10" t="inlineStr">
        <is>
          <t>C3754</t>
        </is>
      </c>
      <c r="B521" s="10" t="n">
        <v>784620</v>
      </c>
      <c r="C521" s="10" t="n">
        <v>4</v>
      </c>
      <c r="D521" s="10" t="n">
        <v>252</v>
      </c>
      <c r="E521" s="10" t="n">
        <v>46</v>
      </c>
    </row>
    <row r="522">
      <c r="A522" s="10" t="inlineStr">
        <is>
          <t>C3122</t>
        </is>
      </c>
      <c r="B522" s="10" t="n">
        <v>3350285</v>
      </c>
      <c r="C522" s="10" t="n">
        <v>13</v>
      </c>
      <c r="D522" s="10" t="n">
        <v>483</v>
      </c>
      <c r="E522" s="10" t="n">
        <v>8</v>
      </c>
    </row>
    <row r="523">
      <c r="A523" s="10" t="inlineStr">
        <is>
          <t>C3644</t>
        </is>
      </c>
      <c r="B523" s="10" t="n">
        <v>9143271</v>
      </c>
      <c r="C523" s="10" t="n">
        <v>20</v>
      </c>
      <c r="D523" s="10" t="n">
        <v>559</v>
      </c>
      <c r="E523" s="10" t="n">
        <v>11</v>
      </c>
    </row>
    <row r="524">
      <c r="A524" s="10" t="inlineStr">
        <is>
          <t>C3402</t>
        </is>
      </c>
      <c r="B524" s="10" t="n">
        <v>3620634</v>
      </c>
      <c r="C524" s="10" t="n">
        <v>13</v>
      </c>
      <c r="D524" s="10" t="n">
        <v>333</v>
      </c>
      <c r="E524" s="10" t="n">
        <v>22</v>
      </c>
    </row>
    <row r="525">
      <c r="A525" s="10" t="inlineStr">
        <is>
          <t>C3348</t>
        </is>
      </c>
      <c r="B525" s="10" t="inlineStr">
        <is>
          <t>Rp 7.626.903</t>
        </is>
      </c>
      <c r="C525" s="10" t="n">
        <v>17</v>
      </c>
      <c r="D525" s="10" t="n">
        <v>700</v>
      </c>
      <c r="E525" s="10" t="n">
        <v>3</v>
      </c>
    </row>
    <row r="526">
      <c r="A526" s="10" t="inlineStr">
        <is>
          <t>C3006</t>
        </is>
      </c>
      <c r="B526" s="10" t="n">
        <v>1191792</v>
      </c>
      <c r="C526" s="10" t="n">
        <v>4</v>
      </c>
      <c r="D526" s="10" t="n">
        <v>295</v>
      </c>
      <c r="E526" s="10" t="n">
        <v>133</v>
      </c>
    </row>
    <row r="527">
      <c r="A527" s="10" t="inlineStr">
        <is>
          <t>C3070</t>
        </is>
      </c>
      <c r="B527" s="10" t="n">
        <v>2000458</v>
      </c>
      <c r="C527" s="10" t="n">
        <v>2</v>
      </c>
      <c r="D527" s="10" t="n">
        <v>38</v>
      </c>
      <c r="E527" s="10" t="inlineStr">
        <is>
          <t>25 days</t>
        </is>
      </c>
    </row>
    <row r="528">
      <c r="A528" s="10" t="inlineStr">
        <is>
          <t>C3663</t>
        </is>
      </c>
      <c r="B528" s="10" t="n">
        <v>0</v>
      </c>
      <c r="C528" s="10" t="n">
        <v>6</v>
      </c>
      <c r="D528" s="10" t="n">
        <v>6</v>
      </c>
      <c r="E528" s="10" t="n">
        <v>20</v>
      </c>
    </row>
    <row r="529">
      <c r="A529" s="10" t="inlineStr">
        <is>
          <t>C3121</t>
        </is>
      </c>
      <c r="B529" s="10" t="n">
        <v>979151</v>
      </c>
      <c r="C529" s="10" t="n">
        <v>1</v>
      </c>
      <c r="D529" s="10" t="n">
        <v>343</v>
      </c>
      <c r="E529" s="10" t="n">
        <v>101</v>
      </c>
    </row>
    <row r="530">
      <c r="A530" s="10" t="inlineStr">
        <is>
          <t>C3851</t>
        </is>
      </c>
      <c r="B530" s="10" t="n">
        <v>475383</v>
      </c>
      <c r="C530" s="10" t="n">
        <v>5</v>
      </c>
      <c r="D530" s="10" t="n">
        <v>469</v>
      </c>
      <c r="E530" s="10" t="n">
        <v>58</v>
      </c>
    </row>
    <row r="531">
      <c r="A531" s="10" t="inlineStr">
        <is>
          <t>C3193</t>
        </is>
      </c>
      <c r="B531" s="10" t="n">
        <v>5223940</v>
      </c>
      <c r="C531" s="10" t="n">
        <v>17</v>
      </c>
      <c r="D531" s="10" t="n">
        <v>691</v>
      </c>
      <c r="E531" s="10" t="n">
        <v>52</v>
      </c>
    </row>
    <row r="532">
      <c r="A532" s="10" t="inlineStr">
        <is>
          <t>C3213</t>
        </is>
      </c>
      <c r="B532" s="10" t="n">
        <v>720912</v>
      </c>
      <c r="C532" s="10" t="n">
        <v>2</v>
      </c>
      <c r="D532" s="10" t="n">
        <v>485</v>
      </c>
      <c r="E532" s="10" t="n">
        <v>79</v>
      </c>
    </row>
    <row r="533">
      <c r="A533" s="10" t="inlineStr">
        <is>
          <t>C3575</t>
        </is>
      </c>
      <c r="B533" s="10" t="n">
        <v>4957963</v>
      </c>
      <c r="C533" s="10" t="n">
        <v>10</v>
      </c>
      <c r="D533" s="10" t="n">
        <v>491</v>
      </c>
      <c r="E533" s="10" t="inlineStr">
        <is>
          <t>1 days</t>
        </is>
      </c>
    </row>
    <row r="534">
      <c r="A534" s="10" t="inlineStr">
        <is>
          <t>C3093</t>
        </is>
      </c>
      <c r="B534" s="10" t="n">
        <v>787938</v>
      </c>
      <c r="C534" s="10" t="n">
        <v>5</v>
      </c>
      <c r="D534" s="10" t="n">
        <v>307</v>
      </c>
      <c r="E534" s="10" t="inlineStr">
        <is>
          <t>65 days</t>
        </is>
      </c>
    </row>
    <row r="535">
      <c r="A535" s="10" t="inlineStr">
        <is>
          <t>C3640</t>
        </is>
      </c>
      <c r="B535" s="10" t="inlineStr">
        <is>
          <t>Rp 1.172.139</t>
        </is>
      </c>
      <c r="C535" s="10" t="n">
        <v>4</v>
      </c>
      <c r="D535" s="10" t="n">
        <v>5</v>
      </c>
      <c r="E535" s="10" t="n">
        <v>45</v>
      </c>
    </row>
    <row r="536">
      <c r="A536" s="10" t="inlineStr">
        <is>
          <t>C3908</t>
        </is>
      </c>
      <c r="B536" s="10" t="n">
        <v>1376520</v>
      </c>
      <c r="C536" s="10" t="n">
        <v>4</v>
      </c>
      <c r="D536" s="10" t="n">
        <v>134</v>
      </c>
      <c r="E536" s="10" t="inlineStr">
        <is>
          <t>78 days</t>
        </is>
      </c>
    </row>
    <row r="537">
      <c r="A537" s="10" t="inlineStr">
        <is>
          <t>C3375</t>
        </is>
      </c>
      <c r="B537" s="10" t="n">
        <v>617753</v>
      </c>
      <c r="C537" s="10" t="n">
        <v>2</v>
      </c>
      <c r="D537" s="10" t="n">
        <v>124</v>
      </c>
      <c r="E537" s="10" t="n">
        <v>35</v>
      </c>
    </row>
    <row r="538">
      <c r="A538" s="10" t="inlineStr">
        <is>
          <t>C3791</t>
        </is>
      </c>
      <c r="B538" s="10" t="inlineStr">
        <is>
          <t>Rp 239.522</t>
        </is>
      </c>
      <c r="C538" s="10" t="n">
        <v>6</v>
      </c>
      <c r="D538" s="10" t="n">
        <v>380</v>
      </c>
      <c r="E538" s="10" t="n">
        <v>79</v>
      </c>
    </row>
    <row r="539">
      <c r="A539" s="10" t="inlineStr">
        <is>
          <t>C3292</t>
        </is>
      </c>
      <c r="B539" s="10" t="n">
        <v>1105115</v>
      </c>
      <c r="C539" s="10" t="n">
        <v>5</v>
      </c>
      <c r="D539" s="10" t="n">
        <v>46</v>
      </c>
      <c r="E539" s="10" t="n">
        <v>23</v>
      </c>
    </row>
    <row r="540">
      <c r="A540" s="10" t="inlineStr">
        <is>
          <t>C3146</t>
        </is>
      </c>
      <c r="B540" s="10" t="n">
        <v>4157523</v>
      </c>
      <c r="C540" s="10" t="n">
        <v>18</v>
      </c>
      <c r="D540" s="10" t="n">
        <v>523</v>
      </c>
      <c r="E540" s="10" t="inlineStr">
        <is>
          <t>35 days</t>
        </is>
      </c>
    </row>
    <row r="541">
      <c r="A541" s="10" t="inlineStr">
        <is>
          <t>C3410</t>
        </is>
      </c>
      <c r="B541" s="10" t="inlineStr">
        <is>
          <t>Rp 2.333.166</t>
        </is>
      </c>
      <c r="C541" s="10" t="n">
        <v>15</v>
      </c>
      <c r="D541" s="10" t="n">
        <v>460</v>
      </c>
      <c r="E541" s="10" t="n">
        <v>27</v>
      </c>
    </row>
    <row r="542">
      <c r="A542" s="10" t="inlineStr">
        <is>
          <t>C3533</t>
        </is>
      </c>
      <c r="B542" s="10" t="inlineStr">
        <is>
          <t>Rp 426.999</t>
        </is>
      </c>
      <c r="C542" s="10" t="n">
        <v>5</v>
      </c>
      <c r="D542" s="10" t="n">
        <v>181</v>
      </c>
      <c r="E542" s="10" t="n">
        <v>114</v>
      </c>
    </row>
    <row r="543">
      <c r="A543" s="10" t="inlineStr">
        <is>
          <t>C3228</t>
        </is>
      </c>
      <c r="B543" s="10" t="n">
        <v>1213949</v>
      </c>
      <c r="C543" s="10" t="n">
        <v>4</v>
      </c>
      <c r="D543" s="10" t="n">
        <v>56</v>
      </c>
      <c r="E543" s="10" t="n">
        <v>19</v>
      </c>
    </row>
    <row r="544">
      <c r="A544" s="10" t="inlineStr">
        <is>
          <t>C3160</t>
        </is>
      </c>
      <c r="B544" s="10" t="inlineStr">
        <is>
          <t>Rp 3.786.453</t>
        </is>
      </c>
      <c r="C544" s="10" t="n">
        <v>15</v>
      </c>
      <c r="D544" s="10" t="n">
        <v>326</v>
      </c>
      <c r="E544" s="10" t="n">
        <v>26</v>
      </c>
    </row>
    <row r="545">
      <c r="A545" s="10" t="inlineStr">
        <is>
          <t>C3272</t>
        </is>
      </c>
      <c r="B545" s="10" t="n">
        <v>3187848</v>
      </c>
      <c r="C545" s="10" t="n">
        <v>12</v>
      </c>
      <c r="D545" s="10" t="n">
        <v>459</v>
      </c>
      <c r="E545" s="10" t="n">
        <v>35</v>
      </c>
    </row>
    <row r="546">
      <c r="A546" s="10" t="inlineStr">
        <is>
          <t>C3521</t>
        </is>
      </c>
      <c r="B546" s="10" t="n">
        <v>4876621</v>
      </c>
      <c r="C546" s="10" t="n">
        <v>13</v>
      </c>
      <c r="D546" s="10" t="n">
        <v>543</v>
      </c>
      <c r="E546" s="10" t="inlineStr">
        <is>
          <t>25 days</t>
        </is>
      </c>
    </row>
    <row r="547">
      <c r="A547" s="10" t="inlineStr">
        <is>
          <t>C3590</t>
        </is>
      </c>
      <c r="B547" s="10" t="n">
        <v>725883</v>
      </c>
      <c r="C547" s="10" t="n">
        <v>1</v>
      </c>
      <c r="D547" s="10" t="n">
        <v>273</v>
      </c>
      <c r="E547" s="10" t="n">
        <v>85</v>
      </c>
    </row>
    <row r="548">
      <c r="A548" s="10" t="inlineStr">
        <is>
          <t>C3448</t>
        </is>
      </c>
      <c r="B548" s="10" t="n">
        <v>1006890</v>
      </c>
      <c r="C548" s="10" t="n">
        <v>2</v>
      </c>
      <c r="D548" s="10" t="n">
        <v>519</v>
      </c>
      <c r="E548" s="10" t="n">
        <v>93</v>
      </c>
    </row>
    <row r="549">
      <c r="A549" s="10" t="inlineStr">
        <is>
          <t>C3436</t>
        </is>
      </c>
      <c r="B549" s="10" t="n">
        <v>357667</v>
      </c>
      <c r="C549" s="10" t="n">
        <v>8</v>
      </c>
      <c r="D549" s="10" t="n">
        <v>530</v>
      </c>
      <c r="E549" s="10" t="n">
        <v>95</v>
      </c>
    </row>
    <row r="550">
      <c r="A550" s="10" t="inlineStr">
        <is>
          <t>C3080</t>
        </is>
      </c>
      <c r="B550" s="10" t="n">
        <v>2973755</v>
      </c>
      <c r="C550" s="10" t="n">
        <v>20</v>
      </c>
      <c r="D550" s="10" t="n">
        <v>459</v>
      </c>
      <c r="E550" s="10" t="n">
        <v>37</v>
      </c>
    </row>
    <row r="551">
      <c r="A551" s="10" t="inlineStr">
        <is>
          <t>C3042</t>
        </is>
      </c>
      <c r="B551" s="10" t="n">
        <v>4112916</v>
      </c>
      <c r="C551" s="10" t="n">
        <v>12</v>
      </c>
      <c r="D551" s="10" t="n">
        <v>460</v>
      </c>
      <c r="E551" s="10" t="n">
        <v>29</v>
      </c>
    </row>
    <row r="552">
      <c r="A552" s="10" t="inlineStr">
        <is>
          <t>C3871</t>
        </is>
      </c>
      <c r="B552" s="10" t="n">
        <v>660912</v>
      </c>
      <c r="C552" s="10" t="n">
        <v>1</v>
      </c>
      <c r="D552" s="10" t="n">
        <v>471</v>
      </c>
      <c r="E552" s="10" t="n">
        <v>26</v>
      </c>
    </row>
    <row r="553">
      <c r="A553" s="10" t="inlineStr">
        <is>
          <t>C3699</t>
        </is>
      </c>
      <c r="B553" s="10" t="n">
        <v>7619435</v>
      </c>
      <c r="C553" s="10" t="n">
        <v>26</v>
      </c>
      <c r="D553" s="10" t="n">
        <v>699</v>
      </c>
      <c r="E553" s="10" t="n">
        <v>25</v>
      </c>
    </row>
    <row r="554">
      <c r="A554" s="10" t="inlineStr">
        <is>
          <t>C3247</t>
        </is>
      </c>
      <c r="B554" s="10" t="n">
        <v>1701158</v>
      </c>
      <c r="C554" s="10" t="n">
        <v>4</v>
      </c>
      <c r="D554" s="10" t="n">
        <v>127</v>
      </c>
      <c r="E554" s="10" t="inlineStr">
        <is>
          <t>26 days</t>
        </is>
      </c>
    </row>
    <row r="555">
      <c r="A555" s="10" t="inlineStr">
        <is>
          <t>C3985</t>
        </is>
      </c>
      <c r="B555" s="10" t="n">
        <v>3432981</v>
      </c>
      <c r="C555" s="10" t="n">
        <v>17</v>
      </c>
      <c r="D555" s="10" t="n">
        <v>329</v>
      </c>
      <c r="E555" s="10" t="n">
        <v>31</v>
      </c>
    </row>
    <row r="556">
      <c r="A556" s="10" t="inlineStr">
        <is>
          <t>C3471</t>
        </is>
      </c>
      <c r="B556" s="10" t="inlineStr">
        <is>
          <t>Rp 353.380</t>
        </is>
      </c>
      <c r="C556" s="10" t="n">
        <v>6</v>
      </c>
      <c r="D556" s="10" t="n">
        <v>70</v>
      </c>
      <c r="E556" s="10" t="n">
        <v>18</v>
      </c>
    </row>
    <row r="557">
      <c r="A557" s="10" t="inlineStr">
        <is>
          <t>C4087</t>
        </is>
      </c>
      <c r="B557" s="10" t="n">
        <v>3695789</v>
      </c>
      <c r="C557" s="10" t="n">
        <v>19</v>
      </c>
      <c r="D557" s="10" t="n">
        <v>395</v>
      </c>
      <c r="E557" s="10" t="n">
        <v>34</v>
      </c>
    </row>
    <row r="558">
      <c r="A558" s="10" t="inlineStr">
        <is>
          <t>C3954</t>
        </is>
      </c>
      <c r="B558" s="10" t="inlineStr">
        <is>
          <t>Rp 1.327.187</t>
        </is>
      </c>
      <c r="C558" s="10" t="n">
        <v>6</v>
      </c>
      <c r="D558" s="10" t="n">
        <v>543</v>
      </c>
      <c r="E558" s="10" t="n">
        <v>136</v>
      </c>
    </row>
    <row r="559">
      <c r="A559" s="10" t="inlineStr">
        <is>
          <t>C3609</t>
        </is>
      </c>
      <c r="B559" s="10" t="n">
        <v>1431516</v>
      </c>
      <c r="C559" s="10" t="n">
        <v>3</v>
      </c>
      <c r="D559" s="10" t="n">
        <v>156</v>
      </c>
      <c r="E559" s="10" t="n">
        <v>77</v>
      </c>
    </row>
    <row r="560">
      <c r="A560" s="10" t="inlineStr">
        <is>
          <t>C3824</t>
        </is>
      </c>
      <c r="B560" s="10" t="n">
        <v>2030376</v>
      </c>
      <c r="C560" s="10" t="n">
        <v>8</v>
      </c>
      <c r="D560" s="10" t="n">
        <v>440</v>
      </c>
      <c r="E560" s="10" t="n">
        <v>11</v>
      </c>
    </row>
    <row r="561">
      <c r="A561" s="10" t="inlineStr">
        <is>
          <t>C3679</t>
        </is>
      </c>
      <c r="B561" s="10" t="n">
        <v>530847</v>
      </c>
      <c r="C561" s="10" t="n"/>
      <c r="D561" s="10" t="n">
        <v>64</v>
      </c>
      <c r="E561" s="10" t="n">
        <v>44</v>
      </c>
    </row>
    <row r="562">
      <c r="A562" s="10" t="inlineStr">
        <is>
          <t>C3529</t>
        </is>
      </c>
      <c r="B562" s="10" t="inlineStr">
        <is>
          <t>Rp 1.241.419</t>
        </is>
      </c>
      <c r="C562" s="10" t="n">
        <v>5</v>
      </c>
      <c r="D562" s="10" t="n">
        <v>114</v>
      </c>
      <c r="E562" s="10" t="n">
        <v>4</v>
      </c>
    </row>
    <row r="563">
      <c r="A563" s="10" t="inlineStr">
        <is>
          <t>C3909</t>
        </is>
      </c>
      <c r="B563" s="10" t="n">
        <v>1132964</v>
      </c>
      <c r="C563" s="10" t="n">
        <v>2</v>
      </c>
      <c r="D563" s="10" t="n">
        <v>304</v>
      </c>
      <c r="E563" s="10" t="n">
        <v>89</v>
      </c>
    </row>
    <row r="564">
      <c r="A564" s="10" t="inlineStr">
        <is>
          <t>C3342</t>
        </is>
      </c>
      <c r="B564" s="10" t="n">
        <v>1489131</v>
      </c>
      <c r="C564" s="10" t="n"/>
      <c r="D564" s="10" t="n">
        <v>35</v>
      </c>
      <c r="E564" s="10" t="n">
        <v>20</v>
      </c>
    </row>
    <row r="565">
      <c r="A565" s="10" t="inlineStr">
        <is>
          <t>C3646</t>
        </is>
      </c>
      <c r="B565" s="10" t="n">
        <v>1361138</v>
      </c>
      <c r="C565" s="10" t="n">
        <v>11</v>
      </c>
      <c r="D565" s="10" t="n">
        <v>478</v>
      </c>
      <c r="E565" s="10" t="n">
        <v>15</v>
      </c>
    </row>
    <row r="566">
      <c r="A566" s="10" t="inlineStr">
        <is>
          <t>C3338</t>
        </is>
      </c>
      <c r="B566" s="10" t="n">
        <v>0</v>
      </c>
      <c r="C566" s="10" t="n">
        <v>6</v>
      </c>
      <c r="D566" s="10" t="n">
        <v>319</v>
      </c>
      <c r="E566" s="10" t="n">
        <v>108</v>
      </c>
    </row>
    <row r="567">
      <c r="A567" s="10" t="inlineStr">
        <is>
          <t>C3962</t>
        </is>
      </c>
      <c r="B567" s="10" t="inlineStr">
        <is>
          <t>Rp 8.488.273</t>
        </is>
      </c>
      <c r="C567" s="10" t="n">
        <v>31</v>
      </c>
      <c r="D567" s="10" t="n">
        <v>628</v>
      </c>
      <c r="E567" s="10" t="n">
        <v>25</v>
      </c>
    </row>
    <row r="568">
      <c r="A568" s="10" t="inlineStr">
        <is>
          <t>C3344</t>
        </is>
      </c>
      <c r="B568" s="10" t="n">
        <v>1046614</v>
      </c>
      <c r="C568" s="10" t="n">
        <v>5</v>
      </c>
      <c r="D568" s="10" t="n">
        <v>266</v>
      </c>
      <c r="E568" s="10" t="n">
        <v>66</v>
      </c>
    </row>
    <row r="569">
      <c r="A569" s="10" t="inlineStr">
        <is>
          <t>C3766</t>
        </is>
      </c>
      <c r="B569" s="10" t="inlineStr">
        <is>
          <t>Rp 824.597</t>
        </is>
      </c>
      <c r="C569" s="10" t="n">
        <v>4</v>
      </c>
      <c r="D569" s="10" t="n">
        <v>371</v>
      </c>
      <c r="E569" s="10" t="n">
        <v>39</v>
      </c>
    </row>
    <row r="570">
      <c r="A570" s="10" t="inlineStr">
        <is>
          <t>C3239</t>
        </is>
      </c>
      <c r="B570" s="10" t="n">
        <v>863024</v>
      </c>
      <c r="C570" s="10" t="n">
        <v>2</v>
      </c>
      <c r="D570" s="10" t="n">
        <v>228</v>
      </c>
      <c r="E570" s="10" t="inlineStr">
        <is>
          <t>34 days</t>
        </is>
      </c>
    </row>
    <row r="571">
      <c r="A571" s="10" t="inlineStr">
        <is>
          <t>C3138</t>
        </is>
      </c>
      <c r="B571" s="10" t="n">
        <v>9742815</v>
      </c>
      <c r="C571" s="10" t="n">
        <v>27</v>
      </c>
      <c r="D571" s="10" t="n">
        <v>380</v>
      </c>
      <c r="E571" s="10" t="n">
        <v>19</v>
      </c>
    </row>
    <row r="572">
      <c r="A572" s="10" t="inlineStr">
        <is>
          <t>C3864</t>
        </is>
      </c>
      <c r="B572" s="10" t="n">
        <v>3584202</v>
      </c>
      <c r="C572" s="10" t="n">
        <v>23</v>
      </c>
      <c r="D572" s="10" t="n">
        <v>666</v>
      </c>
      <c r="E572" s="10" t="n">
        <v>14</v>
      </c>
    </row>
    <row r="573">
      <c r="A573" s="10" t="inlineStr">
        <is>
          <t>C3332</t>
        </is>
      </c>
      <c r="B573" s="10" t="n">
        <v>997116</v>
      </c>
      <c r="C573" s="10" t="n">
        <v>1</v>
      </c>
      <c r="D573" s="10" t="n">
        <v>26</v>
      </c>
      <c r="E573" s="10" t="n">
        <v>22</v>
      </c>
    </row>
    <row r="574">
      <c r="A574" s="10" t="inlineStr">
        <is>
          <t>C3159</t>
        </is>
      </c>
      <c r="B574" s="10" t="n">
        <v>1950818</v>
      </c>
      <c r="C574" s="10" t="n">
        <v>3</v>
      </c>
      <c r="D574" s="10" t="n">
        <v>524</v>
      </c>
      <c r="E574" s="10" t="n">
        <v>1</v>
      </c>
    </row>
    <row r="575">
      <c r="A575" s="10" t="inlineStr">
        <is>
          <t>C3254</t>
        </is>
      </c>
      <c r="B575" s="10" t="inlineStr">
        <is>
          <t>Rp 5.010.033</t>
        </is>
      </c>
      <c r="C575" s="10" t="n">
        <v>30</v>
      </c>
      <c r="D575" s="10" t="n">
        <v>627</v>
      </c>
      <c r="E575" s="10" t="n">
        <v>8</v>
      </c>
    </row>
    <row r="576">
      <c r="A576" s="10" t="inlineStr">
        <is>
          <t>C3133</t>
        </is>
      </c>
      <c r="B576" s="10" t="inlineStr">
        <is>
          <t>Rp 4.361.889</t>
        </is>
      </c>
      <c r="C576" s="10" t="n">
        <v>17</v>
      </c>
      <c r="D576" s="10" t="n">
        <v>386</v>
      </c>
      <c r="E576" s="10" t="inlineStr">
        <is>
          <t>9 days</t>
        </is>
      </c>
    </row>
    <row r="577">
      <c r="A577" s="10" t="inlineStr">
        <is>
          <t>C3379</t>
        </is>
      </c>
      <c r="B577" s="10" t="n">
        <v>4556155</v>
      </c>
      <c r="C577" s="10" t="n">
        <v>16</v>
      </c>
      <c r="D577" s="10" t="n">
        <v>323</v>
      </c>
      <c r="E577" s="10" t="n">
        <v>34</v>
      </c>
    </row>
    <row r="578">
      <c r="A578" s="10" t="inlineStr">
        <is>
          <t>C4081</t>
        </is>
      </c>
      <c r="B578" s="10" t="n">
        <v>801831</v>
      </c>
      <c r="C578" s="10" t="n">
        <v>1</v>
      </c>
      <c r="D578" s="10" t="n">
        <v>324</v>
      </c>
      <c r="E578" s="10" t="n">
        <v>110</v>
      </c>
    </row>
    <row r="579">
      <c r="A579" s="10" t="inlineStr">
        <is>
          <t>C3858</t>
        </is>
      </c>
      <c r="B579" s="10" t="inlineStr">
        <is>
          <t>Rp 3.354.205</t>
        </is>
      </c>
      <c r="C579" s="10" t="n">
        <v>14</v>
      </c>
      <c r="D579" s="10" t="n">
        <v>360</v>
      </c>
      <c r="E579" s="10" t="n">
        <v>40</v>
      </c>
    </row>
    <row r="580">
      <c r="A580" s="10" t="inlineStr">
        <is>
          <t>C3992</t>
        </is>
      </c>
      <c r="B580" s="10" t="n">
        <v>5851414</v>
      </c>
      <c r="C580" s="10" t="n">
        <v>11</v>
      </c>
      <c r="D580" s="10" t="n">
        <v>526</v>
      </c>
      <c r="E580" s="10" t="n">
        <v>18</v>
      </c>
    </row>
    <row r="581">
      <c r="A581" s="10" t="inlineStr">
        <is>
          <t>C3958</t>
        </is>
      </c>
      <c r="B581" s="10" t="n">
        <v>1146150</v>
      </c>
      <c r="C581" s="10" t="n">
        <v>4</v>
      </c>
      <c r="D581" s="10" t="n">
        <v>229</v>
      </c>
      <c r="E581" s="10" t="n">
        <v>42</v>
      </c>
    </row>
    <row r="582">
      <c r="A582" s="10" t="inlineStr">
        <is>
          <t>C3626</t>
        </is>
      </c>
      <c r="B582" s="10" t="inlineStr">
        <is>
          <t>Rp 3.242.255</t>
        </is>
      </c>
      <c r="C582" s="10" t="n">
        <v>17</v>
      </c>
      <c r="D582" s="10" t="n">
        <v>437</v>
      </c>
      <c r="E582" s="10" t="n">
        <v>40</v>
      </c>
    </row>
    <row r="583">
      <c r="A583" s="10" t="inlineStr">
        <is>
          <t>C3933</t>
        </is>
      </c>
      <c r="B583" s="10" t="inlineStr">
        <is>
          <t>Rp 1.051.644</t>
        </is>
      </c>
      <c r="C583" s="10" t="n">
        <v>5</v>
      </c>
      <c r="D583" s="10" t="n">
        <v>391</v>
      </c>
      <c r="E583" s="10" t="n">
        <v>1</v>
      </c>
    </row>
    <row r="584">
      <c r="A584" s="10" t="inlineStr">
        <is>
          <t>C3012</t>
        </is>
      </c>
      <c r="B584" s="10" t="inlineStr">
        <is>
          <t>Rp 4.150.144</t>
        </is>
      </c>
      <c r="C584" s="10" t="n">
        <v>13</v>
      </c>
      <c r="D584" s="10" t="n">
        <v>400</v>
      </c>
      <c r="E584" s="10" t="n">
        <v>26</v>
      </c>
    </row>
    <row r="585">
      <c r="A585" s="10" t="inlineStr">
        <is>
          <t>C3311</t>
        </is>
      </c>
      <c r="B585" s="10" t="n">
        <v>1502348</v>
      </c>
      <c r="C585" s="10" t="n">
        <v>7</v>
      </c>
      <c r="D585" s="10" t="n">
        <v>397</v>
      </c>
      <c r="E585" s="10" t="inlineStr">
        <is>
          <t>45 days</t>
        </is>
      </c>
    </row>
    <row r="586">
      <c r="A586" s="10" t="inlineStr">
        <is>
          <t>C3500</t>
        </is>
      </c>
      <c r="B586" s="10" t="n">
        <v>742450</v>
      </c>
      <c r="C586" s="10" t="n">
        <v>2</v>
      </c>
      <c r="D586" s="10" t="n">
        <v>353</v>
      </c>
      <c r="E586" s="10" t="n">
        <v>70</v>
      </c>
    </row>
    <row r="587">
      <c r="A587" s="10" t="inlineStr">
        <is>
          <t>C3547</t>
        </is>
      </c>
      <c r="B587" s="10" t="n">
        <v>733451</v>
      </c>
      <c r="C587" s="10" t="n">
        <v>6</v>
      </c>
      <c r="D587" s="10" t="n">
        <v>246</v>
      </c>
      <c r="E587" s="10" t="n">
        <v>80</v>
      </c>
    </row>
    <row r="588">
      <c r="A588" s="10" t="inlineStr">
        <is>
          <t>C4062</t>
        </is>
      </c>
      <c r="B588" s="10" t="n">
        <v>629845</v>
      </c>
      <c r="C588" s="10" t="n">
        <v>2</v>
      </c>
      <c r="D588" s="10" t="n">
        <v>191</v>
      </c>
      <c r="E588" s="10" t="n">
        <v>57</v>
      </c>
    </row>
    <row r="589">
      <c r="A589" s="10" t="inlineStr">
        <is>
          <t>C3852</t>
        </is>
      </c>
      <c r="B589" s="10" t="n">
        <v>1320539</v>
      </c>
      <c r="C589" s="10" t="n">
        <v>1</v>
      </c>
      <c r="D589" s="10" t="n">
        <v>550</v>
      </c>
      <c r="E589" s="10" t="n">
        <v>117</v>
      </c>
    </row>
    <row r="590">
      <c r="A590" s="10" t="inlineStr">
        <is>
          <t>C3383</t>
        </is>
      </c>
      <c r="B590" s="10" t="n">
        <v>1166223</v>
      </c>
      <c r="C590" s="10" t="n">
        <v>2</v>
      </c>
      <c r="D590" s="10" t="n">
        <v>62</v>
      </c>
      <c r="E590" s="10" t="n">
        <v>38</v>
      </c>
    </row>
    <row r="591">
      <c r="A591" s="10" t="inlineStr">
        <is>
          <t>C3674</t>
        </is>
      </c>
      <c r="B591" s="10" t="n">
        <v>197614</v>
      </c>
      <c r="C591" s="10" t="n">
        <v>1</v>
      </c>
      <c r="D591" s="10" t="n">
        <v>292</v>
      </c>
      <c r="E591" s="10" t="n">
        <v>52</v>
      </c>
    </row>
    <row r="592">
      <c r="A592" s="10" t="inlineStr">
        <is>
          <t>C3543</t>
        </is>
      </c>
      <c r="B592" s="10" t="n">
        <v>3875664</v>
      </c>
      <c r="C592" s="10" t="n">
        <v>16</v>
      </c>
      <c r="D592" s="10" t="n">
        <v>462</v>
      </c>
      <c r="E592" s="10" t="n">
        <v>38</v>
      </c>
    </row>
    <row r="593">
      <c r="A593" s="10" t="inlineStr">
        <is>
          <t>C3507</t>
        </is>
      </c>
      <c r="B593" s="10" t="n">
        <v>658576</v>
      </c>
      <c r="C593" s="10" t="n">
        <v>3</v>
      </c>
      <c r="D593" s="10" t="n">
        <v>177</v>
      </c>
      <c r="E593" s="10" t="n">
        <v>39</v>
      </c>
    </row>
    <row r="594">
      <c r="A594" s="10" t="inlineStr">
        <is>
          <t>C3755</t>
        </is>
      </c>
      <c r="B594" s="10" t="n">
        <v>3770441</v>
      </c>
      <c r="C594" s="10" t="n">
        <v>9</v>
      </c>
      <c r="D594" s="10" t="n">
        <v>439</v>
      </c>
      <c r="E594" s="10" t="n">
        <v>11</v>
      </c>
    </row>
    <row r="595">
      <c r="A595" s="10" t="inlineStr">
        <is>
          <t>C3467</t>
        </is>
      </c>
      <c r="B595" s="10" t="n">
        <v>2499348</v>
      </c>
      <c r="C595" s="10" t="n">
        <v>7</v>
      </c>
      <c r="D595" s="10" t="n">
        <v>88</v>
      </c>
      <c r="E595" s="10" t="n">
        <v>15</v>
      </c>
    </row>
    <row r="596">
      <c r="A596" s="10" t="inlineStr">
        <is>
          <t>C4053</t>
        </is>
      </c>
      <c r="B596" s="10" t="n">
        <v>583240</v>
      </c>
      <c r="C596" s="10" t="n">
        <v>6</v>
      </c>
      <c r="D596" s="10" t="n">
        <v>326</v>
      </c>
      <c r="E596" s="10" t="n">
        <v>37</v>
      </c>
    </row>
    <row r="597">
      <c r="A597" s="10" t="inlineStr">
        <is>
          <t>C3577</t>
        </is>
      </c>
      <c r="B597" s="10" t="n">
        <v>1404375</v>
      </c>
      <c r="C597" s="10" t="n">
        <v>4</v>
      </c>
      <c r="D597" s="10" t="n">
        <v>278</v>
      </c>
      <c r="E597" s="10" t="n">
        <v>72</v>
      </c>
    </row>
    <row r="598">
      <c r="A598" s="10" t="inlineStr">
        <is>
          <t>C3718</t>
        </is>
      </c>
      <c r="B598" s="10" t="n">
        <v>1293674</v>
      </c>
      <c r="C598" s="10" t="n">
        <v>6</v>
      </c>
      <c r="D598" s="10" t="n">
        <v>335</v>
      </c>
      <c r="E598" s="10" t="n">
        <v>174</v>
      </c>
    </row>
    <row r="599">
      <c r="A599" s="10" t="inlineStr">
        <is>
          <t>C3716</t>
        </is>
      </c>
      <c r="B599" s="10" t="n">
        <v>3171853</v>
      </c>
      <c r="C599" s="10" t="n">
        <v>12</v>
      </c>
      <c r="D599" s="10" t="n">
        <v>470</v>
      </c>
      <c r="E599" s="10" t="n">
        <v>28</v>
      </c>
    </row>
    <row r="600">
      <c r="A600" s="10" t="inlineStr">
        <is>
          <t>C3964</t>
        </is>
      </c>
      <c r="B600" s="10" t="n">
        <v>8015184</v>
      </c>
      <c r="C600" s="10" t="n">
        <v>28</v>
      </c>
      <c r="D600" s="10" t="n">
        <v>611</v>
      </c>
      <c r="E600" s="10" t="n">
        <v>15</v>
      </c>
    </row>
    <row r="601">
      <c r="A601" s="10" t="inlineStr">
        <is>
          <t>C3313</t>
        </is>
      </c>
      <c r="B601" s="10" t="n">
        <v>1230708</v>
      </c>
      <c r="C601" s="10" t="n">
        <v>1</v>
      </c>
      <c r="D601" s="10" t="n">
        <v>219</v>
      </c>
      <c r="E601" s="10" t="n">
        <v>103</v>
      </c>
    </row>
    <row r="602">
      <c r="A602" s="10" t="inlineStr">
        <is>
          <t>C3826</t>
        </is>
      </c>
      <c r="B602" s="10" t="n">
        <v>1224776</v>
      </c>
      <c r="C602" s="10" t="n">
        <v>5</v>
      </c>
      <c r="D602" s="10" t="n">
        <v>311</v>
      </c>
      <c r="E602" s="10" t="n">
        <v>50</v>
      </c>
    </row>
    <row r="603">
      <c r="A603" s="10" t="inlineStr">
        <is>
          <t>C3484</t>
        </is>
      </c>
      <c r="B603" s="10" t="inlineStr">
        <is>
          <t>Rp 10.325.522</t>
        </is>
      </c>
      <c r="C603" s="10" t="n">
        <v>26</v>
      </c>
      <c r="D603" s="10" t="n">
        <v>697</v>
      </c>
      <c r="E603" s="10" t="inlineStr">
        <is>
          <t>20 days</t>
        </is>
      </c>
    </row>
    <row r="604">
      <c r="A604" s="10" t="inlineStr">
        <is>
          <t>C3602</t>
        </is>
      </c>
      <c r="B604" s="10" t="n">
        <v>1312204</v>
      </c>
      <c r="C604" s="10" t="n">
        <v>2</v>
      </c>
      <c r="D604" s="10" t="n">
        <v>101</v>
      </c>
      <c r="E604" s="10" t="inlineStr">
        <is>
          <t>21 days</t>
        </is>
      </c>
    </row>
    <row r="605">
      <c r="A605" s="10" t="inlineStr">
        <is>
          <t>C3877</t>
        </is>
      </c>
      <c r="B605" s="10" t="n">
        <v>4265143</v>
      </c>
      <c r="C605" s="10" t="n">
        <v>9</v>
      </c>
      <c r="D605" s="10" t="n">
        <v>387</v>
      </c>
      <c r="E605" s="10" t="n">
        <v>46</v>
      </c>
    </row>
    <row r="606">
      <c r="A606" s="10" t="inlineStr">
        <is>
          <t>C3173</t>
        </is>
      </c>
      <c r="B606" s="10" t="n">
        <v>1132143</v>
      </c>
      <c r="C606" s="10" t="n">
        <v>4</v>
      </c>
      <c r="D606" s="10" t="n">
        <v>507</v>
      </c>
      <c r="E606" s="10" t="n">
        <v>126</v>
      </c>
    </row>
    <row r="607">
      <c r="A607" s="10" t="inlineStr">
        <is>
          <t>C3722</t>
        </is>
      </c>
      <c r="B607" s="10" t="n">
        <v>2914764</v>
      </c>
      <c r="C607" s="10" t="n">
        <v>19</v>
      </c>
      <c r="D607" s="10" t="n">
        <v>727</v>
      </c>
      <c r="E607" s="10" t="n">
        <v>28</v>
      </c>
    </row>
    <row r="608">
      <c r="A608" s="10" t="inlineStr">
        <is>
          <t>C3365</t>
        </is>
      </c>
      <c r="B608" s="10" t="n">
        <v>1712920</v>
      </c>
      <c r="C608" s="10" t="n">
        <v>15</v>
      </c>
      <c r="D608" s="10" t="n">
        <v>270</v>
      </c>
      <c r="E608" s="10" t="n">
        <v>23</v>
      </c>
    </row>
    <row r="609">
      <c r="A609" s="10" t="inlineStr">
        <is>
          <t>C3574</t>
        </is>
      </c>
      <c r="B609" s="10" t="inlineStr">
        <is>
          <t>Rp 1.344.791</t>
        </is>
      </c>
      <c r="C609" s="10" t="n">
        <v>4</v>
      </c>
      <c r="D609" s="10" t="n">
        <v>353</v>
      </c>
      <c r="E609" s="10" t="n">
        <v>62</v>
      </c>
    </row>
    <row r="610">
      <c r="A610" s="10" t="inlineStr">
        <is>
          <t>C3050</t>
        </is>
      </c>
      <c r="B610" s="10" t="n">
        <v>4464980</v>
      </c>
      <c r="C610" s="10" t="n">
        <v>20</v>
      </c>
      <c r="D610" s="10" t="n">
        <v>598</v>
      </c>
      <c r="E610" s="10" t="n">
        <v>27</v>
      </c>
    </row>
    <row r="611">
      <c r="A611" s="10" t="inlineStr">
        <is>
          <t>C3275</t>
        </is>
      </c>
      <c r="B611" s="10" t="inlineStr">
        <is>
          <t>Rp 2.022.432</t>
        </is>
      </c>
      <c r="C611" s="10" t="n">
        <v>9</v>
      </c>
      <c r="D611" s="10" t="n">
        <v>190</v>
      </c>
      <c r="E611" s="10" t="n">
        <v>15</v>
      </c>
    </row>
    <row r="612">
      <c r="A612" s="10" t="inlineStr">
        <is>
          <t>C3896</t>
        </is>
      </c>
      <c r="B612" s="10" t="n">
        <v>4590668</v>
      </c>
      <c r="C612" s="10" t="n">
        <v>10</v>
      </c>
      <c r="D612" s="10" t="n">
        <v>421</v>
      </c>
      <c r="E612" s="10" t="n">
        <v>31</v>
      </c>
    </row>
    <row r="613">
      <c r="A613" s="10" t="inlineStr">
        <is>
          <t>C3604</t>
        </is>
      </c>
      <c r="B613" s="10" t="n">
        <v>5308706</v>
      </c>
      <c r="C613" s="10" t="n">
        <v>22</v>
      </c>
      <c r="D613" s="10" t="n">
        <v>420</v>
      </c>
      <c r="E613" s="10" t="n">
        <v>14</v>
      </c>
    </row>
    <row r="614">
      <c r="A614" s="10" t="inlineStr">
        <is>
          <t>C3839</t>
        </is>
      </c>
      <c r="B614" s="10" t="n">
        <v>723726</v>
      </c>
      <c r="C614" s="10" t="n">
        <v>3</v>
      </c>
      <c r="D614" s="10" t="n">
        <v>90</v>
      </c>
      <c r="E614" s="10" t="n">
        <v>41</v>
      </c>
    </row>
    <row r="615">
      <c r="A615" s="10" t="inlineStr">
        <is>
          <t>C3763</t>
        </is>
      </c>
      <c r="B615" s="10" t="n">
        <v>1017984</v>
      </c>
      <c r="C615" s="10" t="n">
        <v>3</v>
      </c>
      <c r="D615" s="10" t="n">
        <v>82</v>
      </c>
      <c r="E615" s="10" t="n">
        <v>27</v>
      </c>
    </row>
    <row r="616">
      <c r="A616" s="10" t="inlineStr">
        <is>
          <t>C3496</t>
        </is>
      </c>
      <c r="B616" s="10" t="n">
        <v>3157103</v>
      </c>
      <c r="C616" s="10" t="n">
        <v>13</v>
      </c>
      <c r="D616" s="10" t="n">
        <v>372</v>
      </c>
      <c r="E616" s="10" t="n">
        <v>9</v>
      </c>
    </row>
    <row r="617">
      <c r="A617" s="10" t="inlineStr">
        <is>
          <t>C3649</t>
        </is>
      </c>
      <c r="B617" s="10" t="inlineStr">
        <is>
          <t>Rp 2.232.826</t>
        </is>
      </c>
      <c r="C617" s="10" t="n">
        <v>15</v>
      </c>
      <c r="D617" s="10" t="n">
        <v>274</v>
      </c>
      <c r="E617" s="10" t="n">
        <v>50</v>
      </c>
    </row>
    <row r="618">
      <c r="A618" s="10" t="inlineStr">
        <is>
          <t>C3462</t>
        </is>
      </c>
      <c r="B618" s="10" t="n">
        <v>1705046</v>
      </c>
      <c r="C618" s="10" t="n">
        <v>22</v>
      </c>
      <c r="D618" s="10" t="n">
        <v>469</v>
      </c>
      <c r="E618" s="10" t="n">
        <v>38</v>
      </c>
    </row>
    <row r="619">
      <c r="A619" s="10" t="inlineStr">
        <is>
          <t>C3553</t>
        </is>
      </c>
      <c r="B619" s="10" t="n">
        <v>675065</v>
      </c>
      <c r="C619" s="10" t="n">
        <v>5</v>
      </c>
      <c r="D619" s="10" t="n">
        <v>324</v>
      </c>
      <c r="E619" s="10" t="n">
        <v>41</v>
      </c>
    </row>
    <row r="620">
      <c r="A620" s="10" t="inlineStr">
        <is>
          <t>C3966</t>
        </is>
      </c>
      <c r="B620" s="10" t="n">
        <v>3935194</v>
      </c>
      <c r="C620" s="10" t="n">
        <v>17</v>
      </c>
      <c r="D620" s="10" t="n">
        <v>698</v>
      </c>
      <c r="E620" s="10" t="n">
        <v>7</v>
      </c>
    </row>
    <row r="621">
      <c r="A621" s="10" t="inlineStr">
        <is>
          <t>C3960</t>
        </is>
      </c>
      <c r="B621" s="10" t="n">
        <v>8209935</v>
      </c>
      <c r="C621" s="10" t="n">
        <v>29</v>
      </c>
      <c r="D621" s="10" t="n">
        <v>390</v>
      </c>
      <c r="E621" s="10" t="n">
        <v>22</v>
      </c>
    </row>
    <row r="622">
      <c r="A622" s="10" t="inlineStr">
        <is>
          <t>C3096</t>
        </is>
      </c>
      <c r="B622" s="10" t="n">
        <v>925474</v>
      </c>
      <c r="C622" s="10" t="n">
        <v>7</v>
      </c>
      <c r="D622" s="10" t="n">
        <v>481</v>
      </c>
      <c r="E622" s="10" t="inlineStr">
        <is>
          <t>9 days</t>
        </is>
      </c>
    </row>
    <row r="623">
      <c r="A623" s="10" t="inlineStr">
        <is>
          <t>C3301</t>
        </is>
      </c>
      <c r="B623" s="10" t="n">
        <v>3361525</v>
      </c>
      <c r="C623" s="10" t="n">
        <v>9</v>
      </c>
      <c r="D623" s="10" t="n">
        <v>400</v>
      </c>
      <c r="E623" s="10" t="n">
        <v>4</v>
      </c>
    </row>
    <row r="624">
      <c r="A624" s="10" t="inlineStr">
        <is>
          <t>C3299</t>
        </is>
      </c>
      <c r="B624" s="10" t="n">
        <v>4384353</v>
      </c>
      <c r="C624" s="10" t="n">
        <v>12</v>
      </c>
      <c r="D624" s="10" t="n">
        <v>381</v>
      </c>
      <c r="E624" s="10" t="n">
        <v>26</v>
      </c>
    </row>
    <row r="625">
      <c r="A625" s="10" t="inlineStr">
        <is>
          <t>C3632</t>
        </is>
      </c>
      <c r="B625" s="10" t="n">
        <v>2780523</v>
      </c>
      <c r="C625" s="10" t="n">
        <v>14</v>
      </c>
      <c r="D625" s="10" t="n">
        <v>227</v>
      </c>
      <c r="E625" s="10" t="n">
        <v>17</v>
      </c>
    </row>
    <row r="626">
      <c r="A626" s="10" t="inlineStr">
        <is>
          <t>C3721</t>
        </is>
      </c>
      <c r="B626" s="10" t="inlineStr">
        <is>
          <t>Rp 1.518.453</t>
        </is>
      </c>
      <c r="C626" s="10" t="n">
        <v>5</v>
      </c>
      <c r="D626" s="10" t="n">
        <v>5</v>
      </c>
      <c r="E626" s="10" t="n">
        <v>49</v>
      </c>
    </row>
    <row r="627">
      <c r="A627" s="10" t="inlineStr">
        <is>
          <t>C3423</t>
        </is>
      </c>
      <c r="B627" s="10" t="n">
        <v>1364479</v>
      </c>
      <c r="C627" s="10" t="n">
        <v>3</v>
      </c>
      <c r="D627" s="10" t="n">
        <v>339</v>
      </c>
      <c r="E627" s="10" t="n">
        <v>25</v>
      </c>
    </row>
    <row r="628">
      <c r="A628" s="10" t="inlineStr">
        <is>
          <t>C3240</t>
        </is>
      </c>
      <c r="B628" s="10" t="n">
        <v>517528</v>
      </c>
      <c r="C628" s="10" t="n">
        <v>3</v>
      </c>
      <c r="D628" s="10" t="n">
        <v>341</v>
      </c>
      <c r="E628" s="10" t="n">
        <v>61</v>
      </c>
    </row>
    <row r="629">
      <c r="A629" s="10" t="inlineStr">
        <is>
          <t>C3024</t>
        </is>
      </c>
      <c r="B629" s="10" t="n">
        <v>1087900</v>
      </c>
      <c r="C629" s="10" t="n">
        <v>3</v>
      </c>
      <c r="D629" s="10" t="n">
        <v>15</v>
      </c>
      <c r="E629" s="10" t="n">
        <v>9</v>
      </c>
    </row>
    <row r="630">
      <c r="A630" s="10" t="inlineStr">
        <is>
          <t>C3149</t>
        </is>
      </c>
      <c r="B630" s="10" t="n">
        <v>1194564</v>
      </c>
      <c r="C630" s="10" t="n">
        <v>7</v>
      </c>
      <c r="D630" s="10" t="n">
        <v>323</v>
      </c>
      <c r="E630" s="10" t="n">
        <v>56</v>
      </c>
    </row>
    <row r="631">
      <c r="A631" s="10" t="inlineStr">
        <is>
          <t>C3485</t>
        </is>
      </c>
      <c r="B631" s="10" t="n">
        <v>210716</v>
      </c>
      <c r="C631" s="10" t="n">
        <v>6</v>
      </c>
      <c r="D631" s="10" t="n">
        <v>112</v>
      </c>
      <c r="E631" s="10" t="n">
        <v>56</v>
      </c>
    </row>
    <row r="632">
      <c r="A632" s="10" t="inlineStr">
        <is>
          <t>C3331</t>
        </is>
      </c>
      <c r="B632" s="10" t="n">
        <v>3155589</v>
      </c>
      <c r="C632" s="10" t="n">
        <v>12</v>
      </c>
      <c r="D632" s="10" t="n">
        <v>230</v>
      </c>
      <c r="E632" s="10" t="n">
        <v>29</v>
      </c>
    </row>
    <row r="633">
      <c r="A633" s="10" t="inlineStr">
        <is>
          <t>C3073</t>
        </is>
      </c>
      <c r="B633" s="10" t="n">
        <v>596172</v>
      </c>
      <c r="C633" s="10" t="n">
        <v>3</v>
      </c>
      <c r="D633" s="10" t="n">
        <v>219</v>
      </c>
      <c r="E633" s="10" t="n">
        <v>1</v>
      </c>
    </row>
    <row r="634">
      <c r="A634" s="10" t="inlineStr">
        <is>
          <t>C3414</t>
        </is>
      </c>
      <c r="B634" s="10" t="n">
        <v>1113898</v>
      </c>
      <c r="C634" s="10" t="n">
        <v>5</v>
      </c>
      <c r="D634" s="10" t="n">
        <v>353</v>
      </c>
      <c r="E634" s="10" t="n">
        <v>119</v>
      </c>
    </row>
    <row r="635">
      <c r="A635" s="10" t="inlineStr">
        <is>
          <t>C4011</t>
        </is>
      </c>
      <c r="B635" s="10" t="inlineStr">
        <is>
          <t>Rp 403.313</t>
        </is>
      </c>
      <c r="C635" s="10" t="n">
        <v>6</v>
      </c>
      <c r="D635" s="10" t="n">
        <v>48</v>
      </c>
      <c r="E635" s="10" t="n">
        <v>39</v>
      </c>
    </row>
    <row r="636">
      <c r="A636" s="10" t="inlineStr">
        <is>
          <t>C3979</t>
        </is>
      </c>
      <c r="B636" s="10" t="inlineStr">
        <is>
          <t>Rp 4.712.982</t>
        </is>
      </c>
      <c r="C636" s="10" t="n">
        <v>19</v>
      </c>
      <c r="D636" s="10" t="n">
        <v>696</v>
      </c>
      <c r="E636" s="10" t="n">
        <v>12</v>
      </c>
    </row>
    <row r="637">
      <c r="A637" s="10" t="inlineStr">
        <is>
          <t>C3177</t>
        </is>
      </c>
      <c r="B637" s="10" t="n">
        <v>1320577</v>
      </c>
      <c r="C637" s="10" t="n">
        <v>1</v>
      </c>
      <c r="D637" s="10" t="n">
        <v>40</v>
      </c>
      <c r="E637" s="10" t="n">
        <v>15</v>
      </c>
    </row>
    <row r="638">
      <c r="A638" s="10" t="inlineStr">
        <is>
          <t>C3951</t>
        </is>
      </c>
      <c r="B638" s="10" t="n">
        <v>1640801</v>
      </c>
      <c r="C638" s="10" t="n">
        <v>5</v>
      </c>
      <c r="D638" s="10" t="n">
        <v>365</v>
      </c>
      <c r="E638" s="10" t="n">
        <v>84</v>
      </c>
    </row>
    <row r="639">
      <c r="A639" s="10" t="inlineStr">
        <is>
          <t>C3823</t>
        </is>
      </c>
      <c r="B639" s="10" t="inlineStr">
        <is>
          <t>Rp 610.244</t>
        </is>
      </c>
      <c r="C639" s="10" t="n">
        <v>7</v>
      </c>
      <c r="D639" s="10" t="n">
        <v>396</v>
      </c>
      <c r="E639" s="10" t="n">
        <v>36</v>
      </c>
    </row>
    <row r="640">
      <c r="A640" s="10" t="inlineStr">
        <is>
          <t>C3148</t>
        </is>
      </c>
      <c r="B640" s="10" t="n">
        <v>1091370</v>
      </c>
      <c r="C640" s="10" t="n">
        <v>3</v>
      </c>
      <c r="D640" s="10" t="n">
        <v>179</v>
      </c>
      <c r="E640" s="10" t="n">
        <v>153</v>
      </c>
    </row>
    <row r="641">
      <c r="A641" s="10" t="inlineStr">
        <is>
          <t>C3183</t>
        </is>
      </c>
      <c r="B641" s="10" t="inlineStr">
        <is>
          <t>Rp 3.446.862</t>
        </is>
      </c>
      <c r="C641" s="10" t="n">
        <v>11</v>
      </c>
      <c r="D641" s="10" t="n">
        <v>393</v>
      </c>
      <c r="E641" s="10" t="n">
        <v>35</v>
      </c>
    </row>
    <row r="642">
      <c r="A642" s="10" t="inlineStr">
        <is>
          <t>C3790</t>
        </is>
      </c>
      <c r="B642" s="10" t="n">
        <v>3381573</v>
      </c>
      <c r="C642" s="10" t="n">
        <v>15</v>
      </c>
      <c r="D642" s="10" t="n">
        <v>380</v>
      </c>
      <c r="E642" s="10" t="inlineStr">
        <is>
          <t>56 days</t>
        </is>
      </c>
    </row>
    <row r="643">
      <c r="A643" s="10" t="inlineStr">
        <is>
          <t>C3901</t>
        </is>
      </c>
      <c r="B643" s="10" t="n">
        <v>1144421</v>
      </c>
      <c r="C643" s="10" t="n">
        <v>4</v>
      </c>
      <c r="D643" s="10" t="n">
        <v>52</v>
      </c>
      <c r="E643" s="10" t="n">
        <v>12</v>
      </c>
    </row>
    <row r="644">
      <c r="A644" s="10" t="inlineStr">
        <is>
          <t>C3219</t>
        </is>
      </c>
      <c r="B644" s="10" t="inlineStr">
        <is>
          <t>Rp 692.113</t>
        </is>
      </c>
      <c r="C644" s="10" t="n">
        <v>1</v>
      </c>
      <c r="D644" s="10" t="n">
        <v>29</v>
      </c>
      <c r="E644" s="10" t="n">
        <v>4</v>
      </c>
    </row>
    <row r="645">
      <c r="A645" s="10" t="inlineStr">
        <is>
          <t>C3525</t>
        </is>
      </c>
      <c r="B645" s="10" t="n">
        <v>2042539</v>
      </c>
      <c r="C645" s="10" t="n">
        <v>1</v>
      </c>
      <c r="D645" s="10" t="n">
        <v>30</v>
      </c>
      <c r="E645" s="10" t="n">
        <v>16</v>
      </c>
    </row>
    <row r="646">
      <c r="A646" s="10" t="inlineStr">
        <is>
          <t>C3651</t>
        </is>
      </c>
      <c r="B646" s="10" t="n">
        <v>1198121</v>
      </c>
      <c r="C646" s="10" t="n">
        <v>4</v>
      </c>
      <c r="D646" s="10" t="n">
        <v>142</v>
      </c>
      <c r="E646" s="10" t="n">
        <v>36</v>
      </c>
    </row>
    <row r="647">
      <c r="A647" s="10" t="inlineStr">
        <is>
          <t>C3039</t>
        </is>
      </c>
      <c r="B647" s="10" t="inlineStr">
        <is>
          <t>Rp 1.023.748</t>
        </is>
      </c>
      <c r="C647" s="10" t="n">
        <v>6</v>
      </c>
      <c r="D647" s="10" t="n">
        <v>278</v>
      </c>
      <c r="E647" s="10" t="inlineStr">
        <is>
          <t>3 days</t>
        </is>
      </c>
    </row>
    <row r="648">
      <c r="A648" s="10" t="inlineStr">
        <is>
          <t>C3959</t>
        </is>
      </c>
      <c r="B648" s="10" t="inlineStr">
        <is>
          <t>Rp 757.992</t>
        </is>
      </c>
      <c r="C648" s="10" t="n">
        <v>8</v>
      </c>
      <c r="D648" s="10" t="n">
        <v>152</v>
      </c>
      <c r="E648" s="10" t="n">
        <v>77</v>
      </c>
    </row>
    <row r="649">
      <c r="A649" s="10" t="inlineStr">
        <is>
          <t>C3109</t>
        </is>
      </c>
      <c r="B649" s="10" t="n">
        <v>2874342</v>
      </c>
      <c r="C649" s="10" t="n">
        <v>24</v>
      </c>
      <c r="D649" s="10" t="n">
        <v>386</v>
      </c>
      <c r="E649" s="10" t="n">
        <v>23</v>
      </c>
    </row>
    <row r="650">
      <c r="A650" s="10" t="inlineStr">
        <is>
          <t>C3154</t>
        </is>
      </c>
      <c r="B650" s="10" t="inlineStr">
        <is>
          <t>Rp 1.198.488</t>
        </is>
      </c>
      <c r="C650" s="10" t="n">
        <v>2</v>
      </c>
      <c r="D650" s="10" t="n">
        <v>425</v>
      </c>
      <c r="E650" s="10" t="n">
        <v>70</v>
      </c>
    </row>
    <row r="651">
      <c r="A651" s="10" t="inlineStr">
        <is>
          <t>C3097</t>
        </is>
      </c>
      <c r="B651" s="10" t="n">
        <v>1414815</v>
      </c>
      <c r="C651" s="10" t="n">
        <v>5</v>
      </c>
      <c r="D651" s="10" t="n">
        <v>318</v>
      </c>
      <c r="E651" s="10" t="n">
        <v>112</v>
      </c>
    </row>
    <row r="652">
      <c r="A652" s="10" t="inlineStr">
        <is>
          <t>C3297</t>
        </is>
      </c>
      <c r="B652" s="10" t="n">
        <v>1784842</v>
      </c>
      <c r="C652" s="10" t="n">
        <v>2</v>
      </c>
      <c r="D652" s="10" t="n">
        <v>165</v>
      </c>
      <c r="E652" s="10" t="n">
        <v>45</v>
      </c>
    </row>
    <row r="653">
      <c r="A653" s="10" t="inlineStr">
        <is>
          <t>C3504</t>
        </is>
      </c>
      <c r="B653" s="10" t="inlineStr">
        <is>
          <t>Rp 1.213.294</t>
        </is>
      </c>
      <c r="C653" s="10" t="n">
        <v>3</v>
      </c>
      <c r="D653" s="10" t="n">
        <v>296</v>
      </c>
      <c r="E653" s="10" t="inlineStr">
        <is>
          <t>32 days</t>
        </is>
      </c>
    </row>
    <row r="654">
      <c r="A654" s="10" t="inlineStr">
        <is>
          <t>C3049</t>
        </is>
      </c>
      <c r="B654" s="10" t="n">
        <v>921023</v>
      </c>
      <c r="C654" s="10" t="n">
        <v>2</v>
      </c>
      <c r="D654" s="10" t="n">
        <v>536</v>
      </c>
      <c r="E654" s="10" t="n">
        <v>83</v>
      </c>
    </row>
    <row r="655">
      <c r="A655" s="10" t="inlineStr">
        <is>
          <t>C3029</t>
        </is>
      </c>
      <c r="B655" s="10" t="inlineStr">
        <is>
          <t>Rp 837.629</t>
        </is>
      </c>
      <c r="C655" s="10" t="n">
        <v>2</v>
      </c>
      <c r="D655" s="10" t="n">
        <v>7</v>
      </c>
      <c r="E655" s="10" t="n">
        <v>8</v>
      </c>
    </row>
    <row r="656">
      <c r="A656" s="10" t="inlineStr">
        <is>
          <t>C4042</t>
        </is>
      </c>
      <c r="B656" s="10" t="n">
        <v>837763</v>
      </c>
      <c r="C656" s="10" t="n">
        <v>2</v>
      </c>
      <c r="D656" s="10" t="n">
        <v>67</v>
      </c>
      <c r="E656" s="10" t="inlineStr">
        <is>
          <t>15 days</t>
        </is>
      </c>
    </row>
    <row r="657">
      <c r="A657" s="10" t="inlineStr">
        <is>
          <t>C3082</t>
        </is>
      </c>
      <c r="B657" s="10" t="n">
        <v>1124216</v>
      </c>
      <c r="C657" s="10" t="n">
        <v>1</v>
      </c>
      <c r="D657" s="10" t="n">
        <v>202</v>
      </c>
      <c r="E657" s="10" t="n">
        <v>38</v>
      </c>
    </row>
    <row r="658">
      <c r="A658" s="10" t="inlineStr">
        <is>
          <t>C3585</t>
        </is>
      </c>
      <c r="B658" s="10" t="n">
        <v>1103612</v>
      </c>
      <c r="C658" s="10" t="n">
        <v>3</v>
      </c>
      <c r="D658" s="10" t="n">
        <v>610</v>
      </c>
      <c r="E658" s="10" t="n">
        <v>60</v>
      </c>
    </row>
    <row r="659">
      <c r="A659" s="10" t="inlineStr">
        <is>
          <t>C3091</t>
        </is>
      </c>
      <c r="B659" s="10" t="inlineStr">
        <is>
          <t>Rp 1.475.763</t>
        </is>
      </c>
      <c r="C659" s="10" t="n">
        <v>4</v>
      </c>
      <c r="D659" s="10" t="n">
        <v>452</v>
      </c>
      <c r="E659" s="10" t="n">
        <v>73</v>
      </c>
    </row>
    <row r="660">
      <c r="A660" s="10" t="inlineStr">
        <is>
          <t>C3011</t>
        </is>
      </c>
      <c r="B660" s="10" t="n">
        <v>850581</v>
      </c>
      <c r="C660" s="10" t="n">
        <v>2</v>
      </c>
      <c r="D660" s="10" t="n">
        <v>350</v>
      </c>
      <c r="E660" s="10" t="n">
        <v>53</v>
      </c>
    </row>
    <row r="661">
      <c r="A661" s="10" t="inlineStr">
        <is>
          <t>C3677</t>
        </is>
      </c>
      <c r="B661" s="10" t="n">
        <v>493253</v>
      </c>
      <c r="C661" s="10" t="n"/>
      <c r="D661" s="10" t="n">
        <v>317</v>
      </c>
      <c r="E661" s="10" t="n">
        <v>110</v>
      </c>
    </row>
    <row r="662">
      <c r="A662" s="10" t="inlineStr">
        <is>
          <t>C3803</t>
        </is>
      </c>
      <c r="B662" s="10" t="n">
        <v>535545</v>
      </c>
      <c r="C662" s="10" t="n">
        <v>3</v>
      </c>
      <c r="D662" s="10" t="n">
        <v>141</v>
      </c>
      <c r="E662" s="10" t="n">
        <v>86</v>
      </c>
    </row>
    <row r="663">
      <c r="A663" s="10" t="inlineStr">
        <is>
          <t>C3656</t>
        </is>
      </c>
      <c r="B663" s="10" t="n">
        <v>1226191</v>
      </c>
      <c r="C663" s="10" t="n">
        <v>2</v>
      </c>
      <c r="D663" s="10" t="n">
        <v>10</v>
      </c>
      <c r="E663" s="10" t="n">
        <v>29</v>
      </c>
    </row>
    <row r="664">
      <c r="A664" s="10" t="inlineStr">
        <is>
          <t>C3880</t>
        </is>
      </c>
      <c r="B664" s="10" t="n">
        <v>2632180</v>
      </c>
      <c r="C664" s="10" t="n">
        <v>1</v>
      </c>
      <c r="D664" s="10" t="n">
        <v>5</v>
      </c>
      <c r="E664" s="10" t="n">
        <v>29</v>
      </c>
    </row>
    <row r="665">
      <c r="A665" s="10" t="inlineStr">
        <is>
          <t>C3914</t>
        </is>
      </c>
      <c r="B665" s="10" t="n">
        <v>2597692</v>
      </c>
      <c r="C665" s="10" t="n">
        <v>17</v>
      </c>
      <c r="D665" s="10" t="n">
        <v>535</v>
      </c>
      <c r="E665" s="10" t="n">
        <v>16</v>
      </c>
    </row>
    <row r="666">
      <c r="A666" s="10" t="inlineStr">
        <is>
          <t>C3060</t>
        </is>
      </c>
      <c r="B666" s="10" t="n">
        <v>3154212</v>
      </c>
      <c r="C666" s="10" t="n">
        <v>12</v>
      </c>
      <c r="D666" s="10" t="n">
        <v>418</v>
      </c>
      <c r="E666" s="10" t="n">
        <v>35</v>
      </c>
    </row>
    <row r="667">
      <c r="A667" s="10" t="inlineStr">
        <is>
          <t>C3728</t>
        </is>
      </c>
      <c r="B667" s="10" t="n">
        <v>805415</v>
      </c>
      <c r="C667" s="10" t="n">
        <v>1</v>
      </c>
      <c r="D667" s="10" t="n">
        <v>13</v>
      </c>
      <c r="E667" s="10" t="n">
        <v>1</v>
      </c>
    </row>
    <row r="668">
      <c r="A668" s="10" t="inlineStr">
        <is>
          <t>C3756</t>
        </is>
      </c>
      <c r="B668" s="10" t="inlineStr">
        <is>
          <t>Rp 3.675.550</t>
        </is>
      </c>
      <c r="C668" s="10" t="n">
        <v>7</v>
      </c>
      <c r="D668" s="10" t="n">
        <v>365</v>
      </c>
      <c r="E668" s="10" t="n">
        <v>34</v>
      </c>
    </row>
    <row r="669">
      <c r="A669" s="10" t="inlineStr">
        <is>
          <t>C3356</t>
        </is>
      </c>
      <c r="B669" s="10" t="n">
        <v>3361355</v>
      </c>
      <c r="C669" s="10" t="n">
        <v>13</v>
      </c>
      <c r="D669" s="10" t="n">
        <v>228</v>
      </c>
      <c r="E669" s="10" t="n">
        <v>6</v>
      </c>
    </row>
    <row r="670">
      <c r="A670" s="10" t="inlineStr">
        <is>
          <t>C3954</t>
        </is>
      </c>
      <c r="B670" s="10" t="inlineStr">
        <is>
          <t>Rp 1.327.187</t>
        </is>
      </c>
      <c r="C670" s="10" t="n">
        <v>6</v>
      </c>
      <c r="D670" s="10" t="n">
        <v>543</v>
      </c>
      <c r="E670" s="10" t="n">
        <v>136</v>
      </c>
    </row>
    <row r="671">
      <c r="A671" s="10" t="inlineStr">
        <is>
          <t>C3981</t>
        </is>
      </c>
      <c r="B671" s="10" t="n">
        <v>772841</v>
      </c>
      <c r="C671" s="10" t="n">
        <v>4</v>
      </c>
      <c r="D671" s="10" t="n">
        <v>92</v>
      </c>
      <c r="E671" s="10" t="n">
        <v>13</v>
      </c>
    </row>
    <row r="672">
      <c r="A672" s="10" t="inlineStr">
        <is>
          <t>C3814</t>
        </is>
      </c>
      <c r="B672" s="10" t="n">
        <v>2526694</v>
      </c>
      <c r="C672" s="10" t="n">
        <v>13</v>
      </c>
      <c r="D672" s="10" t="n">
        <v>547</v>
      </c>
      <c r="E672" s="10" t="n">
        <v>25</v>
      </c>
    </row>
    <row r="673">
      <c r="A673" s="10" t="inlineStr">
        <is>
          <t>C3251</t>
        </is>
      </c>
      <c r="B673" s="10" t="n">
        <v>2715648</v>
      </c>
      <c r="C673" s="10" t="n">
        <v>14</v>
      </c>
      <c r="D673" s="10" t="n">
        <v>228</v>
      </c>
      <c r="E673" s="10" t="n">
        <v>15</v>
      </c>
    </row>
    <row r="674">
      <c r="A674" s="10" t="inlineStr">
        <is>
          <t>C4098</t>
        </is>
      </c>
      <c r="B674" s="10" t="n">
        <v>879901</v>
      </c>
      <c r="C674" s="10" t="n">
        <v>2</v>
      </c>
      <c r="D674" s="10" t="n">
        <v>59</v>
      </c>
      <c r="E674" s="10" t="n">
        <v>16</v>
      </c>
    </row>
    <row r="675">
      <c r="A675" s="10" t="inlineStr">
        <is>
          <t>C4015</t>
        </is>
      </c>
      <c r="B675" s="10" t="inlineStr">
        <is>
          <t>Rp 2.079.596</t>
        </is>
      </c>
      <c r="C675" s="10" t="n">
        <v>12</v>
      </c>
      <c r="D675" s="10" t="n">
        <v>497</v>
      </c>
      <c r="E675" s="10" t="inlineStr">
        <is>
          <t>20 days</t>
        </is>
      </c>
    </row>
    <row r="676">
      <c r="A676" s="10" t="inlineStr">
        <is>
          <t>C3613</t>
        </is>
      </c>
      <c r="B676" s="10" t="n">
        <v>1316306</v>
      </c>
      <c r="C676" s="10" t="n">
        <v>7</v>
      </c>
      <c r="D676" s="10" t="n">
        <v>217</v>
      </c>
      <c r="E676" s="10" t="n">
        <v>56</v>
      </c>
    </row>
    <row r="677">
      <c r="A677" s="10" t="inlineStr">
        <is>
          <t>C3298</t>
        </is>
      </c>
      <c r="B677" s="10" t="inlineStr">
        <is>
          <t>Rp 3.407.147</t>
        </is>
      </c>
      <c r="C677" s="10" t="n">
        <v>10</v>
      </c>
      <c r="D677" s="10" t="n">
        <v>369</v>
      </c>
      <c r="E677" s="10" t="n">
        <v>35</v>
      </c>
    </row>
    <row r="678">
      <c r="A678" s="10" t="inlineStr">
        <is>
          <t>C3289</t>
        </is>
      </c>
      <c r="B678" s="10" t="n">
        <v>1517039</v>
      </c>
      <c r="C678" s="10" t="n">
        <v>5</v>
      </c>
      <c r="D678" s="10" t="n">
        <v>62</v>
      </c>
      <c r="E678" s="10" t="n">
        <v>1</v>
      </c>
    </row>
    <row r="679">
      <c r="A679" s="10" t="inlineStr">
        <is>
          <t>C3355</t>
        </is>
      </c>
      <c r="B679" s="10" t="n">
        <v>349773</v>
      </c>
      <c r="C679" s="10" t="n">
        <v>8</v>
      </c>
      <c r="D679" s="10" t="n">
        <v>292</v>
      </c>
      <c r="E679" s="10" t="inlineStr">
        <is>
          <t>34 days</t>
        </is>
      </c>
    </row>
    <row r="680">
      <c r="A680" s="10" t="inlineStr">
        <is>
          <t>C3020</t>
        </is>
      </c>
      <c r="B680" s="10" t="n">
        <v>1499878</v>
      </c>
      <c r="C680" s="10" t="n">
        <v>4</v>
      </c>
      <c r="D680" s="10" t="n">
        <v>90</v>
      </c>
      <c r="E680" s="10" t="n">
        <v>24</v>
      </c>
    </row>
    <row r="681">
      <c r="A681" s="10" t="inlineStr">
        <is>
          <t>C3004</t>
        </is>
      </c>
      <c r="B681" s="10" t="inlineStr">
        <is>
          <t>Rp 10.266.357</t>
        </is>
      </c>
      <c r="C681" s="10" t="n">
        <v>37</v>
      </c>
      <c r="D681" s="10" t="n">
        <v>701</v>
      </c>
      <c r="E681" s="10" t="n">
        <v>1</v>
      </c>
    </row>
    <row r="682">
      <c r="A682" s="10" t="inlineStr">
        <is>
          <t>C3323</t>
        </is>
      </c>
      <c r="B682" s="10" t="inlineStr">
        <is>
          <t>Rp 1.377.832</t>
        </is>
      </c>
      <c r="C682" s="10" t="n">
        <v>5</v>
      </c>
      <c r="D682" s="10" t="n">
        <v>291</v>
      </c>
      <c r="E682" s="10" t="inlineStr">
        <is>
          <t>53 days</t>
        </is>
      </c>
    </row>
    <row r="683">
      <c r="A683" s="10" t="inlineStr">
        <is>
          <t>C3102</t>
        </is>
      </c>
      <c r="B683" s="10" t="n">
        <v>3350838</v>
      </c>
      <c r="C683" s="10" t="n">
        <v>16</v>
      </c>
      <c r="D683" s="10" t="n">
        <v>336</v>
      </c>
      <c r="E683" s="10" t="n">
        <v>20</v>
      </c>
    </row>
    <row r="684">
      <c r="A684" s="10" t="inlineStr">
        <is>
          <t>C3225</t>
        </is>
      </c>
      <c r="B684" s="10" t="n">
        <v>4853566</v>
      </c>
      <c r="C684" s="10" t="n">
        <v>16</v>
      </c>
      <c r="D684" s="10" t="n">
        <v>333</v>
      </c>
      <c r="E684" s="10" t="n">
        <v>32</v>
      </c>
    </row>
    <row r="685">
      <c r="A685" s="10" t="inlineStr">
        <is>
          <t>C3872</t>
        </is>
      </c>
      <c r="B685" s="10" t="n">
        <v>211128</v>
      </c>
      <c r="C685" s="10" t="n">
        <v>4</v>
      </c>
      <c r="D685" s="10" t="n">
        <v>79</v>
      </c>
      <c r="E685" s="10" t="n">
        <v>43</v>
      </c>
    </row>
    <row r="686">
      <c r="A686" s="10" t="inlineStr">
        <is>
          <t>C3532</t>
        </is>
      </c>
      <c r="B686" s="10" t="inlineStr">
        <is>
          <t>Rp 2.625.718</t>
        </is>
      </c>
      <c r="C686" s="10" t="n">
        <v>19</v>
      </c>
      <c r="D686" s="10" t="n">
        <v>551</v>
      </c>
      <c r="E686" s="10" t="n">
        <v>17</v>
      </c>
    </row>
    <row r="687">
      <c r="A687" s="10" t="inlineStr">
        <is>
          <t>C3269</t>
        </is>
      </c>
      <c r="B687" s="10" t="n">
        <v>713924</v>
      </c>
      <c r="C687" s="10" t="n">
        <v>2</v>
      </c>
      <c r="D687" s="10" t="n">
        <v>429</v>
      </c>
      <c r="E687" s="10" t="inlineStr">
        <is>
          <t>53 days</t>
        </is>
      </c>
    </row>
    <row r="688">
      <c r="A688" s="10" t="inlineStr">
        <is>
          <t>C3986</t>
        </is>
      </c>
      <c r="B688" s="10" t="inlineStr">
        <is>
          <t>Rp 1.104.700</t>
        </is>
      </c>
      <c r="C688" s="10" t="n">
        <v>5</v>
      </c>
      <c r="D688" s="10" t="n">
        <v>260</v>
      </c>
      <c r="E688" s="10" t="n">
        <v>113</v>
      </c>
    </row>
    <row r="689">
      <c r="A689" s="10" t="inlineStr">
        <is>
          <t>C3108</t>
        </is>
      </c>
      <c r="B689" s="10" t="n">
        <v>500628</v>
      </c>
      <c r="C689" s="10" t="n">
        <v>3</v>
      </c>
      <c r="D689" s="10" t="n">
        <v>621</v>
      </c>
      <c r="E689" s="10" t="n">
        <v>34</v>
      </c>
    </row>
    <row r="690">
      <c r="A690" s="10" t="inlineStr">
        <is>
          <t>C4008</t>
        </is>
      </c>
      <c r="B690" s="10" t="n">
        <v>2134585</v>
      </c>
      <c r="C690" s="10" t="n"/>
      <c r="D690" s="10" t="n">
        <v>60</v>
      </c>
      <c r="E690" s="10" t="inlineStr">
        <is>
          <t>15 days</t>
        </is>
      </c>
    </row>
    <row r="691">
      <c r="A691" s="10" t="inlineStr">
        <is>
          <t>C3550</t>
        </is>
      </c>
      <c r="B691" s="10" t="n">
        <v>846894</v>
      </c>
      <c r="C691" s="10" t="n">
        <v>4</v>
      </c>
      <c r="D691" s="10" t="n">
        <v>55</v>
      </c>
      <c r="E691" s="10" t="n">
        <v>87</v>
      </c>
    </row>
    <row r="692">
      <c r="A692" s="10" t="inlineStr">
        <is>
          <t>C3554</t>
        </is>
      </c>
      <c r="B692" s="10" t="n">
        <v>1190721</v>
      </c>
      <c r="C692" s="10" t="n">
        <v>2</v>
      </c>
      <c r="D692" s="10" t="n">
        <v>346</v>
      </c>
      <c r="E692" s="10" t="n">
        <v>12</v>
      </c>
    </row>
    <row r="693">
      <c r="A693" s="10" t="inlineStr">
        <is>
          <t>C3351</t>
        </is>
      </c>
      <c r="B693" s="10" t="n">
        <v>1534664</v>
      </c>
      <c r="C693" s="10" t="n">
        <v>5</v>
      </c>
      <c r="D693" s="10" t="n">
        <v>56</v>
      </c>
      <c r="E693" s="10" t="n">
        <v>29</v>
      </c>
    </row>
    <row r="694">
      <c r="A694" s="10" t="inlineStr">
        <is>
          <t>C4096</t>
        </is>
      </c>
      <c r="B694" s="10" t="n">
        <v>785138</v>
      </c>
      <c r="C694" s="10" t="n">
        <v>2</v>
      </c>
      <c r="D694" s="10" t="n">
        <v>231</v>
      </c>
      <c r="E694" s="10" t="n">
        <v>50</v>
      </c>
    </row>
    <row r="695">
      <c r="A695" s="10" t="inlineStr">
        <is>
          <t>C3194</t>
        </is>
      </c>
      <c r="B695" s="10" t="n">
        <v>693236</v>
      </c>
      <c r="C695" s="10" t="n">
        <v>5</v>
      </c>
      <c r="D695" s="10" t="n">
        <v>662</v>
      </c>
      <c r="E695" s="10" t="n">
        <v>29</v>
      </c>
    </row>
    <row r="696">
      <c r="A696" s="10" t="inlineStr">
        <is>
          <t>C3747</t>
        </is>
      </c>
      <c r="B696" s="10" t="n">
        <v>4169521</v>
      </c>
      <c r="C696" s="10" t="n">
        <v>17</v>
      </c>
      <c r="D696" s="10" t="n">
        <v>217</v>
      </c>
      <c r="E696" s="10" t="n">
        <v>18</v>
      </c>
    </row>
    <row r="697">
      <c r="A697" s="10" t="inlineStr">
        <is>
          <t>C3821</t>
        </is>
      </c>
      <c r="B697" s="10" t="inlineStr">
        <is>
          <t>Rp 3.664.439</t>
        </is>
      </c>
      <c r="C697" s="10" t="n"/>
      <c r="D697" s="10" t="n">
        <v>491</v>
      </c>
      <c r="E697" s="10" t="n">
        <v>45</v>
      </c>
    </row>
    <row r="698">
      <c r="A698" s="10" t="inlineStr">
        <is>
          <t>C3130</t>
        </is>
      </c>
      <c r="B698" s="10" t="n">
        <v>478292</v>
      </c>
      <c r="C698" s="10" t="n">
        <v>3</v>
      </c>
      <c r="D698" s="10" t="n">
        <v>21</v>
      </c>
      <c r="E698" s="10" t="inlineStr">
        <is>
          <t>16 days</t>
        </is>
      </c>
    </row>
    <row r="699">
      <c r="A699" s="10" t="inlineStr">
        <is>
          <t>C3562</t>
        </is>
      </c>
      <c r="B699" s="10" t="inlineStr">
        <is>
          <t>Rp 773.594</t>
        </is>
      </c>
      <c r="C699" s="10" t="n">
        <v>1</v>
      </c>
      <c r="D699" s="10" t="n">
        <v>5</v>
      </c>
      <c r="E699" s="10" t="n">
        <v>2</v>
      </c>
    </row>
    <row r="700">
      <c r="A700" s="10" t="inlineStr">
        <is>
          <t>C4047</t>
        </is>
      </c>
      <c r="B700" s="10" t="inlineStr">
        <is>
          <t>Rp 7.352.588</t>
        </is>
      </c>
      <c r="C700" s="10" t="n">
        <v>31</v>
      </c>
      <c r="D700" s="10" t="n">
        <v>433</v>
      </c>
      <c r="E700" s="10" t="n">
        <v>1</v>
      </c>
    </row>
    <row r="701">
      <c r="A701" s="10" t="inlineStr">
        <is>
          <t>C3095</t>
        </is>
      </c>
      <c r="B701" s="10" t="n">
        <v>822863</v>
      </c>
      <c r="C701" s="10" t="n">
        <v>4</v>
      </c>
      <c r="D701" s="10" t="n">
        <v>245</v>
      </c>
      <c r="E701" s="10" t="n">
        <v>44</v>
      </c>
    </row>
    <row r="702">
      <c r="A702" s="10" t="inlineStr">
        <is>
          <t>C3528</t>
        </is>
      </c>
      <c r="B702" s="10" t="inlineStr">
        <is>
          <t>Rp 3.710.317</t>
        </is>
      </c>
      <c r="C702" s="10" t="n">
        <v>12</v>
      </c>
      <c r="D702" s="10" t="n">
        <v>538</v>
      </c>
      <c r="E702" s="10" t="n">
        <v>15</v>
      </c>
    </row>
    <row r="703">
      <c r="A703" s="10" t="inlineStr">
        <is>
          <t>C3768</t>
        </is>
      </c>
      <c r="B703" s="10" t="n">
        <v>1255663</v>
      </c>
      <c r="C703" s="10" t="n"/>
      <c r="D703" s="10" t="n">
        <v>280</v>
      </c>
      <c r="E703" s="10" t="inlineStr">
        <is>
          <t>47 days</t>
        </is>
      </c>
    </row>
    <row r="704">
      <c r="A704" s="10" t="inlineStr">
        <is>
          <t>C3603</t>
        </is>
      </c>
      <c r="B704" s="10" t="n">
        <v>2709792</v>
      </c>
      <c r="C704" s="10" t="n">
        <v>4</v>
      </c>
      <c r="D704" s="10" t="n">
        <v>339</v>
      </c>
      <c r="E704" s="10" t="n">
        <v>37</v>
      </c>
    </row>
    <row r="705">
      <c r="A705" s="10" t="inlineStr">
        <is>
          <t>C3185</t>
        </is>
      </c>
      <c r="B705" s="10" t="n">
        <v>891990</v>
      </c>
      <c r="C705" s="10" t="n">
        <v>2</v>
      </c>
      <c r="D705" s="10" t="n">
        <v>534</v>
      </c>
      <c r="E705" s="10" t="n">
        <v>81</v>
      </c>
    </row>
    <row r="706">
      <c r="A706" s="10" t="inlineStr">
        <is>
          <t>C3942</t>
        </is>
      </c>
      <c r="B706" s="10" t="n">
        <v>1258922</v>
      </c>
      <c r="C706" s="10" t="n"/>
      <c r="D706" s="10" t="n">
        <v>290</v>
      </c>
      <c r="E706" s="10" t="n">
        <v>132</v>
      </c>
    </row>
    <row r="707">
      <c r="A707" s="10" t="inlineStr">
        <is>
          <t>C3418</t>
        </is>
      </c>
      <c r="B707" s="10" t="n">
        <v>6733150</v>
      </c>
      <c r="C707" s="10" t="n">
        <v>16</v>
      </c>
      <c r="D707" s="10" t="n">
        <v>635</v>
      </c>
      <c r="E707" s="10" t="n">
        <v>1</v>
      </c>
    </row>
    <row r="708">
      <c r="A708" s="10" t="inlineStr">
        <is>
          <t>C4075</t>
        </is>
      </c>
      <c r="B708" s="10" t="n">
        <v>1494187</v>
      </c>
      <c r="C708" s="10" t="n">
        <v>6</v>
      </c>
      <c r="D708" s="10" t="n">
        <v>286</v>
      </c>
      <c r="E708" s="10" t="n">
        <v>45</v>
      </c>
    </row>
    <row r="709">
      <c r="A709" s="10" t="inlineStr">
        <is>
          <t>C3038</t>
        </is>
      </c>
      <c r="B709" s="10" t="inlineStr">
        <is>
          <t>Rp 1.636.723</t>
        </is>
      </c>
      <c r="C709" s="10" t="n"/>
      <c r="D709" s="10" t="n">
        <v>407</v>
      </c>
      <c r="E709" s="10" t="n">
        <v>65</v>
      </c>
    </row>
    <row r="710">
      <c r="A710" s="10" t="inlineStr">
        <is>
          <t>C3939</t>
        </is>
      </c>
      <c r="B710" s="10" t="n">
        <v>6326378</v>
      </c>
      <c r="C710" s="10" t="n">
        <v>34</v>
      </c>
      <c r="D710" s="10" t="n">
        <v>633</v>
      </c>
      <c r="E710" s="10" t="n">
        <v>8</v>
      </c>
    </row>
    <row r="711">
      <c r="A711" s="10" t="inlineStr">
        <is>
          <t>C3686</t>
        </is>
      </c>
      <c r="B711" s="10" t="n">
        <v>1115882</v>
      </c>
      <c r="C711" s="10" t="n">
        <v>1</v>
      </c>
      <c r="D711" s="10" t="n">
        <v>599</v>
      </c>
      <c r="E711" s="10" t="n">
        <v>49</v>
      </c>
    </row>
    <row r="712">
      <c r="A712" s="10" t="inlineStr">
        <is>
          <t>C3420</t>
        </is>
      </c>
      <c r="B712" s="10" t="n">
        <v>740781</v>
      </c>
      <c r="C712" s="10" t="n">
        <v>1</v>
      </c>
      <c r="D712" s="10" t="n">
        <v>162</v>
      </c>
      <c r="E712" s="10" t="n">
        <v>58</v>
      </c>
    </row>
    <row r="713">
      <c r="A713" s="10" t="inlineStr">
        <is>
          <t>C4000</t>
        </is>
      </c>
      <c r="B713" s="10" t="n">
        <v>1104571</v>
      </c>
      <c r="C713" s="10" t="n">
        <v>5</v>
      </c>
      <c r="D713" s="10" t="n">
        <v>37</v>
      </c>
      <c r="E713" s="10" t="n">
        <v>134</v>
      </c>
    </row>
    <row r="714">
      <c r="A714" s="10" t="inlineStr">
        <is>
          <t>C3830</t>
        </is>
      </c>
      <c r="B714" s="10" t="n">
        <v>1348210</v>
      </c>
      <c r="C714" s="10" t="n">
        <v>1</v>
      </c>
      <c r="D714" s="10" t="n">
        <v>310</v>
      </c>
      <c r="E714" s="10" t="n">
        <v>1</v>
      </c>
    </row>
    <row r="715">
      <c r="A715" s="10" t="inlineStr">
        <is>
          <t>C3510</t>
        </is>
      </c>
      <c r="B715" s="10" t="n">
        <v>3085616</v>
      </c>
      <c r="C715" s="10" t="n">
        <v>18</v>
      </c>
      <c r="D715" s="10" t="n">
        <v>143</v>
      </c>
      <c r="E715" s="10" t="n">
        <v>27</v>
      </c>
    </row>
    <row r="716">
      <c r="A716" s="10" t="inlineStr">
        <is>
          <t>C4082</t>
        </is>
      </c>
      <c r="B716" s="10" t="inlineStr">
        <is>
          <t>Rp 3.786.330</t>
        </is>
      </c>
      <c r="C716" s="10" t="n">
        <v>14</v>
      </c>
      <c r="D716" s="10" t="n">
        <v>377</v>
      </c>
      <c r="E716" s="10" t="n">
        <v>39</v>
      </c>
    </row>
    <row r="717">
      <c r="A717" s="10" t="inlineStr">
        <is>
          <t>C3051</t>
        </is>
      </c>
      <c r="B717" s="10" t="n">
        <v>4409043</v>
      </c>
      <c r="C717" s="10" t="n">
        <v>13</v>
      </c>
      <c r="D717" s="10" t="n">
        <v>537</v>
      </c>
      <c r="E717" s="10" t="n">
        <v>38</v>
      </c>
    </row>
    <row r="718">
      <c r="A718" s="10" t="inlineStr">
        <is>
          <t>C3359</t>
        </is>
      </c>
      <c r="B718" s="10" t="n">
        <v>536700</v>
      </c>
      <c r="C718" s="10" t="n">
        <v>2</v>
      </c>
      <c r="D718" s="10" t="n">
        <v>5</v>
      </c>
      <c r="E718" s="10" t="inlineStr">
        <is>
          <t>21 days</t>
        </is>
      </c>
    </row>
    <row r="719">
      <c r="A719" s="10" t="inlineStr">
        <is>
          <t>C3452</t>
        </is>
      </c>
      <c r="B719" s="10" t="inlineStr">
        <is>
          <t>Rp 5.645.588</t>
        </is>
      </c>
      <c r="C719" s="10" t="n">
        <v>34</v>
      </c>
      <c r="D719" s="10" t="n">
        <v>643</v>
      </c>
      <c r="E719" s="10" t="n">
        <v>1</v>
      </c>
    </row>
    <row r="720">
      <c r="A720" s="10" t="inlineStr">
        <is>
          <t>C3870</t>
        </is>
      </c>
      <c r="B720" s="10" t="n">
        <v>1133481</v>
      </c>
      <c r="C720" s="10" t="n">
        <v>4</v>
      </c>
      <c r="D720" s="10" t="n">
        <v>51</v>
      </c>
      <c r="E720" s="10" t="n">
        <v>10</v>
      </c>
    </row>
    <row r="721">
      <c r="A721" s="10" t="inlineStr">
        <is>
          <t>C3727</t>
        </is>
      </c>
      <c r="B721" s="10" t="n">
        <v>661860</v>
      </c>
      <c r="C721" s="10" t="n">
        <v>3</v>
      </c>
      <c r="D721" s="10" t="n">
        <v>232</v>
      </c>
      <c r="E721" s="10" t="n">
        <v>102</v>
      </c>
    </row>
    <row r="722">
      <c r="A722" s="10" t="inlineStr">
        <is>
          <t>C3645</t>
        </is>
      </c>
      <c r="B722" s="10" t="inlineStr">
        <is>
          <t>Rp 1.073.025</t>
        </is>
      </c>
      <c r="C722" s="10" t="n">
        <v>4</v>
      </c>
      <c r="D722" s="10" t="n">
        <v>442</v>
      </c>
      <c r="E722" s="10" t="n">
        <v>82</v>
      </c>
    </row>
    <row r="723">
      <c r="A723" s="10" t="inlineStr">
        <is>
          <t>C3517</t>
        </is>
      </c>
      <c r="B723" s="10" t="n">
        <v>1473587</v>
      </c>
      <c r="C723" s="10" t="n">
        <v>3</v>
      </c>
      <c r="D723" s="10" t="n">
        <v>408</v>
      </c>
      <c r="E723" s="10" t="n">
        <v>129</v>
      </c>
    </row>
    <row r="724">
      <c r="A724" s="10" t="inlineStr">
        <is>
          <t>C4040</t>
        </is>
      </c>
      <c r="B724" s="10" t="n">
        <v>1349661</v>
      </c>
      <c r="C724" s="10" t="n">
        <v>4</v>
      </c>
      <c r="D724" s="10" t="n">
        <v>310</v>
      </c>
      <c r="E724" s="10" t="n">
        <v>96</v>
      </c>
    </row>
    <row r="725">
      <c r="A725" s="10" t="inlineStr">
        <is>
          <t>C3082</t>
        </is>
      </c>
      <c r="B725" s="10" t="n">
        <v>1124216</v>
      </c>
      <c r="C725" s="10" t="n">
        <v>1</v>
      </c>
      <c r="D725" s="10" t="n">
        <v>202</v>
      </c>
      <c r="E725" s="10" t="n">
        <v>38</v>
      </c>
    </row>
    <row r="726">
      <c r="A726" s="10" t="inlineStr">
        <is>
          <t>C3087</t>
        </is>
      </c>
      <c r="B726" s="10" t="inlineStr">
        <is>
          <t>Rp 2.817.517</t>
        </is>
      </c>
      <c r="C726" s="10" t="n">
        <v>14</v>
      </c>
      <c r="D726" s="10" t="n">
        <v>443</v>
      </c>
      <c r="E726" s="10" t="n">
        <v>5</v>
      </c>
    </row>
    <row r="727">
      <c r="A727" s="10" t="inlineStr">
        <is>
          <t>C4029</t>
        </is>
      </c>
      <c r="B727" s="10" t="inlineStr">
        <is>
          <t>Rp 1.273.432</t>
        </is>
      </c>
      <c r="C727" s="10" t="n">
        <v>1</v>
      </c>
      <c r="D727" s="10" t="n">
        <v>527</v>
      </c>
      <c r="E727" s="10" t="n">
        <v>66</v>
      </c>
    </row>
    <row r="728">
      <c r="A728" s="10" t="inlineStr">
        <is>
          <t>C3625</t>
        </is>
      </c>
      <c r="B728" s="10" t="n">
        <v>1118675</v>
      </c>
      <c r="C728" s="10" t="n">
        <v>4</v>
      </c>
      <c r="D728" s="10" t="n">
        <v>60</v>
      </c>
      <c r="E728" s="10" t="n">
        <v>15</v>
      </c>
    </row>
    <row r="729">
      <c r="A729" s="10" t="inlineStr">
        <is>
          <t>C3016</t>
        </is>
      </c>
      <c r="B729" s="10" t="n">
        <v>5921224</v>
      </c>
      <c r="C729" s="10" t="n">
        <v>30</v>
      </c>
      <c r="D729" s="10" t="n">
        <v>745</v>
      </c>
      <c r="E729" s="10" t="inlineStr">
        <is>
          <t>27 days</t>
        </is>
      </c>
    </row>
    <row r="730">
      <c r="A730" s="10" t="inlineStr">
        <is>
          <t>C3836</t>
        </is>
      </c>
      <c r="B730" s="10" t="n">
        <v>1665440</v>
      </c>
      <c r="C730" s="10" t="n">
        <v>3</v>
      </c>
      <c r="D730" s="10" t="n">
        <v>148</v>
      </c>
      <c r="E730" s="10" t="n">
        <v>113</v>
      </c>
    </row>
    <row r="731">
      <c r="A731" s="10" t="inlineStr">
        <is>
          <t>C3520</t>
        </is>
      </c>
      <c r="B731" s="10" t="n">
        <v>235936</v>
      </c>
      <c r="C731" s="10" t="n">
        <v>4</v>
      </c>
      <c r="D731" s="10" t="n">
        <v>51</v>
      </c>
      <c r="E731" s="10" t="n">
        <v>29</v>
      </c>
    </row>
    <row r="732">
      <c r="A732" s="10" t="inlineStr">
        <is>
          <t>C3944</t>
        </is>
      </c>
      <c r="B732" s="10" t="n">
        <v>1494743</v>
      </c>
      <c r="C732" s="10" t="n">
        <v>3</v>
      </c>
      <c r="D732" s="10" t="n">
        <v>17</v>
      </c>
      <c r="E732" s="10" t="n">
        <v>24</v>
      </c>
    </row>
    <row r="733">
      <c r="A733" s="10" t="inlineStr">
        <is>
          <t>C3489</t>
        </is>
      </c>
      <c r="B733" s="10" t="n">
        <v>2490932</v>
      </c>
      <c r="C733" s="10" t="n">
        <v>10</v>
      </c>
      <c r="D733" s="10" t="n">
        <v>458</v>
      </c>
      <c r="E733" s="10" t="n">
        <v>22</v>
      </c>
    </row>
    <row r="734">
      <c r="A734" s="10" t="inlineStr">
        <is>
          <t>C4092</t>
        </is>
      </c>
      <c r="B734" s="10" t="inlineStr">
        <is>
          <t>Rp 3.842.788</t>
        </is>
      </c>
      <c r="C734" s="10" t="n">
        <v>15</v>
      </c>
      <c r="D734" s="10" t="n">
        <v>436</v>
      </c>
      <c r="E734" s="10" t="n">
        <v>21</v>
      </c>
    </row>
    <row r="735">
      <c r="A735" s="10" t="inlineStr">
        <is>
          <t>C4035</t>
        </is>
      </c>
      <c r="B735" s="10" t="inlineStr">
        <is>
          <t>Rp 1.161.223</t>
        </is>
      </c>
      <c r="C735" s="10" t="n">
        <v>3</v>
      </c>
      <c r="D735" s="10" t="n">
        <v>5</v>
      </c>
      <c r="E735" s="10" t="n">
        <v>38</v>
      </c>
    </row>
    <row r="736">
      <c r="A736" s="10" t="inlineStr">
        <is>
          <t>C3576</t>
        </is>
      </c>
      <c r="B736" s="10" t="n">
        <v>897576</v>
      </c>
      <c r="C736" s="10" t="n">
        <v>1</v>
      </c>
      <c r="D736" s="10" t="n">
        <v>5</v>
      </c>
      <c r="E736" s="10" t="n">
        <v>20</v>
      </c>
    </row>
    <row r="737">
      <c r="A737" s="10" t="inlineStr">
        <is>
          <t>C3072</t>
        </is>
      </c>
      <c r="B737" s="10" t="inlineStr">
        <is>
          <t>Rp 3.479.040</t>
        </is>
      </c>
      <c r="C737" s="10" t="n">
        <v>11</v>
      </c>
      <c r="D737" s="10" t="n">
        <v>418</v>
      </c>
      <c r="E737" s="10" t="n">
        <v>19</v>
      </c>
    </row>
    <row r="738">
      <c r="A738" s="10" t="inlineStr">
        <is>
          <t>C3519</t>
        </is>
      </c>
      <c r="B738" s="10" t="inlineStr">
        <is>
          <t>Rp 726.582</t>
        </is>
      </c>
      <c r="C738" s="10" t="n">
        <v>5</v>
      </c>
      <c r="D738" s="10" t="n">
        <v>230</v>
      </c>
      <c r="E738" s="10" t="n">
        <v>55</v>
      </c>
    </row>
    <row r="739">
      <c r="A739" s="10" t="inlineStr">
        <is>
          <t>C3475</t>
        </is>
      </c>
      <c r="B739" s="10" t="n">
        <v>997475</v>
      </c>
      <c r="C739" s="10" t="n">
        <v>5</v>
      </c>
      <c r="D739" s="10" t="n">
        <v>213</v>
      </c>
      <c r="E739" s="10" t="inlineStr">
        <is>
          <t>43 days</t>
        </is>
      </c>
    </row>
    <row r="740">
      <c r="A740" s="10" t="inlineStr">
        <is>
          <t>C3197</t>
        </is>
      </c>
      <c r="B740" s="10" t="n">
        <v>831796</v>
      </c>
      <c r="C740" s="10" t="n">
        <v>7</v>
      </c>
      <c r="D740" s="10" t="n">
        <v>200</v>
      </c>
      <c r="E740" s="10" t="n">
        <v>57</v>
      </c>
    </row>
    <row r="741">
      <c r="A741" s="10" t="inlineStr">
        <is>
          <t>C3786</t>
        </is>
      </c>
      <c r="B741" s="10" t="n">
        <v>1218922</v>
      </c>
      <c r="C741" s="10" t="n">
        <v>5</v>
      </c>
      <c r="D741" s="10" t="n">
        <v>205</v>
      </c>
      <c r="E741" s="10" t="n">
        <v>39</v>
      </c>
    </row>
    <row r="742">
      <c r="A742" s="10" t="inlineStr">
        <is>
          <t>C3124</t>
        </is>
      </c>
      <c r="B742" s="10" t="n">
        <v>1841425</v>
      </c>
      <c r="C742" s="10" t="n">
        <v>6</v>
      </c>
      <c r="D742" s="10" t="n">
        <v>95</v>
      </c>
      <c r="E742" s="10" t="n">
        <v>29</v>
      </c>
    </row>
    <row r="743">
      <c r="A743" s="10" t="inlineStr">
        <is>
          <t>C3432</t>
        </is>
      </c>
      <c r="B743" s="10" t="n">
        <v>270664</v>
      </c>
      <c r="C743" s="10" t="n">
        <v>2</v>
      </c>
      <c r="D743" s="10" t="n">
        <v>56</v>
      </c>
      <c r="E743" s="10" t="inlineStr">
        <is>
          <t>3 days</t>
        </is>
      </c>
    </row>
    <row r="744">
      <c r="A744" s="10" t="inlineStr">
        <is>
          <t>C3591</t>
        </is>
      </c>
      <c r="B744" s="10" t="n">
        <v>1466809</v>
      </c>
      <c r="C744" s="10" t="n">
        <v>5</v>
      </c>
      <c r="D744" s="10" t="n">
        <v>163</v>
      </c>
      <c r="E744" s="10" t="n">
        <v>89</v>
      </c>
    </row>
    <row r="745">
      <c r="A745" s="10" t="inlineStr">
        <is>
          <t>C3459</t>
        </is>
      </c>
      <c r="B745" s="10" t="inlineStr">
        <is>
          <t>Rp 1.160.759</t>
        </is>
      </c>
      <c r="C745" s="10" t="n">
        <v>7</v>
      </c>
      <c r="D745" s="10" t="n">
        <v>490</v>
      </c>
      <c r="E745" s="10" t="n">
        <v>27</v>
      </c>
    </row>
    <row r="746">
      <c r="A746" s="10" t="inlineStr">
        <is>
          <t>C3540</t>
        </is>
      </c>
      <c r="B746" s="10" t="n">
        <v>129400</v>
      </c>
      <c r="C746" s="10" t="n">
        <v>7</v>
      </c>
      <c r="D746" s="10" t="n">
        <v>199</v>
      </c>
      <c r="E746" s="10" t="n">
        <v>114</v>
      </c>
    </row>
    <row r="747">
      <c r="A747" s="10" t="inlineStr">
        <is>
          <t>C3679</t>
        </is>
      </c>
      <c r="B747" s="10" t="n">
        <v>530847</v>
      </c>
      <c r="C747" s="10" t="n"/>
      <c r="D747" s="10" t="n">
        <v>64</v>
      </c>
      <c r="E747" s="10" t="n">
        <v>44</v>
      </c>
    </row>
    <row r="748">
      <c r="A748" s="10" t="inlineStr">
        <is>
          <t>C3439</t>
        </is>
      </c>
      <c r="B748" s="10" t="n">
        <v>4557088</v>
      </c>
      <c r="C748" s="10" t="n">
        <v>5</v>
      </c>
      <c r="D748" s="10" t="n">
        <v>429</v>
      </c>
      <c r="E748" s="10" t="n">
        <v>1</v>
      </c>
    </row>
    <row r="749">
      <c r="A749" s="10" t="inlineStr">
        <is>
          <t>C4023</t>
        </is>
      </c>
      <c r="B749" s="10" t="n">
        <v>2489685</v>
      </c>
      <c r="C749" s="10" t="n">
        <v>13</v>
      </c>
      <c r="D749" s="10" t="n">
        <v>419</v>
      </c>
      <c r="E749" s="10" t="inlineStr">
        <is>
          <t>40 days</t>
        </is>
      </c>
    </row>
    <row r="750">
      <c r="A750" s="10" t="inlineStr">
        <is>
          <t>C3711</t>
        </is>
      </c>
      <c r="B750" s="10" t="n">
        <v>1046365</v>
      </c>
      <c r="C750" s="10" t="n">
        <v>3</v>
      </c>
      <c r="D750" s="10" t="n">
        <v>16</v>
      </c>
      <c r="E750" s="10" t="inlineStr">
        <is>
          <t>37 days</t>
        </is>
      </c>
    </row>
    <row r="751">
      <c r="A751" s="10" t="inlineStr">
        <is>
          <t>C3561</t>
        </is>
      </c>
      <c r="B751" s="10" t="n">
        <v>250132</v>
      </c>
      <c r="C751" s="10" t="n">
        <v>1</v>
      </c>
      <c r="D751" s="10" t="n">
        <v>291</v>
      </c>
      <c r="E751" s="10" t="n">
        <v>15</v>
      </c>
    </row>
    <row r="752">
      <c r="A752" s="10" t="inlineStr">
        <is>
          <t>C3671</t>
        </is>
      </c>
      <c r="B752" s="10" t="n">
        <v>4379440</v>
      </c>
      <c r="C752" s="10" t="n">
        <v>20</v>
      </c>
      <c r="D752" s="10" t="n">
        <v>394</v>
      </c>
      <c r="E752" s="10" t="n">
        <v>28</v>
      </c>
    </row>
    <row r="753">
      <c r="A753" s="10" t="inlineStr">
        <is>
          <t>C3255</t>
        </is>
      </c>
      <c r="B753" s="10" t="n">
        <v>8874165</v>
      </c>
      <c r="C753" s="10" t="n">
        <v>39</v>
      </c>
      <c r="D753" s="10" t="n">
        <v>759</v>
      </c>
      <c r="E753" s="10" t="n">
        <v>7</v>
      </c>
    </row>
    <row r="754">
      <c r="A754" s="10" t="inlineStr">
        <is>
          <t>C3654</t>
        </is>
      </c>
      <c r="B754" s="10" t="n">
        <v>2528513</v>
      </c>
      <c r="C754" s="10" t="n">
        <v>10</v>
      </c>
      <c r="D754" s="10" t="n">
        <v>493</v>
      </c>
      <c r="E754" s="10" t="n">
        <v>16</v>
      </c>
    </row>
    <row r="755">
      <c r="A755" s="10" t="inlineStr">
        <is>
          <t>C3221</t>
        </is>
      </c>
      <c r="B755" s="10" t="n">
        <v>3069111</v>
      </c>
      <c r="C755" s="10" t="n">
        <v>9</v>
      </c>
      <c r="D755" s="10" t="n">
        <v>367</v>
      </c>
      <c r="E755" s="10" t="n">
        <v>40</v>
      </c>
    </row>
    <row r="756">
      <c r="A756" s="10" t="inlineStr">
        <is>
          <t>C3079</t>
        </is>
      </c>
      <c r="B756" s="10" t="inlineStr">
        <is>
          <t>Rp 4.596.045</t>
        </is>
      </c>
      <c r="C756" s="10" t="n">
        <v>34</v>
      </c>
      <c r="D756" s="10" t="n">
        <v>490</v>
      </c>
      <c r="E756" s="10" t="n">
        <v>25</v>
      </c>
    </row>
    <row r="757">
      <c r="A757" s="10" t="inlineStr">
        <is>
          <t>C3267</t>
        </is>
      </c>
      <c r="B757" s="10" t="n">
        <v>1173108</v>
      </c>
      <c r="C757" s="10" t="n">
        <v>12</v>
      </c>
      <c r="D757" s="10" t="n">
        <v>508</v>
      </c>
      <c r="E757" s="10" t="n">
        <v>15</v>
      </c>
    </row>
    <row r="758">
      <c r="A758" s="10" t="inlineStr">
        <is>
          <t>C3187</t>
        </is>
      </c>
      <c r="B758" s="10" t="n">
        <v>2888241</v>
      </c>
      <c r="C758" s="10" t="n">
        <v>21</v>
      </c>
      <c r="D758" s="10" t="n">
        <v>355</v>
      </c>
      <c r="E758" s="10" t="n">
        <v>14</v>
      </c>
    </row>
    <row r="759">
      <c r="A759" s="10" t="inlineStr">
        <is>
          <t>C3320</t>
        </is>
      </c>
      <c r="B759" s="10" t="n">
        <v>1545857</v>
      </c>
      <c r="C759" s="10" t="n">
        <v>4</v>
      </c>
      <c r="D759" s="10" t="n">
        <v>410</v>
      </c>
      <c r="E759" s="10" t="n">
        <v>122</v>
      </c>
    </row>
    <row r="760">
      <c r="A760" s="10" t="inlineStr">
        <is>
          <t>C3664</t>
        </is>
      </c>
      <c r="B760" s="10" t="n">
        <v>3210942</v>
      </c>
      <c r="C760" s="10" t="n">
        <v>15</v>
      </c>
      <c r="D760" s="10" t="n">
        <v>433</v>
      </c>
      <c r="E760" s="10" t="inlineStr">
        <is>
          <t>38 days</t>
        </is>
      </c>
    </row>
    <row r="761">
      <c r="A761" s="10" t="inlineStr">
        <is>
          <t>C3515</t>
        </is>
      </c>
      <c r="B761" s="10" t="n">
        <v>347905</v>
      </c>
      <c r="C761" s="10" t="n">
        <v>3</v>
      </c>
      <c r="D761" s="10" t="n">
        <v>42</v>
      </c>
      <c r="E761" s="10" t="inlineStr">
        <is>
          <t>1 days</t>
        </is>
      </c>
    </row>
    <row r="762">
      <c r="A762" s="10" t="inlineStr">
        <is>
          <t>C3478</t>
        </is>
      </c>
      <c r="B762" s="10" t="n">
        <v>450578</v>
      </c>
      <c r="C762" s="10" t="n">
        <v>5</v>
      </c>
      <c r="D762" s="10" t="n">
        <v>535</v>
      </c>
      <c r="E762" s="10" t="n">
        <v>108</v>
      </c>
    </row>
    <row r="763">
      <c r="A763" s="10" t="inlineStr">
        <is>
          <t>C3953</t>
        </is>
      </c>
      <c r="B763" s="10" t="inlineStr">
        <is>
          <t>Rp 3.478.803</t>
        </is>
      </c>
      <c r="C763" s="10" t="n">
        <v>12</v>
      </c>
      <c r="D763" s="10" t="n">
        <v>430</v>
      </c>
      <c r="E763" s="10" t="n">
        <v>18</v>
      </c>
    </row>
    <row r="764">
      <c r="A764" s="10" t="inlineStr">
        <is>
          <t>C3372</t>
        </is>
      </c>
      <c r="B764" s="10" t="n">
        <v>405584</v>
      </c>
      <c r="C764" s="10" t="n">
        <v>1</v>
      </c>
      <c r="D764" s="10" t="n">
        <v>406</v>
      </c>
      <c r="E764" s="10" t="n">
        <v>76</v>
      </c>
    </row>
    <row r="765">
      <c r="A765" s="10" t="inlineStr">
        <is>
          <t>C4007</t>
        </is>
      </c>
      <c r="B765" s="10" t="n">
        <v>5162521</v>
      </c>
      <c r="C765" s="10" t="n">
        <v>14</v>
      </c>
      <c r="D765" s="10" t="n">
        <v>217</v>
      </c>
      <c r="E765" s="10" t="n">
        <v>30</v>
      </c>
    </row>
    <row r="766">
      <c r="A766" s="10" t="inlineStr">
        <is>
          <t>C3368</t>
        </is>
      </c>
      <c r="B766" s="10" t="inlineStr">
        <is>
          <t>Rp 7.195.943</t>
        </is>
      </c>
      <c r="C766" s="10" t="n">
        <v>35</v>
      </c>
      <c r="D766" s="10" t="n">
        <v>326</v>
      </c>
      <c r="E766" s="10" t="n">
        <v>4</v>
      </c>
    </row>
    <row r="767">
      <c r="A767" s="10" t="inlineStr">
        <is>
          <t>C3367</t>
        </is>
      </c>
      <c r="B767" s="10" t="n">
        <v>1001647</v>
      </c>
      <c r="C767" s="10" t="n">
        <v>3</v>
      </c>
      <c r="D767" s="10" t="n">
        <v>292</v>
      </c>
      <c r="E767" s="10" t="n">
        <v>38</v>
      </c>
    </row>
    <row r="768">
      <c r="A768" s="10" t="inlineStr">
        <is>
          <t>C3612</t>
        </is>
      </c>
      <c r="B768" s="10" t="inlineStr">
        <is>
          <t>Rp 1.696.658</t>
        </is>
      </c>
      <c r="C768" s="10" t="n">
        <v>5</v>
      </c>
      <c r="D768" s="10" t="n">
        <v>347</v>
      </c>
      <c r="E768" s="10" t="inlineStr">
        <is>
          <t>81 days</t>
        </is>
      </c>
    </row>
    <row r="769">
      <c r="A769" s="10" t="inlineStr">
        <is>
          <t>C3771</t>
        </is>
      </c>
      <c r="B769" s="10" t="n">
        <v>502360</v>
      </c>
      <c r="C769" s="10" t="n">
        <v>4</v>
      </c>
      <c r="D769" s="10" t="n">
        <v>240</v>
      </c>
      <c r="E769" s="10" t="inlineStr">
        <is>
          <t>1 days</t>
        </is>
      </c>
    </row>
    <row r="770">
      <c r="A770" s="10" t="inlineStr">
        <is>
          <t>C3259</t>
        </is>
      </c>
      <c r="B770" s="10" t="n">
        <v>838250</v>
      </c>
      <c r="C770" s="10" t="n">
        <v>7</v>
      </c>
      <c r="D770" s="10" t="n">
        <v>217</v>
      </c>
      <c r="E770" s="10" t="inlineStr">
        <is>
          <t>87 days</t>
        </is>
      </c>
    </row>
    <row r="771">
      <c r="A771" s="10" t="inlineStr">
        <is>
          <t>C3256</t>
        </is>
      </c>
      <c r="B771" s="10" t="n">
        <v>1225853</v>
      </c>
      <c r="C771" s="10" t="n">
        <v>1</v>
      </c>
      <c r="D771" s="10" t="n">
        <v>55</v>
      </c>
      <c r="E771" s="10" t="n">
        <v>20</v>
      </c>
    </row>
    <row r="772">
      <c r="A772" s="10" t="inlineStr">
        <is>
          <t>C3086</t>
        </is>
      </c>
      <c r="B772" s="10" t="n">
        <v>6885398</v>
      </c>
      <c r="C772" s="10" t="n">
        <v>35</v>
      </c>
      <c r="D772" s="10" t="n">
        <v>735</v>
      </c>
      <c r="E772" s="10" t="n">
        <v>13</v>
      </c>
    </row>
    <row r="773">
      <c r="A773" s="10" t="inlineStr">
        <is>
          <t>C3653</t>
        </is>
      </c>
      <c r="B773" s="10" t="n">
        <v>1017708</v>
      </c>
      <c r="C773" s="10" t="n">
        <v>5</v>
      </c>
      <c r="D773" s="10" t="n">
        <v>298</v>
      </c>
      <c r="E773" s="10" t="n">
        <v>63</v>
      </c>
    </row>
    <row r="774">
      <c r="A774" s="10" t="inlineStr">
        <is>
          <t>C3222</t>
        </is>
      </c>
      <c r="B774" s="10" t="n">
        <v>3656580</v>
      </c>
      <c r="C774" s="10" t="n">
        <v>16</v>
      </c>
      <c r="D774" s="10" t="n">
        <v>367</v>
      </c>
      <c r="E774" s="10" t="inlineStr">
        <is>
          <t>10 days</t>
        </is>
      </c>
    </row>
    <row r="775">
      <c r="A775" s="10" t="inlineStr">
        <is>
          <t>C3662</t>
        </is>
      </c>
      <c r="B775" s="10" t="n">
        <v>3145461</v>
      </c>
      <c r="C775" s="10" t="n">
        <v>15</v>
      </c>
      <c r="D775" s="10" t="n">
        <v>547</v>
      </c>
      <c r="E775" s="10" t="n">
        <v>35</v>
      </c>
    </row>
    <row r="776">
      <c r="A776" s="10" t="inlineStr">
        <is>
          <t>C3516</t>
        </is>
      </c>
      <c r="B776" s="10" t="n">
        <v>3478788</v>
      </c>
      <c r="C776" s="10" t="n">
        <v>10</v>
      </c>
      <c r="D776" s="10" t="n">
        <v>328</v>
      </c>
      <c r="E776" s="10" t="n">
        <v>15</v>
      </c>
    </row>
    <row r="777">
      <c r="A777" s="10" t="inlineStr">
        <is>
          <t>C3316</t>
        </is>
      </c>
      <c r="B777" s="10" t="inlineStr">
        <is>
          <t>Rp 3.400.496</t>
        </is>
      </c>
      <c r="C777" s="10" t="n">
        <v>10</v>
      </c>
      <c r="D777" s="10" t="n">
        <v>439</v>
      </c>
      <c r="E777" s="10" t="inlineStr">
        <is>
          <t>23 days</t>
        </is>
      </c>
    </row>
    <row r="778">
      <c r="A778" s="10" t="inlineStr">
        <is>
          <t>C3411</t>
        </is>
      </c>
      <c r="B778" s="10" t="inlineStr">
        <is>
          <t>Rp 193.883</t>
        </is>
      </c>
      <c r="C778" s="10" t="n">
        <v>1</v>
      </c>
      <c r="D778" s="10" t="n">
        <v>80</v>
      </c>
      <c r="E778" s="10" t="n">
        <v>100</v>
      </c>
    </row>
    <row r="779">
      <c r="A779" s="10" t="inlineStr">
        <is>
          <t>C3862</t>
        </is>
      </c>
      <c r="B779" s="10" t="inlineStr">
        <is>
          <t>Rp 3.556.595</t>
        </is>
      </c>
      <c r="C779" s="10" t="n">
        <v>18</v>
      </c>
      <c r="D779" s="10" t="n">
        <v>344</v>
      </c>
      <c r="E779" s="10" t="n">
        <v>17</v>
      </c>
    </row>
    <row r="780">
      <c r="A780" s="10" t="inlineStr">
        <is>
          <t>C3215</t>
        </is>
      </c>
      <c r="B780" s="10" t="inlineStr">
        <is>
          <t>Rp 2.317.871</t>
        </is>
      </c>
      <c r="C780" s="10" t="n">
        <v>14</v>
      </c>
      <c r="D780" s="10" t="n">
        <v>159</v>
      </c>
      <c r="E780" s="10" t="n">
        <v>25</v>
      </c>
    </row>
    <row r="781">
      <c r="A781" s="10" t="inlineStr">
        <is>
          <t>C3971</t>
        </is>
      </c>
      <c r="B781" s="10" t="n">
        <v>579389</v>
      </c>
      <c r="C781" s="10" t="n">
        <v>1</v>
      </c>
      <c r="D781" s="10" t="n">
        <v>326</v>
      </c>
      <c r="E781" s="10" t="n">
        <v>83</v>
      </c>
    </row>
    <row r="782">
      <c r="A782" s="10" t="inlineStr">
        <is>
          <t>C3796</t>
        </is>
      </c>
      <c r="B782" s="10" t="n">
        <v>12089701</v>
      </c>
      <c r="C782" s="10" t="n">
        <v>28</v>
      </c>
      <c r="D782" s="10" t="n">
        <v>665</v>
      </c>
      <c r="E782" s="10" t="inlineStr">
        <is>
          <t>5 days</t>
        </is>
      </c>
    </row>
    <row r="783">
      <c r="A783" s="10" t="inlineStr">
        <is>
          <t>C3412</t>
        </is>
      </c>
      <c r="B783" s="10" t="n">
        <v>717205</v>
      </c>
      <c r="C783" s="10" t="n">
        <v>2</v>
      </c>
      <c r="D783" s="10" t="n">
        <v>204</v>
      </c>
      <c r="E783" s="10" t="n">
        <v>65</v>
      </c>
    </row>
    <row r="784">
      <c r="A784" s="10" t="inlineStr">
        <is>
          <t>C4057</t>
        </is>
      </c>
      <c r="B784" s="10" t="n">
        <v>2997005</v>
      </c>
      <c r="C784" s="10" t="n"/>
      <c r="D784" s="10" t="n">
        <v>603</v>
      </c>
      <c r="E784" s="10" t="n">
        <v>16</v>
      </c>
    </row>
    <row r="785">
      <c r="A785" s="10" t="inlineStr">
        <is>
          <t>C3364</t>
        </is>
      </c>
      <c r="B785" s="10" t="inlineStr">
        <is>
          <t>Rp 678.965</t>
        </is>
      </c>
      <c r="C785" s="10" t="n">
        <v>4</v>
      </c>
      <c r="D785" s="10" t="n">
        <v>367</v>
      </c>
      <c r="E785" s="10" t="inlineStr">
        <is>
          <t>57 days</t>
        </is>
      </c>
    </row>
    <row r="786">
      <c r="A786" s="10" t="inlineStr">
        <is>
          <t>C3688</t>
        </is>
      </c>
      <c r="B786" s="10" t="n">
        <v>3578622</v>
      </c>
      <c r="C786" s="10" t="n">
        <v>15</v>
      </c>
      <c r="D786" s="10" t="n">
        <v>289</v>
      </c>
      <c r="E786" s="10" t="n">
        <v>29</v>
      </c>
    </row>
    <row r="787">
      <c r="A787" s="10" t="inlineStr">
        <is>
          <t>C3890</t>
        </is>
      </c>
      <c r="B787" s="10" t="n">
        <v>575252</v>
      </c>
      <c r="C787" s="10" t="n">
        <v>2</v>
      </c>
      <c r="D787" s="10" t="n">
        <v>376</v>
      </c>
      <c r="E787" s="10" t="n">
        <v>73</v>
      </c>
    </row>
    <row r="788">
      <c r="A788" s="10" t="inlineStr">
        <is>
          <t>C3437</t>
        </is>
      </c>
      <c r="B788" s="10" t="inlineStr">
        <is>
          <t>Rp 831.409</t>
        </is>
      </c>
      <c r="C788" s="10" t="n">
        <v>4</v>
      </c>
      <c r="D788" s="10" t="n">
        <v>501</v>
      </c>
      <c r="E788" s="10" t="n">
        <v>61</v>
      </c>
    </row>
    <row r="789">
      <c r="A789" s="10" t="inlineStr">
        <is>
          <t>C4070</t>
        </is>
      </c>
      <c r="B789" s="10" t="n">
        <v>836746</v>
      </c>
      <c r="C789" s="10" t="n">
        <v>4</v>
      </c>
      <c r="D789" s="10" t="n">
        <v>521</v>
      </c>
      <c r="E789" s="10" t="n">
        <v>61</v>
      </c>
    </row>
    <row r="790">
      <c r="A790" s="10" t="inlineStr">
        <is>
          <t>C3982</t>
        </is>
      </c>
      <c r="B790" s="10" t="n">
        <v>673870</v>
      </c>
      <c r="C790" s="10" t="n">
        <v>6</v>
      </c>
      <c r="D790" s="10" t="n">
        <v>270</v>
      </c>
      <c r="E790" s="10" t="n">
        <v>97</v>
      </c>
    </row>
    <row r="791">
      <c r="A791" s="10" t="inlineStr">
        <is>
          <t>C3321</t>
        </is>
      </c>
      <c r="B791" s="10" t="n">
        <v>1099631</v>
      </c>
      <c r="C791" s="10" t="n">
        <v>2</v>
      </c>
      <c r="D791" s="10" t="n">
        <v>49</v>
      </c>
      <c r="E791" s="10" t="inlineStr">
        <is>
          <t>33 days</t>
        </is>
      </c>
    </row>
    <row r="792">
      <c r="A792" s="10" t="inlineStr">
        <is>
          <t>C3905</t>
        </is>
      </c>
      <c r="B792" s="10" t="n">
        <v>4394281</v>
      </c>
      <c r="C792" s="10" t="n"/>
      <c r="D792" s="10" t="n">
        <v>545</v>
      </c>
      <c r="E792" s="10" t="n">
        <v>6</v>
      </c>
    </row>
    <row r="793">
      <c r="A793" s="10" t="inlineStr">
        <is>
          <t>C3779</t>
        </is>
      </c>
      <c r="B793" s="10" t="n">
        <v>1340380</v>
      </c>
      <c r="C793" s="10" t="n">
        <v>2</v>
      </c>
      <c r="D793" s="10" t="n">
        <v>27</v>
      </c>
      <c r="E793" s="10" t="n">
        <v>6</v>
      </c>
    </row>
    <row r="794">
      <c r="A794" s="10" t="inlineStr">
        <is>
          <t>C3273</t>
        </is>
      </c>
      <c r="B794" s="10" t="n">
        <v>2901113</v>
      </c>
      <c r="C794" s="10" t="n">
        <v>24</v>
      </c>
      <c r="D794" s="10" t="n">
        <v>327</v>
      </c>
      <c r="E794" s="10" t="n">
        <v>17</v>
      </c>
    </row>
    <row r="795">
      <c r="A795" s="10" t="inlineStr">
        <is>
          <t>C3101</t>
        </is>
      </c>
      <c r="B795" s="10" t="inlineStr">
        <is>
          <t>Rp 3.030.617</t>
        </is>
      </c>
      <c r="C795" s="10" t="n">
        <v>14</v>
      </c>
      <c r="D795" s="10" t="n">
        <v>565</v>
      </c>
      <c r="E795" s="10" t="n">
        <v>21</v>
      </c>
    </row>
    <row r="796">
      <c r="A796" s="10" t="inlineStr">
        <is>
          <t>C3935</t>
        </is>
      </c>
      <c r="B796" s="10" t="n">
        <v>3987872</v>
      </c>
      <c r="C796" s="10" t="n">
        <v>12</v>
      </c>
      <c r="D796" s="10" t="n">
        <v>362</v>
      </c>
      <c r="E796" s="10" t="n">
        <v>35</v>
      </c>
    </row>
    <row r="797">
      <c r="A797" s="10" t="inlineStr">
        <is>
          <t>C3631</t>
        </is>
      </c>
      <c r="B797" s="10" t="n">
        <v>2940400</v>
      </c>
      <c r="C797" s="10" t="n">
        <v>13</v>
      </c>
      <c r="D797" s="10" t="n">
        <v>429</v>
      </c>
      <c r="E797" s="10" t="n">
        <v>28</v>
      </c>
    </row>
    <row r="798">
      <c r="A798" s="10" t="inlineStr">
        <is>
          <t>C3857</t>
        </is>
      </c>
      <c r="B798" s="10" t="inlineStr">
        <is>
          <t>Rp 1.261.178</t>
        </is>
      </c>
      <c r="C798" s="10" t="n">
        <v>4</v>
      </c>
      <c r="D798" s="10" t="n">
        <v>192</v>
      </c>
      <c r="E798" s="10" t="n">
        <v>121</v>
      </c>
    </row>
    <row r="799">
      <c r="A799" s="10" t="inlineStr">
        <is>
          <t>C4072</t>
        </is>
      </c>
      <c r="B799" s="10" t="n">
        <v>262793</v>
      </c>
      <c r="C799" s="10" t="n">
        <v>1</v>
      </c>
      <c r="D799" s="10" t="n">
        <v>227</v>
      </c>
      <c r="E799" s="10" t="n">
        <v>60</v>
      </c>
    </row>
    <row r="800">
      <c r="A800" s="10" t="inlineStr">
        <is>
          <t>C4093</t>
        </is>
      </c>
      <c r="B800" s="10" t="inlineStr">
        <is>
          <t>Rp 618.578</t>
        </is>
      </c>
      <c r="C800" s="10" t="n">
        <v>1</v>
      </c>
      <c r="D800" s="10" t="n">
        <v>314</v>
      </c>
      <c r="E800" s="10" t="n">
        <v>64</v>
      </c>
    </row>
    <row r="801">
      <c r="A801" s="10" t="inlineStr">
        <is>
          <t>C3182</t>
        </is>
      </c>
      <c r="B801" s="10" t="n">
        <v>11692992</v>
      </c>
      <c r="C801" s="10" t="n">
        <v>31</v>
      </c>
      <c r="D801" s="10" t="n">
        <v>786</v>
      </c>
      <c r="E801" s="10" t="n">
        <v>11</v>
      </c>
    </row>
    <row r="802">
      <c r="A802" s="10" t="inlineStr">
        <is>
          <t>C3549</t>
        </is>
      </c>
      <c r="B802" s="10" t="n">
        <v>1081217</v>
      </c>
      <c r="C802" s="10" t="n">
        <v>2</v>
      </c>
      <c r="D802" s="10" t="n">
        <v>200</v>
      </c>
      <c r="E802" s="10" t="n">
        <v>49</v>
      </c>
    </row>
    <row r="803">
      <c r="A803" s="10" t="inlineStr">
        <is>
          <t>C3161</t>
        </is>
      </c>
      <c r="B803" s="10" t="n">
        <v>438651</v>
      </c>
      <c r="C803" s="10" t="n">
        <v>4</v>
      </c>
      <c r="D803" s="10" t="n">
        <v>511</v>
      </c>
      <c r="E803" s="10" t="inlineStr">
        <is>
          <t>48 days</t>
        </is>
      </c>
    </row>
    <row r="804">
      <c r="A804" s="10" t="inlineStr">
        <is>
          <t>C4014</t>
        </is>
      </c>
      <c r="B804" s="10" t="inlineStr">
        <is>
          <t>Rp 2.808.016</t>
        </is>
      </c>
      <c r="C804" s="10" t="n">
        <v>11</v>
      </c>
      <c r="D804" s="10" t="n">
        <v>282</v>
      </c>
      <c r="E804" s="10" t="inlineStr">
        <is>
          <t>2 days</t>
        </is>
      </c>
    </row>
    <row r="805">
      <c r="A805" s="10" t="inlineStr">
        <is>
          <t>C3926</t>
        </is>
      </c>
      <c r="B805" s="10" t="n">
        <v>661316</v>
      </c>
      <c r="C805" s="10" t="n">
        <v>6</v>
      </c>
      <c r="D805" s="10" t="n">
        <v>352</v>
      </c>
      <c r="E805" s="10" t="n">
        <v>134</v>
      </c>
    </row>
    <row r="806">
      <c r="A806" s="10" t="inlineStr">
        <is>
          <t>C3690</t>
        </is>
      </c>
      <c r="B806" s="10" t="n">
        <v>1632606</v>
      </c>
      <c r="C806" s="10" t="n">
        <v>1</v>
      </c>
      <c r="D806" s="10" t="n">
        <v>106</v>
      </c>
      <c r="E806" s="10" t="n">
        <v>14</v>
      </c>
    </row>
    <row r="807">
      <c r="A807" s="10" t="inlineStr">
        <is>
          <t>C3395</t>
        </is>
      </c>
      <c r="B807" s="10" t="n">
        <v>1018292</v>
      </c>
      <c r="C807" s="10" t="n">
        <v>4</v>
      </c>
      <c r="D807" s="10" t="n">
        <v>202</v>
      </c>
      <c r="E807" s="10" t="n">
        <v>40</v>
      </c>
    </row>
    <row r="808">
      <c r="A808" s="10" t="inlineStr">
        <is>
          <t>C3258</t>
        </is>
      </c>
      <c r="B808" s="10" t="n">
        <v>367303</v>
      </c>
      <c r="C808" s="10" t="n">
        <v>5</v>
      </c>
      <c r="D808" s="10" t="n">
        <v>439</v>
      </c>
      <c r="E808" s="10" t="n">
        <v>125</v>
      </c>
    </row>
    <row r="809">
      <c r="A809" s="10" t="inlineStr">
        <is>
          <t>C4076</t>
        </is>
      </c>
      <c r="B809" s="10" t="n">
        <v>761356</v>
      </c>
      <c r="C809" s="10" t="n">
        <v>4</v>
      </c>
      <c r="D809" s="10" t="n">
        <v>606</v>
      </c>
      <c r="E809" s="10" t="inlineStr">
        <is>
          <t>17 days</t>
        </is>
      </c>
    </row>
    <row r="810">
      <c r="A810" s="10" t="inlineStr">
        <is>
          <t>C3488</t>
        </is>
      </c>
      <c r="B810" s="10" t="n">
        <v>9337696</v>
      </c>
      <c r="C810" s="10" t="n">
        <v>27</v>
      </c>
      <c r="D810" s="10" t="n">
        <v>459</v>
      </c>
      <c r="E810" s="10" t="n">
        <v>2</v>
      </c>
    </row>
    <row r="811">
      <c r="A811" s="10" t="inlineStr">
        <is>
          <t>C3967</t>
        </is>
      </c>
      <c r="B811" s="10" t="n">
        <v>1308419</v>
      </c>
      <c r="C811" s="10" t="n">
        <v>4</v>
      </c>
      <c r="D811" s="10" t="n">
        <v>91</v>
      </c>
      <c r="E811" s="10" t="n">
        <v>71</v>
      </c>
    </row>
    <row r="812">
      <c r="A812" s="10" t="inlineStr">
        <is>
          <t>C3263</t>
        </is>
      </c>
      <c r="B812" s="10" t="n">
        <v>1342316</v>
      </c>
      <c r="C812" s="10" t="n">
        <v>1</v>
      </c>
      <c r="D812" s="10" t="n">
        <v>292</v>
      </c>
      <c r="E812" s="10" t="n">
        <v>43</v>
      </c>
    </row>
    <row r="813">
      <c r="A813" s="10" t="inlineStr">
        <is>
          <t>C3245</t>
        </is>
      </c>
      <c r="B813" s="10" t="n">
        <v>247620</v>
      </c>
      <c r="C813" s="10" t="n">
        <v>9</v>
      </c>
      <c r="D813" s="10" t="n">
        <v>139</v>
      </c>
      <c r="E813" s="10" t="inlineStr">
        <is>
          <t>76 days</t>
        </is>
      </c>
    </row>
    <row r="814">
      <c r="A814" s="10" t="inlineStr">
        <is>
          <t>C3934</t>
        </is>
      </c>
      <c r="B814" s="10" t="inlineStr">
        <is>
          <t>Rp 593.365</t>
        </is>
      </c>
      <c r="C814" s="10" t="n">
        <v>5</v>
      </c>
      <c r="D814" s="10" t="n">
        <v>281</v>
      </c>
      <c r="E814" s="10" t="n">
        <v>39</v>
      </c>
    </row>
    <row r="815">
      <c r="A815" s="10" t="inlineStr">
        <is>
          <t>C4043</t>
        </is>
      </c>
      <c r="B815" s="10" t="inlineStr">
        <is>
          <t>Rp 7.274.217</t>
        </is>
      </c>
      <c r="C815" s="10" t="n">
        <v>17</v>
      </c>
      <c r="D815" s="10" t="n">
        <v>472</v>
      </c>
      <c r="E815" s="10" t="inlineStr">
        <is>
          <t>1 days</t>
        </is>
      </c>
    </row>
    <row r="816">
      <c r="A816" s="10" t="inlineStr">
        <is>
          <t>C3669</t>
        </is>
      </c>
      <c r="B816" s="10" t="n">
        <v>303657</v>
      </c>
      <c r="C816" s="10" t="n">
        <v>7</v>
      </c>
      <c r="D816" s="10" t="n">
        <v>282</v>
      </c>
      <c r="E816" s="10" t="n">
        <v>19</v>
      </c>
    </row>
    <row r="817">
      <c r="A817" s="10" t="inlineStr">
        <is>
          <t>C3927</t>
        </is>
      </c>
      <c r="B817" s="10" t="n">
        <v>5239721</v>
      </c>
      <c r="C817" s="10" t="n">
        <v>17</v>
      </c>
      <c r="D817" s="10" t="n">
        <v>382</v>
      </c>
      <c r="E817" s="10" t="n">
        <v>16</v>
      </c>
    </row>
    <row r="818">
      <c r="A818" s="10" t="inlineStr">
        <is>
          <t>C3385</t>
        </is>
      </c>
      <c r="B818" s="10" t="n">
        <v>918283</v>
      </c>
      <c r="C818" s="10" t="n">
        <v>5</v>
      </c>
      <c r="D818" s="10" t="n">
        <v>313</v>
      </c>
      <c r="E818" s="10" t="n">
        <v>99</v>
      </c>
    </row>
    <row r="819">
      <c r="A819" s="10" t="inlineStr">
        <is>
          <t>C3266</t>
        </is>
      </c>
      <c r="B819" s="10" t="n">
        <v>3871243</v>
      </c>
      <c r="C819" s="10" t="n">
        <v>15</v>
      </c>
      <c r="D819" s="10" t="n">
        <v>437</v>
      </c>
      <c r="E819" s="10" t="n">
        <v>45</v>
      </c>
    </row>
    <row r="820">
      <c r="A820" s="10" t="inlineStr">
        <is>
          <t>C3118</t>
        </is>
      </c>
      <c r="B820" s="10" t="inlineStr">
        <is>
          <t>Rp 1.103.056</t>
        </is>
      </c>
      <c r="C820" s="10" t="n">
        <v>2</v>
      </c>
      <c r="D820" s="10" t="n">
        <v>62</v>
      </c>
      <c r="E820" s="10" t="n">
        <v>6</v>
      </c>
    </row>
    <row r="821">
      <c r="A821" s="10" t="inlineStr">
        <is>
          <t>C3268</t>
        </is>
      </c>
      <c r="B821" s="10" t="n">
        <v>9519455</v>
      </c>
      <c r="C821" s="10" t="n">
        <v>33</v>
      </c>
      <c r="D821" s="10" t="n">
        <v>778</v>
      </c>
      <c r="E821" s="10" t="n">
        <v>12</v>
      </c>
    </row>
    <row r="822">
      <c r="A822" s="10" t="inlineStr">
        <is>
          <t>C3573</t>
        </is>
      </c>
      <c r="B822" s="10" t="n">
        <v>4008321</v>
      </c>
      <c r="C822" s="10" t="n">
        <v>10</v>
      </c>
      <c r="D822" s="10" t="n">
        <v>85</v>
      </c>
      <c r="E822" s="10" t="n">
        <v>26</v>
      </c>
    </row>
    <row r="823">
      <c r="A823" s="10" t="inlineStr">
        <is>
          <t>C3994</t>
        </is>
      </c>
      <c r="B823" s="10" t="n">
        <v>2750534</v>
      </c>
      <c r="C823" s="10" t="n">
        <v>13</v>
      </c>
      <c r="D823" s="10" t="n">
        <v>190</v>
      </c>
      <c r="E823" s="10" t="n">
        <v>37</v>
      </c>
    </row>
    <row r="824">
      <c r="A824" s="10" t="inlineStr">
        <is>
          <t>C3675</t>
        </is>
      </c>
      <c r="B824" s="10" t="n">
        <v>762044</v>
      </c>
      <c r="C824" s="10" t="n">
        <v>6</v>
      </c>
      <c r="D824" s="10" t="n">
        <v>132</v>
      </c>
      <c r="E824" s="10" t="n">
        <v>65</v>
      </c>
    </row>
    <row r="825">
      <c r="A825" s="10" t="inlineStr">
        <is>
          <t>C3234</t>
        </is>
      </c>
      <c r="B825" s="10" t="n">
        <v>1065513</v>
      </c>
      <c r="C825" s="10" t="n">
        <v>4</v>
      </c>
      <c r="D825" s="10" t="n">
        <v>285</v>
      </c>
      <c r="E825" s="10" t="n">
        <v>45</v>
      </c>
    </row>
    <row r="826">
      <c r="A826" s="10" t="inlineStr">
        <is>
          <t>C3092</t>
        </is>
      </c>
      <c r="B826" s="10" t="inlineStr">
        <is>
          <t>Rp 4.662.982</t>
        </is>
      </c>
      <c r="C826" s="10" t="n">
        <v>15</v>
      </c>
      <c r="D826" s="10" t="n">
        <v>354</v>
      </c>
      <c r="E826" s="10" t="n">
        <v>29</v>
      </c>
    </row>
    <row r="827">
      <c r="A827" s="10" t="inlineStr">
        <is>
          <t>C3287</t>
        </is>
      </c>
      <c r="B827" s="10" t="n">
        <v>762919</v>
      </c>
      <c r="C827" s="10" t="n">
        <v>4</v>
      </c>
      <c r="D827" s="10" t="n">
        <v>480</v>
      </c>
      <c r="E827" s="10" t="inlineStr">
        <is>
          <t>80 days</t>
        </is>
      </c>
    </row>
    <row r="828">
      <c r="A828" s="10" t="inlineStr">
        <is>
          <t>C3394</t>
        </is>
      </c>
      <c r="B828" s="10" t="inlineStr">
        <is>
          <t>Rp 1.413.162</t>
        </is>
      </c>
      <c r="C828" s="10" t="n">
        <v>3</v>
      </c>
      <c r="D828" s="10" t="n">
        <v>432</v>
      </c>
      <c r="E828" s="10" t="n">
        <v>64</v>
      </c>
    </row>
    <row r="829">
      <c r="A829" s="10" t="inlineStr">
        <is>
          <t>C3084</t>
        </is>
      </c>
      <c r="B829" s="10" t="n">
        <v>3940806</v>
      </c>
      <c r="C829" s="10" t="n">
        <v>18</v>
      </c>
      <c r="D829" s="10" t="n">
        <v>380</v>
      </c>
      <c r="E829" s="10" t="inlineStr">
        <is>
          <t>28 days</t>
        </is>
      </c>
    </row>
    <row r="830">
      <c r="A830" s="10" t="inlineStr">
        <is>
          <t>C3243</t>
        </is>
      </c>
      <c r="B830" s="10" t="n">
        <v>0</v>
      </c>
      <c r="C830" s="10" t="n">
        <v>5</v>
      </c>
      <c r="D830" s="10" t="n">
        <v>319</v>
      </c>
      <c r="E830" s="10" t="n">
        <v>138</v>
      </c>
    </row>
    <row r="831">
      <c r="A831" s="10" t="inlineStr">
        <is>
          <t>C3430</t>
        </is>
      </c>
      <c r="B831" s="10" t="inlineStr">
        <is>
          <t>Rp 3.537.728</t>
        </is>
      </c>
      <c r="C831" s="10" t="n">
        <v>17</v>
      </c>
      <c r="D831" s="10" t="n">
        <v>587</v>
      </c>
      <c r="E831" s="10" t="n">
        <v>31</v>
      </c>
    </row>
    <row r="832">
      <c r="A832" s="10" t="inlineStr">
        <is>
          <t>C3534</t>
        </is>
      </c>
      <c r="B832" s="10" t="inlineStr">
        <is>
          <t>Rp 641.120</t>
        </is>
      </c>
      <c r="C832" s="10" t="n">
        <v>2</v>
      </c>
      <c r="D832" s="10" t="n">
        <v>201</v>
      </c>
      <c r="E832" s="10" t="n">
        <v>39</v>
      </c>
    </row>
    <row r="833">
      <c r="A833" s="10" t="inlineStr">
        <is>
          <t>C3453</t>
        </is>
      </c>
      <c r="B833" s="10" t="n">
        <v>1349706</v>
      </c>
      <c r="C833" s="10" t="n">
        <v>4</v>
      </c>
      <c r="D833" s="10" t="n">
        <v>147</v>
      </c>
      <c r="E833" s="10" t="n">
        <v>80</v>
      </c>
    </row>
    <row r="834">
      <c r="A834" s="10" t="inlineStr">
        <is>
          <t>C3774</t>
        </is>
      </c>
      <c r="B834" s="10" t="n">
        <v>4232714</v>
      </c>
      <c r="C834" s="10" t="n">
        <v>12</v>
      </c>
      <c r="D834" s="10" t="n">
        <v>196</v>
      </c>
      <c r="E834" s="10" t="n">
        <v>37</v>
      </c>
    </row>
    <row r="835">
      <c r="A835" s="10" t="inlineStr">
        <is>
          <t>C3487</t>
        </is>
      </c>
      <c r="B835" s="10" t="inlineStr">
        <is>
          <t>Rp 1.107.881</t>
        </is>
      </c>
      <c r="C835" s="10" t="n">
        <v>2</v>
      </c>
      <c r="D835" s="10" t="n">
        <v>102</v>
      </c>
      <c r="E835" s="10" t="inlineStr">
        <is>
          <t>28 days</t>
        </is>
      </c>
    </row>
    <row r="836">
      <c r="A836" s="10" t="inlineStr">
        <is>
          <t>C3683</t>
        </is>
      </c>
      <c r="B836" s="10" t="n">
        <v>954249</v>
      </c>
      <c r="C836" s="10" t="n">
        <v>3</v>
      </c>
      <c r="D836" s="10" t="n">
        <v>361</v>
      </c>
      <c r="E836" s="10" t="n">
        <v>58</v>
      </c>
    </row>
    <row r="837">
      <c r="A837" s="10" t="inlineStr">
        <is>
          <t>C3262</t>
        </is>
      </c>
      <c r="B837" s="10" t="n">
        <v>4835554</v>
      </c>
      <c r="C837" s="10" t="n">
        <v>13</v>
      </c>
      <c r="D837" s="10" t="n">
        <v>453</v>
      </c>
      <c r="E837" s="10" t="n">
        <v>25</v>
      </c>
    </row>
    <row r="838">
      <c r="A838" s="10" t="inlineStr">
        <is>
          <t>C3218</t>
        </is>
      </c>
      <c r="B838" s="10" t="n">
        <v>388408</v>
      </c>
      <c r="C838" s="10" t="n">
        <v>6</v>
      </c>
      <c r="D838" s="10" t="n">
        <v>310</v>
      </c>
      <c r="E838" s="10" t="n">
        <v>95</v>
      </c>
    </row>
    <row r="839">
      <c r="A839" s="10" t="inlineStr">
        <is>
          <t>C4036</t>
        </is>
      </c>
      <c r="B839" s="10" t="n">
        <v>2458030</v>
      </c>
      <c r="C839" s="10" t="n">
        <v>4</v>
      </c>
      <c r="D839" s="10" t="n">
        <v>6</v>
      </c>
      <c r="E839" s="10" t="n">
        <v>9</v>
      </c>
    </row>
    <row r="840">
      <c r="A840" s="10" t="inlineStr">
        <is>
          <t>C3137</t>
        </is>
      </c>
      <c r="B840" s="10" t="n">
        <v>964104</v>
      </c>
      <c r="C840" s="10" t="n">
        <v>2</v>
      </c>
      <c r="D840" s="10" t="n">
        <v>244</v>
      </c>
      <c r="E840" s="10" t="n">
        <v>11</v>
      </c>
    </row>
    <row r="841">
      <c r="A841" s="10" t="inlineStr">
        <is>
          <t>C3885</t>
        </is>
      </c>
      <c r="B841" s="10" t="n">
        <v>1286452</v>
      </c>
      <c r="C841" s="10" t="n">
        <v>1</v>
      </c>
      <c r="D841" s="10" t="n">
        <v>207</v>
      </c>
      <c r="E841" s="10" t="inlineStr">
        <is>
          <t>26 days</t>
        </is>
      </c>
    </row>
    <row r="842">
      <c r="A842" s="10" t="inlineStr">
        <is>
          <t>C3684</t>
        </is>
      </c>
      <c r="B842" s="10" t="inlineStr">
        <is>
          <t>Rp 853.740</t>
        </is>
      </c>
      <c r="C842" s="10" t="n">
        <v>10</v>
      </c>
      <c r="D842" s="10" t="n">
        <v>380</v>
      </c>
      <c r="E842" s="10" t="inlineStr">
        <is>
          <t>87 days</t>
        </is>
      </c>
    </row>
    <row r="843">
      <c r="A843" s="10" t="inlineStr">
        <is>
          <t>C3941</t>
        </is>
      </c>
      <c r="B843" s="10" t="n">
        <v>895007</v>
      </c>
      <c r="C843" s="10" t="n">
        <v>6</v>
      </c>
      <c r="D843" s="10" t="n">
        <v>50</v>
      </c>
      <c r="E843" s="10" t="inlineStr">
        <is>
          <t>26 days</t>
        </is>
      </c>
    </row>
    <row r="844">
      <c r="A844" s="10" t="inlineStr">
        <is>
          <t>C3065</t>
        </is>
      </c>
      <c r="B844" s="10" t="n">
        <v>8830653</v>
      </c>
      <c r="C844" s="10" t="n">
        <v>29</v>
      </c>
      <c r="D844" s="10" t="n">
        <v>722</v>
      </c>
      <c r="E844" s="10" t="n">
        <v>12</v>
      </c>
    </row>
    <row r="845">
      <c r="A845" s="10" t="inlineStr">
        <is>
          <t>C3374</t>
        </is>
      </c>
      <c r="B845" s="10" t="n">
        <v>781384</v>
      </c>
      <c r="C845" s="10" t="n">
        <v>4</v>
      </c>
      <c r="D845" s="10" t="n">
        <v>333</v>
      </c>
      <c r="E845" s="10" t="n">
        <v>53</v>
      </c>
    </row>
    <row r="846">
      <c r="A846" s="10" t="inlineStr">
        <is>
          <t>C3867</t>
        </is>
      </c>
      <c r="B846" s="10" t="inlineStr">
        <is>
          <t>Rp 886.334</t>
        </is>
      </c>
      <c r="C846" s="10" t="n">
        <v>6</v>
      </c>
      <c r="D846" s="10" t="n">
        <v>5</v>
      </c>
      <c r="E846" s="10" t="n">
        <v>21</v>
      </c>
    </row>
    <row r="847">
      <c r="A847" s="10" t="inlineStr">
        <is>
          <t>C3712</t>
        </is>
      </c>
      <c r="B847" s="10" t="n">
        <v>414225</v>
      </c>
      <c r="C847" s="10" t="n">
        <v>7</v>
      </c>
      <c r="D847" s="10" t="n">
        <v>193</v>
      </c>
      <c r="E847" s="10" t="n">
        <v>91</v>
      </c>
    </row>
    <row r="848">
      <c r="A848" s="10" t="inlineStr">
        <is>
          <t>C3978</t>
        </is>
      </c>
      <c r="B848" s="10" t="inlineStr">
        <is>
          <t>Rp 2.992.074</t>
        </is>
      </c>
      <c r="C848" s="10" t="n">
        <v>10</v>
      </c>
      <c r="D848" s="10" t="n">
        <v>360</v>
      </c>
      <c r="E848" s="10" t="inlineStr">
        <is>
          <t>22 days</t>
        </is>
      </c>
    </row>
    <row r="849">
      <c r="A849" s="10" t="inlineStr">
        <is>
          <t>C3995</t>
        </is>
      </c>
      <c r="B849" s="10" t="n">
        <v>1720424</v>
      </c>
      <c r="C849" s="10" t="n">
        <v>3</v>
      </c>
      <c r="D849" s="10" t="n">
        <v>44</v>
      </c>
      <c r="E849" s="10" t="n">
        <v>7</v>
      </c>
    </row>
    <row r="850">
      <c r="A850" s="10" t="inlineStr">
        <is>
          <t>C3863</t>
        </is>
      </c>
      <c r="B850" s="10" t="n">
        <v>227781</v>
      </c>
      <c r="C850" s="10" t="n">
        <v>1</v>
      </c>
      <c r="D850" s="10" t="n">
        <v>467</v>
      </c>
      <c r="E850" s="10" t="n">
        <v>142</v>
      </c>
    </row>
    <row r="851">
      <c r="A851" s="10" t="inlineStr">
        <is>
          <t>C3037</t>
        </is>
      </c>
      <c r="B851" s="10" t="inlineStr">
        <is>
          <t>Rp 9.159.032</t>
        </is>
      </c>
      <c r="C851" s="10" t="n">
        <v>35</v>
      </c>
      <c r="D851" s="10" t="n">
        <v>651</v>
      </c>
      <c r="E851" s="10" t="n">
        <v>6</v>
      </c>
    </row>
    <row r="852">
      <c r="A852" s="10" t="inlineStr">
        <is>
          <t>C3837</t>
        </is>
      </c>
      <c r="B852" s="10" t="n">
        <v>612315</v>
      </c>
      <c r="C852" s="10" t="n">
        <v>2</v>
      </c>
      <c r="D852" s="10" t="n">
        <v>5</v>
      </c>
      <c r="E852" s="10" t="n">
        <v>104</v>
      </c>
    </row>
    <row r="853">
      <c r="A853" s="10" t="inlineStr">
        <is>
          <t>C3661</t>
        </is>
      </c>
      <c r="B853" s="10" t="inlineStr">
        <is>
          <t>Rp 794.989</t>
        </is>
      </c>
      <c r="C853" s="10" t="n">
        <v>5</v>
      </c>
      <c r="D853" s="10" t="n">
        <v>353</v>
      </c>
      <c r="E853" s="10" t="n">
        <v>58</v>
      </c>
    </row>
    <row r="854">
      <c r="A854" s="10" t="inlineStr">
        <is>
          <t>C3476</t>
        </is>
      </c>
      <c r="B854" s="10" t="n">
        <v>7739878</v>
      </c>
      <c r="C854" s="10" t="n">
        <v>23</v>
      </c>
      <c r="D854" s="10" t="n">
        <v>622</v>
      </c>
      <c r="E854" s="10" t="n">
        <v>13</v>
      </c>
    </row>
    <row r="855">
      <c r="A855" s="10" t="inlineStr">
        <is>
          <t>C3975</t>
        </is>
      </c>
      <c r="B855" s="10" t="inlineStr">
        <is>
          <t>Rp 8.907.140</t>
        </is>
      </c>
      <c r="C855" s="10" t="n">
        <v>21</v>
      </c>
      <c r="D855" s="10" t="n">
        <v>570</v>
      </c>
      <c r="E855" s="10" t="inlineStr">
        <is>
          <t>15 days</t>
        </is>
      </c>
    </row>
    <row r="856">
      <c r="A856" s="10" t="inlineStr">
        <is>
          <t>C3527</t>
        </is>
      </c>
      <c r="B856" s="10" t="n">
        <v>7993459</v>
      </c>
      <c r="C856" s="10" t="n">
        <v>32</v>
      </c>
      <c r="D856" s="10" t="n">
        <v>653</v>
      </c>
      <c r="E856" s="10" t="n">
        <v>26</v>
      </c>
    </row>
    <row r="857">
      <c r="A857" s="10" t="inlineStr">
        <is>
          <t>C3841</t>
        </is>
      </c>
      <c r="B857" s="10" t="n">
        <v>962129</v>
      </c>
      <c r="C857" s="10" t="n">
        <v>2</v>
      </c>
      <c r="D857" s="10" t="n">
        <v>77</v>
      </c>
      <c r="E857" s="10" t="n">
        <v>14</v>
      </c>
    </row>
    <row r="858">
      <c r="A858" s="10" t="inlineStr">
        <is>
          <t>C3801</t>
        </is>
      </c>
      <c r="B858" s="10" t="n">
        <v>853985</v>
      </c>
      <c r="C858" s="10" t="n">
        <v>3</v>
      </c>
      <c r="D858" s="10" t="n">
        <v>277</v>
      </c>
      <c r="E858" s="10" t="n">
        <v>45</v>
      </c>
    </row>
    <row r="859">
      <c r="A859" s="10" t="inlineStr">
        <is>
          <t>C3409</t>
        </is>
      </c>
      <c r="B859" s="10" t="inlineStr">
        <is>
          <t>Rp 1.183.293</t>
        </is>
      </c>
      <c r="C859" s="10" t="n">
        <v>5</v>
      </c>
      <c r="D859" s="10" t="n">
        <v>423</v>
      </c>
      <c r="E859" s="10" t="n">
        <v>78</v>
      </c>
    </row>
    <row r="860">
      <c r="A860" s="10" t="inlineStr">
        <is>
          <t>C3376</t>
        </is>
      </c>
      <c r="B860" s="10" t="inlineStr">
        <is>
          <t>Rp 1.118.096</t>
        </is>
      </c>
      <c r="C860" s="10" t="n">
        <v>6</v>
      </c>
      <c r="D860" s="10" t="n">
        <v>109</v>
      </c>
      <c r="E860" s="10" t="n">
        <v>109</v>
      </c>
    </row>
    <row r="861">
      <c r="A861" s="10" t="inlineStr">
        <is>
          <t>C3100</t>
        </is>
      </c>
      <c r="B861" s="10" t="n">
        <v>779048</v>
      </c>
      <c r="C861" s="10" t="n">
        <v>4</v>
      </c>
      <c r="D861" s="10" t="n">
        <v>504</v>
      </c>
      <c r="E861" s="10" t="inlineStr">
        <is>
          <t>82 days</t>
        </is>
      </c>
    </row>
    <row r="862">
      <c r="A862" s="10" t="inlineStr">
        <is>
          <t>C3162</t>
        </is>
      </c>
      <c r="B862" s="10" t="n">
        <v>1816255</v>
      </c>
      <c r="C862" s="10" t="n">
        <v>2</v>
      </c>
      <c r="D862" s="10" t="n">
        <v>71</v>
      </c>
      <c r="E862" s="10" t="n">
        <v>13</v>
      </c>
    </row>
    <row r="863">
      <c r="A863" s="10" t="inlineStr">
        <is>
          <t>C3328</t>
        </is>
      </c>
      <c r="B863" s="10" t="n">
        <v>6527520</v>
      </c>
      <c r="C863" s="10" t="n">
        <v>37</v>
      </c>
      <c r="D863" s="10" t="n">
        <v>465</v>
      </c>
      <c r="E863" s="10" t="n">
        <v>12</v>
      </c>
    </row>
    <row r="864">
      <c r="A864" s="10" t="inlineStr">
        <is>
          <t>C3869</t>
        </is>
      </c>
      <c r="B864" s="10" t="n">
        <v>8835438</v>
      </c>
      <c r="C864" s="10" t="n">
        <v>21</v>
      </c>
      <c r="D864" s="10" t="n">
        <v>514</v>
      </c>
      <c r="E864" s="10" t="n">
        <v>15</v>
      </c>
    </row>
    <row r="865">
      <c r="A865" s="10" t="inlineStr">
        <is>
          <t>C3453</t>
        </is>
      </c>
      <c r="B865" s="10" t="n">
        <v>1349706</v>
      </c>
      <c r="C865" s="10" t="n">
        <v>4</v>
      </c>
      <c r="D865" s="10" t="n">
        <v>147</v>
      </c>
      <c r="E865" s="10" t="n">
        <v>80</v>
      </c>
    </row>
    <row r="866">
      <c r="A866" s="10" t="inlineStr">
        <is>
          <t>C3957</t>
        </is>
      </c>
      <c r="B866" s="10" t="inlineStr">
        <is>
          <t>Rp 917.444</t>
        </is>
      </c>
      <c r="C866" s="10" t="n">
        <v>4</v>
      </c>
      <c r="D866" s="10" t="n">
        <v>5</v>
      </c>
      <c r="E866" s="10" t="n">
        <v>20</v>
      </c>
    </row>
    <row r="867">
      <c r="A867" s="10" t="inlineStr">
        <is>
          <t>C3806</t>
        </is>
      </c>
      <c r="B867" s="10" t="n">
        <v>923460</v>
      </c>
      <c r="C867" s="10" t="n">
        <v>5</v>
      </c>
      <c r="D867" s="10" t="n">
        <v>201</v>
      </c>
      <c r="E867" s="10" t="n">
        <v>27</v>
      </c>
    </row>
    <row r="868">
      <c r="A868" s="10" t="inlineStr">
        <is>
          <t>C3455</t>
        </is>
      </c>
      <c r="B868" s="10" t="n">
        <v>11087046</v>
      </c>
      <c r="C868" s="10" t="n">
        <v>37</v>
      </c>
      <c r="D868" s="10" t="n">
        <v>589</v>
      </c>
      <c r="E868" s="10" t="n">
        <v>13</v>
      </c>
    </row>
    <row r="869">
      <c r="A869" s="10" t="inlineStr">
        <is>
          <t>C4002</t>
        </is>
      </c>
      <c r="B869" s="10" t="n">
        <v>3842866</v>
      </c>
      <c r="C869" s="10" t="n">
        <v>15</v>
      </c>
      <c r="D869" s="10" t="n">
        <v>467</v>
      </c>
      <c r="E869" s="10" t="n">
        <v>37</v>
      </c>
    </row>
    <row r="870">
      <c r="A870" s="10" t="inlineStr">
        <is>
          <t>C3596</t>
        </is>
      </c>
      <c r="B870" s="10" t="n">
        <v>5449734</v>
      </c>
      <c r="C870" s="10" t="n">
        <v>17</v>
      </c>
      <c r="D870" s="10" t="n">
        <v>414</v>
      </c>
      <c r="E870" s="10" t="n">
        <v>18</v>
      </c>
    </row>
    <row r="871">
      <c r="A871" s="10" t="inlineStr">
        <is>
          <t>C3295</t>
        </is>
      </c>
      <c r="B871" s="10" t="n">
        <v>1106495</v>
      </c>
      <c r="C871" s="10" t="n">
        <v>2</v>
      </c>
      <c r="D871" s="10" t="n">
        <v>98</v>
      </c>
      <c r="E871" s="10" t="inlineStr">
        <is>
          <t>33 days</t>
        </is>
      </c>
    </row>
    <row r="872">
      <c r="A872" s="10" t="inlineStr">
        <is>
          <t>C3116</t>
        </is>
      </c>
      <c r="B872" s="10" t="n">
        <v>924213</v>
      </c>
      <c r="C872" s="10" t="n">
        <v>3</v>
      </c>
      <c r="D872" s="10" t="n">
        <v>507</v>
      </c>
      <c r="E872" s="10" t="n">
        <v>94</v>
      </c>
    </row>
    <row r="873">
      <c r="A873" s="10" t="inlineStr">
        <is>
          <t>C3334</t>
        </is>
      </c>
      <c r="B873" s="10" t="n">
        <v>2860931</v>
      </c>
      <c r="C873" s="10" t="n">
        <v>1</v>
      </c>
      <c r="D873" s="10" t="n">
        <v>104</v>
      </c>
      <c r="E873" s="10" t="inlineStr">
        <is>
          <t>8 days</t>
        </is>
      </c>
    </row>
    <row r="874">
      <c r="A874" s="10" t="inlineStr">
        <is>
          <t>C3155</t>
        </is>
      </c>
      <c r="B874" s="10" t="n">
        <v>616271</v>
      </c>
      <c r="C874" s="10" t="n">
        <v>5</v>
      </c>
      <c r="D874" s="10" t="n">
        <v>605</v>
      </c>
      <c r="E874" s="10" t="n">
        <v>74</v>
      </c>
    </row>
    <row r="875">
      <c r="A875" s="10" t="inlineStr">
        <is>
          <t>C3158</t>
        </is>
      </c>
      <c r="B875" s="10" t="n">
        <v>4032598</v>
      </c>
      <c r="C875" s="10" t="n">
        <v>21</v>
      </c>
      <c r="D875" s="10" t="n">
        <v>166</v>
      </c>
      <c r="E875" s="10" t="n">
        <v>26</v>
      </c>
    </row>
    <row r="876">
      <c r="A876" s="10" t="inlineStr">
        <is>
          <t>C3074</t>
        </is>
      </c>
      <c r="B876" s="10" t="n">
        <v>3045921</v>
      </c>
      <c r="C876" s="10" t="n">
        <v>15</v>
      </c>
      <c r="D876" s="10" t="n">
        <v>421</v>
      </c>
      <c r="E876" s="10" t="n">
        <v>16</v>
      </c>
    </row>
    <row r="877">
      <c r="A877" s="10" t="inlineStr">
        <is>
          <t>C3558</t>
        </is>
      </c>
      <c r="B877" s="10" t="n">
        <v>374487</v>
      </c>
      <c r="C877" s="10" t="n">
        <v>3</v>
      </c>
      <c r="D877" s="10" t="n">
        <v>5</v>
      </c>
      <c r="E877" s="10" t="n">
        <v>67</v>
      </c>
    </row>
    <row r="878">
      <c r="A878" s="10" t="inlineStr">
        <is>
          <t>C4064</t>
        </is>
      </c>
      <c r="B878" s="10" t="n">
        <v>2706289</v>
      </c>
      <c r="C878" s="10" t="n">
        <v>22</v>
      </c>
      <c r="D878" s="10" t="n">
        <v>131</v>
      </c>
      <c r="E878" s="10" t="inlineStr">
        <is>
          <t>45 days</t>
        </is>
      </c>
    </row>
    <row r="879">
      <c r="A879" s="10" t="inlineStr">
        <is>
          <t>C4097</t>
        </is>
      </c>
      <c r="B879" s="10" t="n">
        <v>1063610</v>
      </c>
      <c r="C879" s="10" t="n">
        <v>1</v>
      </c>
      <c r="D879" s="10" t="n">
        <v>582</v>
      </c>
      <c r="E879" s="10" t="n">
        <v>94</v>
      </c>
    </row>
    <row r="880">
      <c r="A880" s="10" t="inlineStr">
        <is>
          <t>C3559</t>
        </is>
      </c>
      <c r="B880" s="10" t="inlineStr">
        <is>
          <t>Rp 540.943</t>
        </is>
      </c>
      <c r="C880" s="10" t="n">
        <v>5</v>
      </c>
      <c r="D880" s="10" t="n">
        <v>341</v>
      </c>
      <c r="E880" s="10" t="n">
        <v>73</v>
      </c>
    </row>
    <row r="881">
      <c r="A881" s="10" t="inlineStr">
        <is>
          <t>C3987</t>
        </is>
      </c>
      <c r="B881" s="10" t="n">
        <v>1250692</v>
      </c>
      <c r="C881" s="10" t="n">
        <v>4</v>
      </c>
      <c r="D881" s="10" t="n">
        <v>467</v>
      </c>
      <c r="E881" s="10" t="n">
        <v>28</v>
      </c>
    </row>
    <row r="882">
      <c r="A882" s="10" t="inlineStr">
        <is>
          <t>C3023</t>
        </is>
      </c>
      <c r="B882" s="10" t="n">
        <v>6835216</v>
      </c>
      <c r="C882" s="10" t="n">
        <v>28</v>
      </c>
      <c r="D882" s="10" t="n">
        <v>682</v>
      </c>
      <c r="E882" s="10" t="n">
        <v>10</v>
      </c>
    </row>
    <row r="883">
      <c r="A883" s="10" t="inlineStr">
        <is>
          <t>C3047</t>
        </is>
      </c>
      <c r="B883" s="10" t="n">
        <v>1213028</v>
      </c>
      <c r="C883" s="10" t="n">
        <v>1</v>
      </c>
      <c r="D883" s="10" t="n">
        <v>243</v>
      </c>
      <c r="E883" s="10" t="n">
        <v>108</v>
      </c>
    </row>
    <row r="884">
      <c r="A884" s="10" t="inlineStr">
        <is>
          <t>C3813</t>
        </is>
      </c>
      <c r="B884" s="10" t="n">
        <v>2880141</v>
      </c>
      <c r="C884" s="10" t="n">
        <v>14</v>
      </c>
      <c r="D884" s="10" t="n">
        <v>461</v>
      </c>
      <c r="E884" s="10" t="n">
        <v>11</v>
      </c>
    </row>
    <row r="885">
      <c r="A885" s="10" t="inlineStr">
        <is>
          <t>C3304</t>
        </is>
      </c>
      <c r="B885" s="10" t="n">
        <v>569072</v>
      </c>
      <c r="C885" s="10" t="n">
        <v>1</v>
      </c>
      <c r="D885" s="10" t="n">
        <v>175</v>
      </c>
      <c r="E885" s="10" t="n">
        <v>43</v>
      </c>
    </row>
    <row r="886">
      <c r="A886" s="10" t="inlineStr">
        <is>
          <t>C3817</t>
        </is>
      </c>
      <c r="B886" s="10" t="n">
        <v>2783339</v>
      </c>
      <c r="C886" s="10" t="n">
        <v>16</v>
      </c>
      <c r="D886" s="10" t="n">
        <v>511</v>
      </c>
      <c r="E886" s="10" t="n">
        <v>29</v>
      </c>
    </row>
    <row r="887">
      <c r="A887" s="10" t="inlineStr">
        <is>
          <t>C3387</t>
        </is>
      </c>
      <c r="B887" s="10" t="n">
        <v>0</v>
      </c>
      <c r="C887" s="10" t="n">
        <v>1</v>
      </c>
      <c r="D887" s="10" t="n">
        <v>17</v>
      </c>
      <c r="E887" s="10" t="n">
        <v>11</v>
      </c>
    </row>
    <row r="888">
      <c r="A888" s="10" t="inlineStr">
        <is>
          <t>C3088</t>
        </is>
      </c>
      <c r="B888" s="10" t="n">
        <v>1011099</v>
      </c>
      <c r="C888" s="10" t="n">
        <v>4</v>
      </c>
      <c r="D888" s="10" t="n">
        <v>5</v>
      </c>
      <c r="E888" s="10" t="n">
        <v>58</v>
      </c>
    </row>
    <row r="889">
      <c r="A889" s="10" t="inlineStr">
        <is>
          <t>C3208</t>
        </is>
      </c>
      <c r="B889" s="10" t="n">
        <v>1098832</v>
      </c>
      <c r="C889" s="10" t="n">
        <v>3</v>
      </c>
      <c r="D889" s="10" t="n">
        <v>483</v>
      </c>
      <c r="E889" s="10" t="n">
        <v>57</v>
      </c>
    </row>
    <row r="890">
      <c r="A890" s="10" t="inlineStr">
        <is>
          <t>C3889</t>
        </is>
      </c>
      <c r="B890" s="10" t="inlineStr">
        <is>
          <t>Rp 1.496.374</t>
        </is>
      </c>
      <c r="C890" s="10" t="n">
        <v>14</v>
      </c>
      <c r="D890" s="10" t="n">
        <v>518</v>
      </c>
      <c r="E890" s="10" t="n">
        <v>37</v>
      </c>
    </row>
    <row r="891">
      <c r="A891" s="10" t="inlineStr">
        <is>
          <t>C3708</t>
        </is>
      </c>
      <c r="B891" s="10" t="n">
        <v>0</v>
      </c>
      <c r="C891" s="10" t="n">
        <v>6</v>
      </c>
      <c r="D891" s="10" t="n">
        <v>226</v>
      </c>
      <c r="E891" s="10" t="n">
        <v>158</v>
      </c>
    </row>
    <row r="892">
      <c r="A892" s="10" t="inlineStr">
        <is>
          <t>C3659</t>
        </is>
      </c>
      <c r="B892" s="10" t="n">
        <v>1989436</v>
      </c>
      <c r="C892" s="10" t="n">
        <v>6</v>
      </c>
      <c r="D892" s="10" t="n">
        <v>29</v>
      </c>
      <c r="E892" s="10" t="n">
        <v>20</v>
      </c>
    </row>
    <row r="893">
      <c r="A893" s="10" t="inlineStr">
        <is>
          <t>C3000</t>
        </is>
      </c>
      <c r="B893" s="10" t="n">
        <v>3831395</v>
      </c>
      <c r="C893" s="10" t="n">
        <v>11</v>
      </c>
      <c r="D893" s="10" t="n">
        <v>549</v>
      </c>
      <c r="E893" s="10" t="n">
        <v>19</v>
      </c>
    </row>
    <row r="894">
      <c r="A894" s="10" t="inlineStr">
        <is>
          <t>C3128</t>
        </is>
      </c>
      <c r="B894" s="10" t="n">
        <v>1810341</v>
      </c>
      <c r="C894" s="10" t="n">
        <v>5</v>
      </c>
      <c r="D894" s="10" t="n">
        <v>387</v>
      </c>
      <c r="E894" s="10" t="n">
        <v>30</v>
      </c>
    </row>
    <row r="895">
      <c r="A895" s="10" t="inlineStr">
        <is>
          <t>C3849</t>
        </is>
      </c>
      <c r="B895" s="10" t="n">
        <v>1043742</v>
      </c>
      <c r="C895" s="10" t="n">
        <v>3</v>
      </c>
      <c r="D895" s="10" t="n">
        <v>64</v>
      </c>
      <c r="E895" s="10" t="n">
        <v>1</v>
      </c>
    </row>
    <row r="896">
      <c r="A896" s="10" t="inlineStr">
        <is>
          <t>C3731</t>
        </is>
      </c>
      <c r="B896" s="10" t="n">
        <v>3037313</v>
      </c>
      <c r="C896" s="10" t="n"/>
      <c r="D896" s="10" t="n">
        <v>335</v>
      </c>
      <c r="E896" s="10" t="inlineStr">
        <is>
          <t>39 days</t>
        </is>
      </c>
    </row>
    <row r="897">
      <c r="A897" s="10" t="inlineStr">
        <is>
          <t>C4090</t>
        </is>
      </c>
      <c r="B897" s="10" t="n">
        <v>0</v>
      </c>
      <c r="C897" s="10" t="n">
        <v>6</v>
      </c>
      <c r="D897" s="10" t="n">
        <v>38</v>
      </c>
      <c r="E897" s="10" t="n">
        <v>13</v>
      </c>
    </row>
    <row r="898">
      <c r="A898" s="10" t="inlineStr">
        <is>
          <t>C3538</t>
        </is>
      </c>
      <c r="B898" s="10" t="n">
        <v>635388</v>
      </c>
      <c r="C898" s="10" t="n">
        <v>6</v>
      </c>
      <c r="D898" s="10" t="n">
        <v>325</v>
      </c>
      <c r="E898" s="10" t="n">
        <v>136</v>
      </c>
    </row>
    <row r="899">
      <c r="A899" s="10" t="inlineStr">
        <is>
          <t>C3010</t>
        </is>
      </c>
      <c r="B899" s="10" t="n">
        <v>1311990</v>
      </c>
      <c r="C899" s="10" t="n">
        <v>5</v>
      </c>
      <c r="D899" s="10" t="n">
        <v>263</v>
      </c>
      <c r="E899" s="10" t="n">
        <v>113</v>
      </c>
    </row>
    <row r="900">
      <c r="A900" s="10" t="inlineStr">
        <is>
          <t>C3660</t>
        </is>
      </c>
      <c r="B900" s="10" t="n">
        <v>803797</v>
      </c>
      <c r="C900" s="10" t="n">
        <v>5</v>
      </c>
      <c r="D900" s="10" t="n">
        <v>228</v>
      </c>
      <c r="E900" s="10" t="n">
        <v>69</v>
      </c>
    </row>
    <row r="901">
      <c r="A901" s="10" t="inlineStr">
        <is>
          <t>C3974</t>
        </is>
      </c>
      <c r="B901" s="10" t="inlineStr">
        <is>
          <t>Rp 7.921.851</t>
        </is>
      </c>
      <c r="C901" s="10" t="n">
        <v>25</v>
      </c>
      <c r="D901" s="10" t="n">
        <v>743</v>
      </c>
      <c r="E901" s="10" t="inlineStr">
        <is>
          <t>12 days</t>
        </is>
      </c>
    </row>
    <row r="902">
      <c r="A902" s="10" t="inlineStr">
        <is>
          <t>C3555</t>
        </is>
      </c>
      <c r="B902" s="10" t="n">
        <v>3062524</v>
      </c>
      <c r="C902" s="10" t="n">
        <v>11</v>
      </c>
      <c r="D902" s="10" t="n">
        <v>418</v>
      </c>
      <c r="E902" s="10" t="n">
        <v>28</v>
      </c>
    </row>
    <row r="903">
      <c r="A903" s="10" t="inlineStr">
        <is>
          <t>C3008</t>
        </is>
      </c>
      <c r="B903" s="10" t="n">
        <v>601518</v>
      </c>
      <c r="C903" s="10" t="n">
        <v>6</v>
      </c>
      <c r="D903" s="10" t="n">
        <v>236</v>
      </c>
      <c r="E903" s="10" t="n">
        <v>103</v>
      </c>
    </row>
    <row r="904">
      <c r="A904" s="10" t="inlineStr">
        <is>
          <t>C3415</t>
        </is>
      </c>
      <c r="B904" s="10" t="inlineStr">
        <is>
          <t>Rp 9.667.317</t>
        </is>
      </c>
      <c r="C904" s="10" t="n">
        <v>22</v>
      </c>
      <c r="D904" s="10" t="n">
        <v>538</v>
      </c>
      <c r="E904" s="10" t="n">
        <v>24</v>
      </c>
    </row>
    <row r="905">
      <c r="A905" s="10" t="inlineStr">
        <is>
          <t>C3972</t>
        </is>
      </c>
      <c r="B905" s="10" t="inlineStr">
        <is>
          <t>Rp 1.146.066</t>
        </is>
      </c>
      <c r="C905" s="10" t="n">
        <v>5</v>
      </c>
      <c r="D905" s="10" t="n">
        <v>262</v>
      </c>
      <c r="E905" s="10" t="n">
        <v>6</v>
      </c>
    </row>
    <row r="906">
      <c r="A906" s="10" t="inlineStr">
        <is>
          <t>C3306</t>
        </is>
      </c>
      <c r="B906" s="10" t="n">
        <v>1031964</v>
      </c>
      <c r="C906" s="10" t="n">
        <v>1</v>
      </c>
      <c r="D906" s="10" t="n">
        <v>61</v>
      </c>
      <c r="E906" s="10" t="n">
        <v>24</v>
      </c>
    </row>
    <row r="907">
      <c r="A907" s="10" t="inlineStr">
        <is>
          <t>C3691</t>
        </is>
      </c>
      <c r="B907" s="10" t="n">
        <v>0</v>
      </c>
      <c r="C907" s="10" t="n">
        <v>3</v>
      </c>
      <c r="D907" s="10" t="n">
        <v>435</v>
      </c>
      <c r="E907" s="10" t="inlineStr">
        <is>
          <t>89 days</t>
        </is>
      </c>
    </row>
    <row r="908">
      <c r="A908" s="10" t="inlineStr">
        <is>
          <t>C3077</t>
        </is>
      </c>
      <c r="B908" s="10" t="n">
        <v>2539149</v>
      </c>
      <c r="C908" s="10" t="n">
        <v>2</v>
      </c>
      <c r="D908" s="10" t="n">
        <v>79</v>
      </c>
      <c r="E908" s="10" t="n">
        <v>22</v>
      </c>
    </row>
    <row r="909">
      <c r="A909" s="10" t="inlineStr">
        <is>
          <t>C3652</t>
        </is>
      </c>
      <c r="B909" s="10" t="n">
        <v>1515515</v>
      </c>
      <c r="C909" s="10" t="n">
        <v>5</v>
      </c>
      <c r="D909" s="10" t="n">
        <v>30</v>
      </c>
      <c r="E909" s="10" t="n">
        <v>46</v>
      </c>
    </row>
    <row r="910">
      <c r="A910" s="10" t="inlineStr">
        <is>
          <t>C3119</t>
        </is>
      </c>
      <c r="B910" s="10" t="n">
        <v>7275522</v>
      </c>
      <c r="C910" s="10" t="n">
        <v>35</v>
      </c>
      <c r="D910" s="10" t="n">
        <v>636</v>
      </c>
      <c r="E910" s="10" t="n">
        <v>1</v>
      </c>
    </row>
    <row r="911">
      <c r="A911" s="10" t="inlineStr">
        <is>
          <t>C3424</t>
        </is>
      </c>
      <c r="B911" s="10" t="inlineStr">
        <is>
          <t>Rp 940.646</t>
        </is>
      </c>
      <c r="C911" s="10" t="n">
        <v>6</v>
      </c>
      <c r="D911" s="10" t="n">
        <v>317</v>
      </c>
      <c r="E911" s="10" t="inlineStr">
        <is>
          <t>127 days</t>
        </is>
      </c>
    </row>
    <row r="912">
      <c r="A912" s="10" t="inlineStr">
        <is>
          <t>C3252</t>
        </is>
      </c>
      <c r="B912" s="10" t="n">
        <v>3204675</v>
      </c>
      <c r="C912" s="10" t="n">
        <v>12</v>
      </c>
      <c r="D912" s="10" t="n">
        <v>478</v>
      </c>
      <c r="E912" s="10" t="inlineStr">
        <is>
          <t>12 days</t>
        </is>
      </c>
    </row>
    <row r="913">
      <c r="A913" s="10" t="inlineStr">
        <is>
          <t>C3163</t>
        </is>
      </c>
      <c r="B913" s="10" t="inlineStr">
        <is>
          <t>Rp 1.081.638</t>
        </is>
      </c>
      <c r="C913" s="10" t="n">
        <v>3</v>
      </c>
      <c r="D913" s="10" t="n">
        <v>22</v>
      </c>
      <c r="E913" s="10" t="n">
        <v>23</v>
      </c>
    </row>
    <row r="914">
      <c r="A914" s="10" t="inlineStr">
        <is>
          <t>C4088</t>
        </is>
      </c>
      <c r="B914" s="10" t="n">
        <v>740367</v>
      </c>
      <c r="C914" s="10" t="n">
        <v>3</v>
      </c>
      <c r="D914" s="10" t="n">
        <v>351</v>
      </c>
      <c r="E914" s="10" t="n">
        <v>73</v>
      </c>
    </row>
    <row r="915">
      <c r="A915" s="10" t="inlineStr">
        <is>
          <t>C3993</t>
        </is>
      </c>
      <c r="B915" s="10" t="n">
        <v>900637</v>
      </c>
      <c r="C915" s="10" t="n"/>
      <c r="D915" s="10" t="n">
        <v>50</v>
      </c>
      <c r="E915" s="10" t="n">
        <v>32</v>
      </c>
    </row>
    <row r="916">
      <c r="A916" s="10" t="inlineStr">
        <is>
          <t>C3567</t>
        </is>
      </c>
      <c r="B916" s="10" t="inlineStr">
        <is>
          <t>Rp 3.892.529</t>
        </is>
      </c>
      <c r="C916" s="10" t="n"/>
      <c r="D916" s="10" t="n">
        <v>472</v>
      </c>
      <c r="E916" s="10" t="n">
        <v>45</v>
      </c>
    </row>
    <row r="917">
      <c r="A917" s="10" t="inlineStr">
        <is>
          <t>C3777</t>
        </is>
      </c>
      <c r="B917" s="10" t="inlineStr">
        <is>
          <t>Rp 445.491</t>
        </is>
      </c>
      <c r="C917" s="10" t="n">
        <v>2</v>
      </c>
      <c r="D917" s="10" t="n">
        <v>539</v>
      </c>
      <c r="E917" s="10" t="n">
        <v>40</v>
      </c>
    </row>
    <row r="918">
      <c r="A918" s="10" t="inlineStr">
        <is>
          <t>C3198</t>
        </is>
      </c>
      <c r="B918" s="10" t="n">
        <v>3146778</v>
      </c>
      <c r="C918" s="10" t="n">
        <v>15</v>
      </c>
      <c r="D918" s="10" t="n">
        <v>464</v>
      </c>
      <c r="E918" s="10" t="n">
        <v>11</v>
      </c>
    </row>
    <row r="919">
      <c r="A919" s="10" t="inlineStr">
        <is>
          <t>C3795</t>
        </is>
      </c>
      <c r="B919" s="10" t="n">
        <v>3472923</v>
      </c>
      <c r="C919" s="10" t="n">
        <v>16</v>
      </c>
      <c r="D919" s="10" t="n">
        <v>442</v>
      </c>
      <c r="E919" s="10" t="n">
        <v>52</v>
      </c>
    </row>
    <row r="920">
      <c r="A920" s="10" t="inlineStr">
        <is>
          <t>C3581</t>
        </is>
      </c>
      <c r="B920" s="10" t="inlineStr">
        <is>
          <t>Rp 792.326</t>
        </is>
      </c>
      <c r="C920" s="10" t="n">
        <v>3</v>
      </c>
      <c r="D920" s="10" t="n">
        <v>81</v>
      </c>
      <c r="E920" s="10" t="n">
        <v>15</v>
      </c>
    </row>
    <row r="921">
      <c r="A921" s="10" t="inlineStr">
        <is>
          <t>C3680</t>
        </is>
      </c>
      <c r="B921" s="10" t="n">
        <v>1064657</v>
      </c>
      <c r="C921" s="10" t="n">
        <v>3</v>
      </c>
      <c r="D921" s="10" t="n">
        <v>8</v>
      </c>
      <c r="E921" s="10" t="n">
        <v>28</v>
      </c>
    </row>
    <row r="922">
      <c r="A922" s="10" t="inlineStr">
        <is>
          <t>C3174</t>
        </is>
      </c>
      <c r="B922" s="10" t="n">
        <v>1138434</v>
      </c>
      <c r="C922" s="10" t="n">
        <v>2</v>
      </c>
      <c r="D922" s="10" t="n">
        <v>389</v>
      </c>
      <c r="E922" s="10" t="n">
        <v>33</v>
      </c>
    </row>
    <row r="923">
      <c r="A923" s="10" t="inlineStr">
        <is>
          <t>C3605</t>
        </is>
      </c>
      <c r="B923" s="10" t="inlineStr">
        <is>
          <t>Rp 1.068.606</t>
        </is>
      </c>
      <c r="C923" s="10" t="n">
        <v>3</v>
      </c>
      <c r="D923" s="10" t="n">
        <v>52</v>
      </c>
      <c r="E923" s="10" t="n">
        <v>59</v>
      </c>
    </row>
    <row r="924">
      <c r="A924" s="10" t="inlineStr">
        <is>
          <t>C3512</t>
        </is>
      </c>
      <c r="B924" s="10" t="n">
        <v>4282479</v>
      </c>
      <c r="C924" s="10" t="n">
        <v>11</v>
      </c>
      <c r="D924" s="10" t="n">
        <v>584</v>
      </c>
      <c r="E924" s="10" t="n">
        <v>24</v>
      </c>
    </row>
    <row r="925">
      <c r="A925" s="10" t="inlineStr">
        <is>
          <t>C3924</t>
        </is>
      </c>
      <c r="B925" s="10" t="n">
        <v>4212771</v>
      </c>
      <c r="C925" s="10" t="n">
        <v>17</v>
      </c>
      <c r="D925" s="10" t="n">
        <v>518</v>
      </c>
      <c r="E925" s="10" t="n">
        <v>52</v>
      </c>
    </row>
    <row r="926">
      <c r="A926" s="10" t="inlineStr">
        <is>
          <t>C3164</t>
        </is>
      </c>
      <c r="B926" s="10" t="n">
        <v>1887559</v>
      </c>
      <c r="C926" s="10" t="n">
        <v>13</v>
      </c>
      <c r="D926" s="10" t="n">
        <v>355</v>
      </c>
      <c r="E926" s="10" t="n">
        <v>23</v>
      </c>
    </row>
    <row r="927">
      <c r="A927" s="10" t="inlineStr">
        <is>
          <t>C3319</t>
        </is>
      </c>
      <c r="B927" s="10" t="inlineStr">
        <is>
          <t>Rp 506.723</t>
        </is>
      </c>
      <c r="C927" s="10" t="n">
        <v>4</v>
      </c>
      <c r="D927" s="10" t="n">
        <v>328</v>
      </c>
      <c r="E927" s="10" t="n">
        <v>123</v>
      </c>
    </row>
    <row r="928">
      <c r="A928" s="10" t="inlineStr">
        <is>
          <t>C4027</t>
        </is>
      </c>
      <c r="B928" s="10" t="n">
        <v>1004120</v>
      </c>
      <c r="C928" s="10" t="n">
        <v>3</v>
      </c>
      <c r="D928" s="10" t="n">
        <v>429</v>
      </c>
      <c r="E928" s="10" t="n">
        <v>106</v>
      </c>
    </row>
    <row r="929">
      <c r="A929" s="10" t="inlineStr">
        <is>
          <t>C3353</t>
        </is>
      </c>
      <c r="B929" s="10" t="n">
        <v>4478258</v>
      </c>
      <c r="C929" s="10" t="n">
        <v>19</v>
      </c>
      <c r="D929" s="10" t="n">
        <v>546</v>
      </c>
      <c r="E929" s="10" t="n">
        <v>30</v>
      </c>
    </row>
    <row r="930">
      <c r="A930" s="10" t="inlineStr">
        <is>
          <t>C3757</t>
        </is>
      </c>
      <c r="B930" s="10" t="n">
        <v>7591348</v>
      </c>
      <c r="C930" s="10" t="n">
        <v>29</v>
      </c>
      <c r="D930" s="10" t="n">
        <v>662</v>
      </c>
      <c r="E930" s="10" t="n">
        <v>16</v>
      </c>
    </row>
    <row r="931">
      <c r="A931" s="10" t="inlineStr">
        <is>
          <t>C3787</t>
        </is>
      </c>
      <c r="B931" s="10" t="n">
        <v>196717</v>
      </c>
      <c r="C931" s="10" t="n">
        <v>5</v>
      </c>
      <c r="D931" s="10" t="n">
        <v>329</v>
      </c>
      <c r="E931" s="10" t="n">
        <v>64</v>
      </c>
    </row>
    <row r="932">
      <c r="A932" s="10" t="inlineStr">
        <is>
          <t>C3610</t>
        </is>
      </c>
      <c r="B932" s="10" t="inlineStr">
        <is>
          <t>Rp 3.628.355</t>
        </is>
      </c>
      <c r="C932" s="10" t="n">
        <v>10</v>
      </c>
      <c r="D932" s="10" t="n">
        <v>380</v>
      </c>
      <c r="E932" s="10" t="n">
        <v>58</v>
      </c>
    </row>
    <row r="933">
      <c r="A933" s="10" t="inlineStr">
        <is>
          <t>C3026</t>
        </is>
      </c>
      <c r="B933" s="10" t="n">
        <v>1939334</v>
      </c>
      <c r="C933" s="10" t="n">
        <v>3</v>
      </c>
      <c r="D933" s="10" t="n">
        <v>5</v>
      </c>
      <c r="E933" s="10" t="n">
        <v>1</v>
      </c>
    </row>
    <row r="934">
      <c r="A934" s="10" t="inlineStr">
        <is>
          <t>C3031</t>
        </is>
      </c>
      <c r="B934" s="10" t="n">
        <v>1951885</v>
      </c>
      <c r="C934" s="10" t="n">
        <v>4</v>
      </c>
      <c r="D934" s="10" t="n">
        <v>99</v>
      </c>
      <c r="E934" s="10" t="n">
        <v>27</v>
      </c>
    </row>
    <row r="935">
      <c r="A935" s="10" t="inlineStr">
        <is>
          <t>C3589</t>
        </is>
      </c>
      <c r="B935" s="10" t="inlineStr">
        <is>
          <t>Rp 1.081.201</t>
        </is>
      </c>
      <c r="C935" s="10" t="n">
        <v>6</v>
      </c>
      <c r="D935" s="10" t="n">
        <v>267</v>
      </c>
      <c r="E935" s="10" t="n">
        <v>80</v>
      </c>
    </row>
    <row r="936">
      <c r="A936" s="10" t="inlineStr">
        <is>
          <t>C3330</t>
        </is>
      </c>
      <c r="B936" s="10" t="n">
        <v>782038</v>
      </c>
      <c r="C936" s="10" t="n">
        <v>4</v>
      </c>
      <c r="D936" s="10" t="n">
        <v>68</v>
      </c>
      <c r="E936" s="10" t="n">
        <v>6</v>
      </c>
    </row>
    <row r="937">
      <c r="A937" s="10" t="inlineStr">
        <is>
          <t>C3501</t>
        </is>
      </c>
      <c r="B937" s="10" t="n">
        <v>2586702</v>
      </c>
      <c r="C937" s="10" t="n">
        <v>15</v>
      </c>
      <c r="D937" s="10" t="n">
        <v>379</v>
      </c>
      <c r="E937" s="10" t="n">
        <v>35</v>
      </c>
    </row>
    <row r="938">
      <c r="A938" s="10" t="inlineStr">
        <is>
          <t>C3307</t>
        </is>
      </c>
      <c r="B938" s="10" t="inlineStr">
        <is>
          <t>Rp 878.208</t>
        </is>
      </c>
      <c r="C938" s="10" t="n">
        <v>4</v>
      </c>
      <c r="D938" s="10" t="n">
        <v>34</v>
      </c>
      <c r="E938" s="10" t="inlineStr">
        <is>
          <t>30 days</t>
        </is>
      </c>
    </row>
    <row r="939">
      <c r="A939" s="10" t="inlineStr">
        <is>
          <t>C3536</t>
        </is>
      </c>
      <c r="B939" s="10" t="n">
        <v>1032142</v>
      </c>
      <c r="C939" s="10" t="n">
        <v>1</v>
      </c>
      <c r="D939" s="10" t="n">
        <v>366</v>
      </c>
      <c r="E939" s="10" t="n">
        <v>54</v>
      </c>
    </row>
    <row r="940">
      <c r="A940" s="10" t="inlineStr">
        <is>
          <t>C3440</t>
        </is>
      </c>
      <c r="B940" s="10" t="n">
        <v>4038984</v>
      </c>
      <c r="C940" s="10" t="n">
        <v>7</v>
      </c>
      <c r="D940" s="10" t="n">
        <v>311</v>
      </c>
      <c r="E940" s="10" t="n">
        <v>49</v>
      </c>
    </row>
    <row r="941">
      <c r="A941" s="10" t="inlineStr">
        <is>
          <t>C3855</t>
        </is>
      </c>
      <c r="B941" s="10" t="n">
        <v>460557</v>
      </c>
      <c r="C941" s="10" t="n">
        <v>2</v>
      </c>
      <c r="D941" s="10" t="n">
        <v>270</v>
      </c>
      <c r="E941" s="10" t="n">
        <v>78</v>
      </c>
    </row>
    <row r="942">
      <c r="A942" s="10" t="inlineStr">
        <is>
          <t>C3761</t>
        </is>
      </c>
      <c r="B942" s="10" t="n">
        <v>10291106</v>
      </c>
      <c r="C942" s="10" t="n">
        <v>29</v>
      </c>
      <c r="D942" s="10" t="n">
        <v>457</v>
      </c>
      <c r="E942" s="10" t="n">
        <v>17</v>
      </c>
    </row>
    <row r="943">
      <c r="A943" s="10" t="inlineStr">
        <is>
          <t>C3546</t>
        </is>
      </c>
      <c r="B943" s="10" t="n">
        <v>553494</v>
      </c>
      <c r="C943" s="10" t="n">
        <v>6</v>
      </c>
      <c r="D943" s="10" t="n">
        <v>195</v>
      </c>
      <c r="E943" s="10" t="inlineStr">
        <is>
          <t>31 days</t>
        </is>
      </c>
    </row>
    <row r="944">
      <c r="A944" s="10" t="inlineStr">
        <is>
          <t>C3175</t>
        </is>
      </c>
      <c r="B944" s="10" t="n">
        <v>1227203</v>
      </c>
      <c r="C944" s="10" t="n">
        <v>5</v>
      </c>
      <c r="D944" s="10" t="n">
        <v>482</v>
      </c>
      <c r="E944" s="10" t="n">
        <v>132</v>
      </c>
    </row>
    <row r="945">
      <c r="A945" s="10" t="inlineStr">
        <is>
          <t>C3772</t>
        </is>
      </c>
      <c r="B945" s="10" t="n">
        <v>1923835</v>
      </c>
      <c r="C945" s="10" t="n">
        <v>1</v>
      </c>
      <c r="D945" s="10" t="n">
        <v>49</v>
      </c>
      <c r="E945" s="10" t="n">
        <v>1</v>
      </c>
    </row>
    <row r="946">
      <c r="A946" s="10" t="inlineStr">
        <is>
          <t>C3729</t>
        </is>
      </c>
      <c r="B946" s="10" t="inlineStr">
        <is>
          <t>Rp 1.284.653</t>
        </is>
      </c>
      <c r="C946" s="10" t="n">
        <v>4</v>
      </c>
      <c r="D946" s="10" t="n">
        <v>18</v>
      </c>
      <c r="E946" s="10" t="n">
        <v>11</v>
      </c>
    </row>
    <row r="947">
      <c r="A947" s="10" t="inlineStr">
        <is>
          <t>C3635</t>
        </is>
      </c>
      <c r="B947" s="10" t="n">
        <v>1796421</v>
      </c>
      <c r="C947" s="10" t="n">
        <v>10</v>
      </c>
      <c r="D947" s="10" t="n">
        <v>514</v>
      </c>
      <c r="E947" s="10" t="n">
        <v>25</v>
      </c>
    </row>
    <row r="948">
      <c r="A948" s="10" t="inlineStr">
        <is>
          <t>C3117</t>
        </is>
      </c>
      <c r="B948" s="10" t="n">
        <v>2605339</v>
      </c>
      <c r="C948" s="10" t="n">
        <v>16</v>
      </c>
      <c r="D948" s="10" t="n">
        <v>208</v>
      </c>
      <c r="E948" s="10" t="n">
        <v>31</v>
      </c>
    </row>
    <row r="949">
      <c r="A949" s="10" t="inlineStr">
        <is>
          <t>C3400</t>
        </is>
      </c>
      <c r="B949" s="10" t="n">
        <v>716480</v>
      </c>
      <c r="C949" s="10" t="n">
        <v>3</v>
      </c>
      <c r="D949" s="10" t="n">
        <v>75</v>
      </c>
      <c r="E949" s="10" t="n">
        <v>117</v>
      </c>
    </row>
    <row r="950">
      <c r="A950" s="10" t="inlineStr">
        <is>
          <t>C3943</t>
        </is>
      </c>
      <c r="B950" s="10" t="n">
        <v>7952404</v>
      </c>
      <c r="C950" s="10" t="n">
        <v>29</v>
      </c>
      <c r="D950" s="10" t="n">
        <v>524</v>
      </c>
      <c r="E950" s="10" t="n">
        <v>3</v>
      </c>
    </row>
    <row r="951">
      <c r="A951" s="10" t="inlineStr">
        <is>
          <t>C3847</t>
        </is>
      </c>
      <c r="B951" s="10" t="n">
        <v>6237622</v>
      </c>
      <c r="C951" s="10" t="n">
        <v>21</v>
      </c>
      <c r="D951" s="10" t="n">
        <v>733</v>
      </c>
      <c r="E951" s="10" t="n">
        <v>3</v>
      </c>
    </row>
    <row r="952">
      <c r="A952" s="10" t="inlineStr">
        <is>
          <t>C3152</t>
        </is>
      </c>
      <c r="B952" s="10" t="n">
        <v>3521761</v>
      </c>
      <c r="C952" s="10" t="n">
        <v>13</v>
      </c>
      <c r="D952" s="10" t="n">
        <v>528</v>
      </c>
      <c r="E952" s="10" t="n">
        <v>21</v>
      </c>
    </row>
    <row r="953">
      <c r="A953" s="10" t="inlineStr">
        <is>
          <t>C4024</t>
        </is>
      </c>
      <c r="B953" s="10" t="n">
        <v>2244541</v>
      </c>
      <c r="C953" s="10" t="n">
        <v>3</v>
      </c>
      <c r="D953" s="10" t="n">
        <v>140</v>
      </c>
      <c r="E953" s="10" t="n">
        <v>1</v>
      </c>
    </row>
    <row r="954">
      <c r="A954" s="10" t="inlineStr">
        <is>
          <t>C3494</t>
        </is>
      </c>
      <c r="B954" s="10" t="inlineStr">
        <is>
          <t>Rp 1.298.509</t>
        </is>
      </c>
      <c r="C954" s="10" t="n">
        <v>5</v>
      </c>
      <c r="D954" s="10" t="n">
        <v>26</v>
      </c>
      <c r="E954" s="10" t="n">
        <v>43</v>
      </c>
    </row>
    <row r="955">
      <c r="A955" s="10" t="inlineStr">
        <is>
          <t>C3075</t>
        </is>
      </c>
      <c r="B955" s="10" t="n">
        <v>302740</v>
      </c>
      <c r="C955" s="10" t="n">
        <v>1</v>
      </c>
      <c r="D955" s="10" t="n">
        <v>199</v>
      </c>
      <c r="E955" s="10" t="n">
        <v>113</v>
      </c>
    </row>
    <row r="956">
      <c r="A956" s="10" t="inlineStr">
        <is>
          <t>C3360</t>
        </is>
      </c>
      <c r="B956" s="10" t="n">
        <v>2088824</v>
      </c>
      <c r="C956" s="10" t="n">
        <v>17</v>
      </c>
      <c r="D956" s="10" t="n">
        <v>553</v>
      </c>
      <c r="E956" s="10" t="n">
        <v>33</v>
      </c>
    </row>
    <row r="957">
      <c r="A957" s="10" t="inlineStr">
        <is>
          <t>C3883</t>
        </is>
      </c>
      <c r="B957" s="10" t="n">
        <v>5446823</v>
      </c>
      <c r="C957" s="10" t="n">
        <v>18</v>
      </c>
      <c r="D957" s="10" t="n">
        <v>330</v>
      </c>
      <c r="E957" s="10" t="n">
        <v>30</v>
      </c>
    </row>
    <row r="958">
      <c r="A958" s="10" t="inlineStr">
        <is>
          <t>C3844</t>
        </is>
      </c>
      <c r="B958" s="10" t="n">
        <v>8684138</v>
      </c>
      <c r="C958" s="10" t="n">
        <v>35</v>
      </c>
      <c r="D958" s="10" t="n">
        <v>551</v>
      </c>
      <c r="E958" s="10" t="n">
        <v>1</v>
      </c>
    </row>
    <row r="959">
      <c r="A959" s="10" t="inlineStr">
        <is>
          <t>C3131</t>
        </is>
      </c>
      <c r="B959" s="10" t="n">
        <v>11525206</v>
      </c>
      <c r="C959" s="10" t="n">
        <v>25</v>
      </c>
      <c r="D959" s="10" t="n">
        <v>615</v>
      </c>
      <c r="E959" s="10" t="n">
        <v>5</v>
      </c>
    </row>
    <row r="960">
      <c r="A960" s="10" t="inlineStr">
        <is>
          <t>C3717</t>
        </is>
      </c>
      <c r="B960" s="10" t="n">
        <v>4101172</v>
      </c>
      <c r="C960" s="10" t="n">
        <v>12</v>
      </c>
      <c r="D960" s="10" t="n">
        <v>560</v>
      </c>
      <c r="E960" s="10" t="n">
        <v>29</v>
      </c>
    </row>
    <row r="961">
      <c r="A961" s="10" t="inlineStr">
        <is>
          <t>C3022</t>
        </is>
      </c>
      <c r="B961" s="10" t="n">
        <v>3655896</v>
      </c>
      <c r="C961" s="10" t="n">
        <v>11</v>
      </c>
      <c r="D961" s="10" t="n">
        <v>343</v>
      </c>
      <c r="E961" s="10" t="n">
        <v>1</v>
      </c>
    </row>
    <row r="962">
      <c r="A962" s="10" t="inlineStr">
        <is>
          <t>C3349</t>
        </is>
      </c>
      <c r="B962" s="10" t="n">
        <v>3109553</v>
      </c>
      <c r="C962" s="10" t="n">
        <v>18</v>
      </c>
      <c r="D962" s="10" t="n">
        <v>168</v>
      </c>
      <c r="E962" s="10" t="n">
        <v>34</v>
      </c>
    </row>
    <row r="963">
      <c r="A963" s="10" t="inlineStr">
        <is>
          <t>C4061</t>
        </is>
      </c>
      <c r="B963" s="10" t="inlineStr">
        <is>
          <t>Rp 911.253</t>
        </is>
      </c>
      <c r="C963" s="10" t="n">
        <v>4</v>
      </c>
      <c r="D963" s="10" t="n">
        <v>427</v>
      </c>
      <c r="E963" s="10" t="n">
        <v>144</v>
      </c>
    </row>
    <row r="964">
      <c r="A964" s="10" t="inlineStr">
        <is>
          <t>C4051</t>
        </is>
      </c>
      <c r="B964" s="10" t="n">
        <v>5077617</v>
      </c>
      <c r="C964" s="10" t="n">
        <v>12</v>
      </c>
      <c r="D964" s="10" t="n">
        <v>436</v>
      </c>
      <c r="E964" s="10" t="n">
        <v>28</v>
      </c>
    </row>
    <row r="965">
      <c r="A965" s="10" t="inlineStr">
        <is>
          <t>C3776</t>
        </is>
      </c>
      <c r="B965" s="10" t="inlineStr">
        <is>
          <t>Rp 170.545</t>
        </is>
      </c>
      <c r="C965" s="10" t="n">
        <v>3</v>
      </c>
      <c r="D965" s="10" t="n">
        <v>224</v>
      </c>
      <c r="E965" s="10" t="inlineStr">
        <is>
          <t>100 days</t>
        </is>
      </c>
    </row>
    <row r="966">
      <c r="A966" s="10" t="inlineStr">
        <is>
          <t>C3312</t>
        </is>
      </c>
      <c r="B966" s="10" t="n">
        <v>4114613</v>
      </c>
      <c r="C966" s="10" t="n">
        <v>13</v>
      </c>
      <c r="D966" s="10" t="n">
        <v>450</v>
      </c>
      <c r="E966" s="10" t="n">
        <v>14</v>
      </c>
    </row>
    <row r="967">
      <c r="A967" s="10" t="inlineStr">
        <is>
          <t>C3882</t>
        </is>
      </c>
      <c r="B967" s="10" t="n">
        <v>7482129</v>
      </c>
      <c r="C967" s="10" t="n">
        <v>33</v>
      </c>
      <c r="D967" s="10" t="n">
        <v>694</v>
      </c>
      <c r="E967" s="10" t="inlineStr">
        <is>
          <t>15 days</t>
        </is>
      </c>
    </row>
    <row r="968">
      <c r="A968" s="10" t="inlineStr">
        <is>
          <t>C3751</t>
        </is>
      </c>
      <c r="B968" s="10" t="n">
        <v>566444</v>
      </c>
      <c r="C968" s="10" t="n">
        <v>5</v>
      </c>
      <c r="D968" s="10" t="n">
        <v>171</v>
      </c>
      <c r="E968" s="10" t="n">
        <v>48</v>
      </c>
    </row>
    <row r="969">
      <c r="A969" s="10" t="inlineStr">
        <is>
          <t>C4009</t>
        </is>
      </c>
      <c r="B969" s="10" t="n">
        <v>639625</v>
      </c>
      <c r="C969" s="10" t="n">
        <v>5</v>
      </c>
      <c r="D969" s="10" t="n">
        <v>207</v>
      </c>
      <c r="E969" s="10" t="n">
        <v>110</v>
      </c>
    </row>
    <row r="970">
      <c r="A970" s="10" t="inlineStr">
        <is>
          <t>C3104</t>
        </is>
      </c>
      <c r="B970" s="10" t="n">
        <v>1804246</v>
      </c>
      <c r="C970" s="10" t="n">
        <v>2</v>
      </c>
      <c r="D970" s="10" t="n">
        <v>91</v>
      </c>
      <c r="E970" s="10" t="n">
        <v>25</v>
      </c>
    </row>
    <row r="971">
      <c r="A971" s="10" t="inlineStr">
        <is>
          <t>C3891</t>
        </is>
      </c>
      <c r="B971" s="10" t="n">
        <v>1077750</v>
      </c>
      <c r="C971" s="10" t="n">
        <v>1</v>
      </c>
      <c r="D971" s="10" t="n">
        <v>561</v>
      </c>
      <c r="E971" s="10" t="n">
        <v>101</v>
      </c>
    </row>
    <row r="972">
      <c r="A972" s="10" t="inlineStr">
        <is>
          <t>C3085</t>
        </is>
      </c>
      <c r="B972" s="10" t="n">
        <v>660334</v>
      </c>
      <c r="C972" s="10" t="n">
        <v>5</v>
      </c>
      <c r="D972" s="10" t="n">
        <v>312</v>
      </c>
      <c r="E972" s="10" t="n">
        <v>116</v>
      </c>
    </row>
    <row r="973">
      <c r="A973" s="10" t="inlineStr">
        <is>
          <t>C3599</t>
        </is>
      </c>
      <c r="B973" s="10" t="n">
        <v>2001163</v>
      </c>
      <c r="C973" s="10" t="n">
        <v>16</v>
      </c>
      <c r="D973" s="10" t="n">
        <v>451</v>
      </c>
      <c r="E973" s="10" t="n">
        <v>43</v>
      </c>
    </row>
    <row r="974">
      <c r="A974" s="10" t="inlineStr">
        <is>
          <t>C4071</t>
        </is>
      </c>
      <c r="B974" s="10" t="n">
        <v>4071407</v>
      </c>
      <c r="C974" s="10" t="n">
        <v>11</v>
      </c>
      <c r="D974" s="10" t="n">
        <v>322</v>
      </c>
      <c r="E974" s="10" t="n">
        <v>18</v>
      </c>
    </row>
    <row r="975">
      <c r="A975" s="10" t="inlineStr">
        <is>
          <t>C3373</t>
        </is>
      </c>
      <c r="B975" s="10" t="n">
        <v>2637114</v>
      </c>
      <c r="C975" s="10" t="n">
        <v>10</v>
      </c>
      <c r="D975" s="10" t="n">
        <v>317</v>
      </c>
      <c r="E975" s="10" t="n">
        <v>16</v>
      </c>
    </row>
    <row r="976">
      <c r="A976" s="10" t="inlineStr">
        <is>
          <t>C3497</t>
        </is>
      </c>
      <c r="B976" s="10" t="n">
        <v>663547</v>
      </c>
      <c r="C976" s="10" t="n">
        <v>1</v>
      </c>
      <c r="D976" s="10" t="n">
        <v>12</v>
      </c>
      <c r="E976" s="10" t="n">
        <v>26</v>
      </c>
    </row>
    <row r="977">
      <c r="A977" s="10" t="inlineStr">
        <is>
          <t>C3405</t>
        </is>
      </c>
      <c r="B977" s="10" t="n">
        <v>3442159</v>
      </c>
      <c r="C977" s="10" t="n">
        <v>10</v>
      </c>
      <c r="D977" s="10" t="n">
        <v>474</v>
      </c>
      <c r="E977" s="10" t="n">
        <v>15</v>
      </c>
    </row>
    <row r="978">
      <c r="A978" s="10" t="inlineStr">
        <is>
          <t>C3302</t>
        </is>
      </c>
      <c r="B978" s="10" t="n">
        <v>2267331</v>
      </c>
      <c r="C978" s="10" t="n">
        <v>4</v>
      </c>
      <c r="D978" s="10" t="n">
        <v>126</v>
      </c>
      <c r="E978" s="10" t="n">
        <v>1</v>
      </c>
    </row>
    <row r="979">
      <c r="A979" s="10" t="inlineStr">
        <is>
          <t>C3892</t>
        </is>
      </c>
      <c r="B979" s="10" t="n">
        <v>3067979</v>
      </c>
      <c r="C979" s="10" t="n">
        <v>16</v>
      </c>
      <c r="D979" s="10" t="n">
        <v>249</v>
      </c>
      <c r="E979" s="10" t="inlineStr">
        <is>
          <t>10 days</t>
        </is>
      </c>
    </row>
    <row r="980">
      <c r="A980" s="10" t="inlineStr">
        <is>
          <t>C3730</t>
        </is>
      </c>
      <c r="B980" s="10" t="n">
        <v>2629205</v>
      </c>
      <c r="C980" s="10" t="n">
        <v>9</v>
      </c>
      <c r="D980" s="10" t="n">
        <v>56</v>
      </c>
      <c r="E980" s="10" t="n">
        <v>24</v>
      </c>
    </row>
    <row r="981">
      <c r="A981" s="10" t="inlineStr">
        <is>
          <t>C3638</t>
        </is>
      </c>
      <c r="B981" s="10" t="n">
        <v>895763</v>
      </c>
      <c r="C981" s="10" t="n">
        <v>3</v>
      </c>
      <c r="D981" s="10" t="n">
        <v>50</v>
      </c>
      <c r="E981" s="10" t="inlineStr">
        <is>
          <t>12 days</t>
        </is>
      </c>
    </row>
    <row r="982">
      <c r="A982" s="10" t="inlineStr">
        <is>
          <t>C4033</t>
        </is>
      </c>
      <c r="B982" s="10" t="n">
        <v>634695</v>
      </c>
      <c r="C982" s="10" t="n">
        <v>5</v>
      </c>
      <c r="D982" s="10" t="n">
        <v>220</v>
      </c>
      <c r="E982" s="10" t="n">
        <v>69</v>
      </c>
    </row>
    <row r="983">
      <c r="A983" s="10" t="inlineStr">
        <is>
          <t>C3329</t>
        </is>
      </c>
      <c r="B983" s="10" t="n">
        <v>1313639</v>
      </c>
      <c r="C983" s="10" t="n">
        <v>1</v>
      </c>
      <c r="D983" s="10" t="n">
        <v>365</v>
      </c>
      <c r="E983" s="10" t="n">
        <v>57</v>
      </c>
    </row>
    <row r="984">
      <c r="A984" s="10" t="inlineStr">
        <is>
          <t>C3083</t>
        </is>
      </c>
      <c r="B984" s="10" t="n">
        <v>1320076</v>
      </c>
      <c r="C984" s="10" t="n">
        <v>3</v>
      </c>
      <c r="D984" s="10" t="n">
        <v>336</v>
      </c>
      <c r="E984" s="10" t="inlineStr">
        <is>
          <t>134 days</t>
        </is>
      </c>
    </row>
    <row r="985">
      <c r="A985" s="10" t="inlineStr">
        <is>
          <t>C3231</t>
        </is>
      </c>
      <c r="B985" s="10" t="inlineStr">
        <is>
          <t>Rp 1.085.307</t>
        </is>
      </c>
      <c r="C985" s="10" t="n">
        <v>3</v>
      </c>
      <c r="D985" s="10" t="n">
        <v>350</v>
      </c>
      <c r="E985" s="10" t="inlineStr">
        <is>
          <t>30 days</t>
        </is>
      </c>
    </row>
    <row r="986">
      <c r="A986" s="10" t="inlineStr">
        <is>
          <t>C3127</t>
        </is>
      </c>
      <c r="B986" s="10" t="n">
        <v>1108616</v>
      </c>
      <c r="C986" s="10" t="n">
        <v>4</v>
      </c>
      <c r="D986" s="10" t="n">
        <v>21</v>
      </c>
      <c r="E986" s="10" t="n">
        <v>30</v>
      </c>
    </row>
    <row r="987">
      <c r="A987" s="10" t="inlineStr">
        <is>
          <t>C3615</t>
        </is>
      </c>
      <c r="B987" s="10" t="inlineStr">
        <is>
          <t>Rp 615.430</t>
        </is>
      </c>
      <c r="C987" s="10" t="n">
        <v>1</v>
      </c>
      <c r="D987" s="10" t="n">
        <v>115</v>
      </c>
      <c r="E987" s="10" t="inlineStr">
        <is>
          <t>12 days</t>
        </is>
      </c>
    </row>
    <row r="988">
      <c r="A988" s="10" t="inlineStr">
        <is>
          <t>C3057</t>
        </is>
      </c>
      <c r="B988" s="10" t="inlineStr">
        <is>
          <t>Rp 844.113</t>
        </is>
      </c>
      <c r="C988" s="10" t="n">
        <v>6</v>
      </c>
      <c r="D988" s="10" t="n">
        <v>396</v>
      </c>
      <c r="E988" s="10" t="n">
        <v>93</v>
      </c>
    </row>
    <row r="989">
      <c r="A989" s="10" t="inlineStr">
        <is>
          <t>C3067</t>
        </is>
      </c>
      <c r="B989" s="10" t="inlineStr">
        <is>
          <t>Rp 1.131.894</t>
        </is>
      </c>
      <c r="C989" s="10" t="n">
        <v>6</v>
      </c>
      <c r="D989" s="10" t="n">
        <v>24</v>
      </c>
      <c r="E989" s="10" t="inlineStr">
        <is>
          <t>15 days</t>
        </is>
      </c>
    </row>
    <row r="990">
      <c r="A990" s="10" t="inlineStr">
        <is>
          <t>C3270</t>
        </is>
      </c>
      <c r="B990" s="10" t="inlineStr">
        <is>
          <t>Rp 78.205</t>
        </is>
      </c>
      <c r="C990" s="10" t="n">
        <v>5</v>
      </c>
      <c r="D990" s="10" t="n">
        <v>87</v>
      </c>
      <c r="E990" s="10" t="n">
        <v>7</v>
      </c>
    </row>
    <row r="991">
      <c r="A991" s="10" t="inlineStr">
        <is>
          <t>C3443</t>
        </is>
      </c>
      <c r="B991" s="10" t="n">
        <v>4129102</v>
      </c>
      <c r="C991" s="10" t="n">
        <v>14</v>
      </c>
      <c r="D991" s="10" t="n">
        <v>249</v>
      </c>
      <c r="E991" s="10" t="n">
        <v>22</v>
      </c>
    </row>
    <row r="992">
      <c r="A992" s="10" t="inlineStr">
        <is>
          <t>C3001</t>
        </is>
      </c>
      <c r="B992" s="10" t="n">
        <v>1824860</v>
      </c>
      <c r="C992" s="10" t="n">
        <v>4</v>
      </c>
      <c r="D992" s="10" t="n">
        <v>33</v>
      </c>
      <c r="E992" s="10" t="inlineStr">
        <is>
          <t>34 days</t>
        </is>
      </c>
    </row>
    <row r="993">
      <c r="A993" s="10" t="inlineStr">
        <is>
          <t>C3856</t>
        </is>
      </c>
      <c r="B993" s="10" t="inlineStr">
        <is>
          <t>Rp 851.086</t>
        </is>
      </c>
      <c r="C993" s="10" t="n">
        <v>2</v>
      </c>
      <c r="D993" s="10" t="n">
        <v>40</v>
      </c>
      <c r="E993" s="10" t="n">
        <v>36</v>
      </c>
    </row>
    <row r="994">
      <c r="A994" s="10" t="inlineStr">
        <is>
          <t>C4021</t>
        </is>
      </c>
      <c r="B994" s="10" t="n">
        <v>2741588</v>
      </c>
      <c r="C994" s="10" t="n">
        <v>16</v>
      </c>
      <c r="D994" s="10" t="n">
        <v>209</v>
      </c>
      <c r="E994" s="10" t="n">
        <v>23</v>
      </c>
    </row>
    <row r="995">
      <c r="A995" s="10" t="inlineStr">
        <is>
          <t>C3551</t>
        </is>
      </c>
      <c r="B995" s="10" t="n">
        <v>5626357</v>
      </c>
      <c r="C995" s="10" t="n">
        <v>24</v>
      </c>
      <c r="D995" s="10" t="n">
        <v>523</v>
      </c>
      <c r="E995" s="10" t="n">
        <v>16</v>
      </c>
    </row>
    <row r="996">
      <c r="A996" s="10" t="inlineStr">
        <is>
          <t>C3698</t>
        </is>
      </c>
      <c r="B996" s="10" t="inlineStr">
        <is>
          <t>Rp 11.653.452</t>
        </is>
      </c>
      <c r="C996" s="10" t="n">
        <v>38</v>
      </c>
      <c r="D996" s="10" t="n">
        <v>654</v>
      </c>
      <c r="E996" s="10" t="n">
        <v>1</v>
      </c>
    </row>
    <row r="997">
      <c r="A997" s="10" t="inlineStr">
        <is>
          <t>C3544</t>
        </is>
      </c>
      <c r="B997" s="10" t="n">
        <v>879967</v>
      </c>
      <c r="C997" s="10" t="n">
        <v>2</v>
      </c>
      <c r="D997" s="10" t="n">
        <v>137</v>
      </c>
      <c r="E997" s="10" t="inlineStr">
        <is>
          <t>1 days</t>
        </is>
      </c>
    </row>
    <row r="998">
      <c r="A998" s="10" t="inlineStr">
        <is>
          <t>C3282</t>
        </is>
      </c>
      <c r="B998" s="10" t="n">
        <v>1487002</v>
      </c>
      <c r="C998" s="10" t="n">
        <v>2</v>
      </c>
      <c r="D998" s="10" t="n">
        <v>255</v>
      </c>
      <c r="E998" s="10" t="inlineStr">
        <is>
          <t>48 days</t>
        </is>
      </c>
    </row>
    <row r="999">
      <c r="A999" s="10" t="inlineStr">
        <is>
          <t>C3391</t>
        </is>
      </c>
      <c r="B999" s="10" t="n">
        <v>261747</v>
      </c>
      <c r="C999" s="10" t="n">
        <v>2</v>
      </c>
      <c r="D999" s="10" t="n">
        <v>149</v>
      </c>
      <c r="E999" s="10" t="n">
        <v>71</v>
      </c>
    </row>
    <row r="1000">
      <c r="A1000" s="10" t="inlineStr">
        <is>
          <t>C3860</t>
        </is>
      </c>
      <c r="B1000" s="10" t="n">
        <v>3259938</v>
      </c>
      <c r="C1000" s="10" t="n">
        <v>23</v>
      </c>
      <c r="D1000" s="10" t="n">
        <v>531</v>
      </c>
      <c r="E1000" s="10" t="n">
        <v>23</v>
      </c>
    </row>
    <row r="1001">
      <c r="A1001" s="10" t="inlineStr">
        <is>
          <t>C3658</t>
        </is>
      </c>
      <c r="B1001" s="10" t="n">
        <v>663092</v>
      </c>
      <c r="C1001" s="10" t="n">
        <v>3</v>
      </c>
      <c r="D1001" s="10" t="n">
        <v>362</v>
      </c>
      <c r="E1001" s="10" t="n">
        <v>20</v>
      </c>
    </row>
    <row r="1002">
      <c r="A1002" s="10" t="inlineStr">
        <is>
          <t>C4059</t>
        </is>
      </c>
      <c r="B1002" s="10" t="n">
        <v>1184372</v>
      </c>
      <c r="C1002" s="10" t="n">
        <v>1</v>
      </c>
      <c r="D1002" s="10" t="n">
        <v>360</v>
      </c>
      <c r="E1002" s="10" t="n">
        <v>58</v>
      </c>
    </row>
    <row r="1003">
      <c r="A1003" s="10" t="inlineStr">
        <is>
          <t>C3233</t>
        </is>
      </c>
      <c r="B1003" s="10" t="inlineStr">
        <is>
          <t>Rp 4.020.169</t>
        </is>
      </c>
      <c r="C1003" s="10" t="n">
        <v>18</v>
      </c>
      <c r="D1003" s="10" t="n">
        <v>498</v>
      </c>
      <c r="E1003" s="10" t="n">
        <v>18</v>
      </c>
    </row>
    <row r="1004">
      <c r="A1004" s="10" t="inlineStr">
        <is>
          <t>C3911</t>
        </is>
      </c>
      <c r="B1004" s="10" t="n">
        <v>3230151</v>
      </c>
      <c r="C1004" s="10" t="n">
        <v>17</v>
      </c>
      <c r="D1004" s="10" t="n">
        <v>272</v>
      </c>
      <c r="E1004" s="10" t="n">
        <v>11</v>
      </c>
    </row>
    <row r="1005">
      <c r="A1005" s="10" t="inlineStr">
        <is>
          <t>C3303</t>
        </is>
      </c>
      <c r="B1005" s="10" t="n">
        <v>4317719</v>
      </c>
      <c r="C1005" s="10" t="n"/>
      <c r="D1005" s="10" t="n">
        <v>477</v>
      </c>
      <c r="E1005" s="10" t="n">
        <v>35</v>
      </c>
    </row>
    <row r="1006">
      <c r="A1006" s="10" t="inlineStr">
        <is>
          <t>C3249</t>
        </is>
      </c>
      <c r="B1006" s="10" t="n">
        <v>3858484</v>
      </c>
      <c r="C1006" s="10" t="n">
        <v>9</v>
      </c>
      <c r="D1006" s="10" t="n">
        <v>519</v>
      </c>
      <c r="E1006" s="10" t="n">
        <v>20</v>
      </c>
    </row>
    <row r="1007">
      <c r="A1007" s="10" t="inlineStr">
        <is>
          <t>C3608</t>
        </is>
      </c>
      <c r="B1007" s="10" t="n">
        <v>6348096</v>
      </c>
      <c r="C1007" s="10" t="n">
        <v>24</v>
      </c>
      <c r="D1007" s="10" t="n">
        <v>665</v>
      </c>
      <c r="E1007" s="10" t="n">
        <v>7</v>
      </c>
    </row>
    <row r="1008">
      <c r="A1008" s="10" t="inlineStr">
        <is>
          <t>C3811</t>
        </is>
      </c>
      <c r="B1008" s="10" t="n">
        <v>2448542</v>
      </c>
      <c r="C1008" s="10" t="n">
        <v>14</v>
      </c>
      <c r="D1008" s="10" t="n">
        <v>487</v>
      </c>
      <c r="E1008" s="10" t="n">
        <v>3</v>
      </c>
    </row>
    <row r="1009">
      <c r="A1009" s="10" t="inlineStr">
        <is>
          <t>C3508</t>
        </is>
      </c>
      <c r="B1009" s="10" t="n">
        <v>1195016</v>
      </c>
      <c r="C1009" s="10" t="n">
        <v>2</v>
      </c>
      <c r="D1009" s="10" t="n">
        <v>41</v>
      </c>
      <c r="E1009" s="10" t="inlineStr">
        <is>
          <t>21 days</t>
        </is>
      </c>
    </row>
    <row r="1010">
      <c r="A1010" s="10" t="inlineStr">
        <is>
          <t>C3230</t>
        </is>
      </c>
      <c r="B1010" s="10" t="n">
        <v>1076876</v>
      </c>
      <c r="C1010" s="10" t="n">
        <v>3</v>
      </c>
      <c r="D1010" s="10" t="n">
        <v>315</v>
      </c>
      <c r="E1010" s="10" t="n">
        <v>13</v>
      </c>
    </row>
    <row r="1011">
      <c r="A1011" s="10" t="inlineStr">
        <is>
          <t>C3170</t>
        </is>
      </c>
      <c r="B1011" s="10" t="n">
        <v>2485545</v>
      </c>
      <c r="C1011" s="10" t="n">
        <v>6</v>
      </c>
      <c r="D1011" s="10" t="n">
        <v>15</v>
      </c>
      <c r="E1011" s="10" t="inlineStr">
        <is>
          <t>9 days</t>
        </is>
      </c>
    </row>
    <row r="1012">
      <c r="A1012" s="10" t="inlineStr">
        <is>
          <t>C3456</t>
        </is>
      </c>
      <c r="B1012" s="10" t="n">
        <v>1834798</v>
      </c>
      <c r="C1012" s="10" t="n">
        <v>2</v>
      </c>
      <c r="D1012" s="10" t="n">
        <v>99</v>
      </c>
      <c r="E1012" s="10" t="inlineStr">
        <is>
          <t>13 days</t>
        </is>
      </c>
    </row>
    <row r="1013">
      <c r="A1013" s="10" t="inlineStr">
        <is>
          <t>C3902</t>
        </is>
      </c>
      <c r="B1013" s="10" t="inlineStr">
        <is>
          <t>Rp 540.596</t>
        </is>
      </c>
      <c r="C1013" s="10" t="n">
        <v>5</v>
      </c>
      <c r="D1013" s="10" t="n">
        <v>344</v>
      </c>
      <c r="E1013" s="10" t="n">
        <v>132</v>
      </c>
    </row>
    <row r="1014">
      <c r="A1014" s="10" t="inlineStr">
        <is>
          <t>C3530</t>
        </is>
      </c>
      <c r="B1014" s="10" t="n">
        <v>4093578</v>
      </c>
      <c r="C1014" s="10" t="n">
        <v>13</v>
      </c>
      <c r="D1014" s="10" t="n">
        <v>388</v>
      </c>
      <c r="E1014" s="10" t="n">
        <v>15</v>
      </c>
    </row>
    <row r="1015">
      <c r="A1015" s="10" t="inlineStr">
        <is>
          <t>C3090</t>
        </is>
      </c>
      <c r="B1015" s="10" t="n">
        <v>3432609</v>
      </c>
      <c r="C1015" s="10" t="n">
        <v>9</v>
      </c>
      <c r="D1015" s="10" t="n">
        <v>368</v>
      </c>
      <c r="E1015" s="10" t="n">
        <v>24</v>
      </c>
    </row>
    <row r="1016">
      <c r="A1016" s="10" t="inlineStr">
        <is>
          <t>C3571</t>
        </is>
      </c>
      <c r="B1016" s="10" t="n">
        <v>1443729</v>
      </c>
      <c r="C1016" s="10" t="n">
        <v>4</v>
      </c>
      <c r="D1016" s="10" t="n">
        <v>183</v>
      </c>
      <c r="E1016" s="10" t="n">
        <v>13</v>
      </c>
    </row>
    <row r="1017">
      <c r="A1017" s="10" t="inlineStr">
        <is>
          <t>C3055</t>
        </is>
      </c>
      <c r="B1017" s="10" t="n">
        <v>3733333</v>
      </c>
      <c r="C1017" s="10" t="n">
        <v>5</v>
      </c>
      <c r="D1017" s="10" t="n">
        <v>246</v>
      </c>
      <c r="E1017" s="10" t="n">
        <v>27</v>
      </c>
    </row>
    <row r="1018">
      <c r="A1018" s="10" t="inlineStr">
        <is>
          <t>C3469</t>
        </is>
      </c>
      <c r="B1018" s="10" t="inlineStr">
        <is>
          <t>Rp 1.242.105</t>
        </is>
      </c>
      <c r="C1018" s="10" t="n">
        <v>4</v>
      </c>
      <c r="D1018" s="10" t="n">
        <v>455</v>
      </c>
      <c r="E1018" s="10" t="n">
        <v>96</v>
      </c>
    </row>
    <row r="1019">
      <c r="A1019" s="10" t="inlineStr">
        <is>
          <t>C3918</t>
        </is>
      </c>
      <c r="B1019" s="10" t="n">
        <v>1732454</v>
      </c>
      <c r="C1019" s="10" t="n">
        <v>6</v>
      </c>
      <c r="D1019" s="10" t="n">
        <v>278</v>
      </c>
      <c r="E1019" s="10" t="n">
        <v>154</v>
      </c>
    </row>
    <row r="1020">
      <c r="A1020" s="10" t="inlineStr">
        <is>
          <t>C3454</t>
        </is>
      </c>
      <c r="B1020" s="10" t="n">
        <v>71857</v>
      </c>
      <c r="C1020" s="10" t="n">
        <v>5</v>
      </c>
      <c r="D1020" s="10" t="n">
        <v>100</v>
      </c>
      <c r="E1020" s="10" t="n">
        <v>38</v>
      </c>
    </row>
    <row r="1021">
      <c r="A1021" s="10" t="inlineStr">
        <is>
          <t>C3309</t>
        </is>
      </c>
      <c r="B1021" s="10" t="inlineStr">
        <is>
          <t>Rp 2.605.940</t>
        </is>
      </c>
      <c r="C1021" s="10" t="n">
        <v>13</v>
      </c>
      <c r="D1021" s="10" t="n">
        <v>304</v>
      </c>
      <c r="E1021" s="10" t="n">
        <v>12</v>
      </c>
    </row>
    <row r="1022">
      <c r="A1022" s="10" t="inlineStr">
        <is>
          <t>C3021</t>
        </is>
      </c>
      <c r="B1022" s="10" t="n">
        <v>1868250</v>
      </c>
      <c r="C1022" s="10" t="n">
        <v>7</v>
      </c>
      <c r="D1022" s="10" t="n">
        <v>29</v>
      </c>
      <c r="E1022" s="10" t="n">
        <v>24</v>
      </c>
    </row>
    <row r="1023">
      <c r="A1023" s="10" t="inlineStr">
        <is>
          <t>C3480</t>
        </is>
      </c>
      <c r="B1023" s="10" t="n">
        <v>1391156</v>
      </c>
      <c r="C1023" s="10" t="n">
        <v>7</v>
      </c>
      <c r="D1023" s="10" t="n">
        <v>5</v>
      </c>
      <c r="E1023" s="10" t="n">
        <v>27</v>
      </c>
    </row>
    <row r="1024">
      <c r="A1024" s="10" t="inlineStr">
        <is>
          <t>C3257</t>
        </is>
      </c>
      <c r="B1024" s="10" t="inlineStr">
        <is>
          <t>Rp 1.821.828</t>
        </is>
      </c>
      <c r="C1024" s="10" t="n">
        <v>1</v>
      </c>
      <c r="D1024" s="10" t="n">
        <v>67</v>
      </c>
      <c r="E1024" s="10" t="n">
        <v>45</v>
      </c>
    </row>
    <row r="1025">
      <c r="A1025" s="10" t="inlineStr">
        <is>
          <t>C3120</t>
        </is>
      </c>
      <c r="B1025" s="10" t="n">
        <v>795734</v>
      </c>
      <c r="C1025" s="10" t="n">
        <v>3</v>
      </c>
      <c r="D1025" s="10" t="n">
        <v>214</v>
      </c>
      <c r="E1025" s="10" t="n">
        <v>18</v>
      </c>
    </row>
    <row r="1026">
      <c r="A1026" s="10" t="inlineStr">
        <is>
          <t>C3705</t>
        </is>
      </c>
      <c r="B1026" s="10" t="n">
        <v>584992</v>
      </c>
      <c r="C1026" s="10" t="n">
        <v>5</v>
      </c>
      <c r="D1026" s="10" t="n">
        <v>368</v>
      </c>
      <c r="E1026" s="10" t="n">
        <v>53</v>
      </c>
    </row>
    <row r="1027">
      <c r="A1027" s="10" t="inlineStr">
        <is>
          <t>C3220</t>
        </is>
      </c>
      <c r="B1027" s="10" t="n">
        <v>4438130</v>
      </c>
      <c r="C1027" s="10" t="n">
        <v>13</v>
      </c>
      <c r="D1027" s="10" t="n">
        <v>558</v>
      </c>
      <c r="E1027" s="10" t="n">
        <v>10</v>
      </c>
    </row>
    <row r="1028">
      <c r="A1028" s="10" t="inlineStr">
        <is>
          <t>C3548</t>
        </is>
      </c>
      <c r="B1028" s="10" t="n">
        <v>249841</v>
      </c>
      <c r="C1028" s="10" t="n">
        <v>2</v>
      </c>
      <c r="D1028" s="10" t="n">
        <v>40</v>
      </c>
      <c r="E1028" s="10" t="n">
        <v>70</v>
      </c>
    </row>
    <row r="1029">
      <c r="A1029" s="10" t="inlineStr">
        <is>
          <t>C3460</t>
        </is>
      </c>
      <c r="B1029" s="10" t="n">
        <v>4582139</v>
      </c>
      <c r="C1029" s="10" t="n">
        <v>11</v>
      </c>
      <c r="D1029" s="10" t="n">
        <v>660</v>
      </c>
      <c r="E1029" s="10" t="n">
        <v>35</v>
      </c>
    </row>
    <row r="1030">
      <c r="A1030" s="10" t="inlineStr">
        <is>
          <t>C3466</t>
        </is>
      </c>
      <c r="B1030" s="10" t="inlineStr">
        <is>
          <t>Rp 507.429</t>
        </is>
      </c>
      <c r="C1030" s="10" t="n">
        <v>5</v>
      </c>
      <c r="D1030" s="10" t="n">
        <v>408</v>
      </c>
      <c r="E1030" s="10" t="n">
        <v>59</v>
      </c>
    </row>
    <row r="1031">
      <c r="A1031" s="10" t="inlineStr">
        <is>
          <t>C4005</t>
        </is>
      </c>
      <c r="B1031" s="10" t="inlineStr">
        <is>
          <t>Rp 3.931.522</t>
        </is>
      </c>
      <c r="C1031" s="10" t="n">
        <v>12</v>
      </c>
      <c r="D1031" s="10" t="n">
        <v>444</v>
      </c>
      <c r="E1031" s="10" t="n">
        <v>28</v>
      </c>
    </row>
    <row r="1032">
      <c r="A1032" s="10" t="inlineStr">
        <is>
          <t>C3873</t>
        </is>
      </c>
      <c r="B1032" s="10" t="n">
        <v>833150</v>
      </c>
      <c r="C1032" s="10" t="n">
        <v>3</v>
      </c>
      <c r="D1032" s="10" t="n">
        <v>138</v>
      </c>
      <c r="E1032" s="10" t="n">
        <v>78</v>
      </c>
    </row>
    <row r="1033">
      <c r="A1033" s="10" t="inlineStr">
        <is>
          <t>C3745</t>
        </is>
      </c>
      <c r="B1033" s="10" t="n">
        <v>1058625</v>
      </c>
      <c r="C1033" s="10" t="n">
        <v>4</v>
      </c>
      <c r="D1033" s="10" t="n">
        <v>346</v>
      </c>
      <c r="E1033" s="10" t="n">
        <v>110</v>
      </c>
    </row>
    <row r="1034">
      <c r="A1034" s="10" t="inlineStr">
        <is>
          <t>C3281</t>
        </is>
      </c>
      <c r="B1034" s="10" t="n">
        <v>1292752</v>
      </c>
      <c r="C1034" s="10" t="n"/>
      <c r="D1034" s="10" t="n">
        <v>471</v>
      </c>
      <c r="E1034" s="10" t="inlineStr">
        <is>
          <t>122 days</t>
        </is>
      </c>
    </row>
    <row r="1035">
      <c r="A1035" s="10" t="inlineStr">
        <is>
          <t>C3404</t>
        </is>
      </c>
      <c r="B1035" s="10" t="n">
        <v>452047</v>
      </c>
      <c r="C1035" s="10" t="n">
        <v>7</v>
      </c>
      <c r="D1035" s="10" t="n">
        <v>484</v>
      </c>
      <c r="E1035" s="10" t="inlineStr">
        <is>
          <t>98 days</t>
        </is>
      </c>
    </row>
    <row r="1036">
      <c r="A1036" s="10" t="inlineStr">
        <is>
          <t>C3335</t>
        </is>
      </c>
      <c r="B1036" s="10" t="n">
        <v>1820613</v>
      </c>
      <c r="C1036" s="10" t="n">
        <v>4</v>
      </c>
      <c r="D1036" s="10" t="n">
        <v>203</v>
      </c>
      <c r="E1036" s="10" t="inlineStr">
        <is>
          <t>25 days</t>
        </is>
      </c>
    </row>
    <row r="1037">
      <c r="A1037" s="10" t="inlineStr">
        <is>
          <t>C3486</t>
        </is>
      </c>
      <c r="B1037" s="10" t="n">
        <v>839540</v>
      </c>
      <c r="C1037" s="10" t="n">
        <v>5</v>
      </c>
      <c r="D1037" s="10" t="n">
        <v>493</v>
      </c>
      <c r="E1037" s="10" t="n">
        <v>129</v>
      </c>
    </row>
    <row r="1038">
      <c r="A1038" s="10" t="inlineStr">
        <is>
          <t>C3578</t>
        </is>
      </c>
      <c r="B1038" s="10" t="n">
        <v>1190365</v>
      </c>
      <c r="C1038" s="10" t="n">
        <v>4</v>
      </c>
      <c r="D1038" s="10" t="n">
        <v>24</v>
      </c>
      <c r="E1038" s="10" t="inlineStr">
        <is>
          <t>22 days</t>
        </is>
      </c>
    </row>
    <row r="1039">
      <c r="A1039" s="10" t="inlineStr">
        <is>
          <t>C3984</t>
        </is>
      </c>
      <c r="B1039" s="10" t="n">
        <v>3192799</v>
      </c>
      <c r="C1039" s="10" t="n">
        <v>16</v>
      </c>
      <c r="D1039" s="10" t="n">
        <v>238</v>
      </c>
      <c r="E1039" s="10" t="n">
        <v>14</v>
      </c>
    </row>
    <row r="1040">
      <c r="A1040" s="10" t="inlineStr">
        <is>
          <t>C3881</t>
        </is>
      </c>
      <c r="B1040" s="10" t="inlineStr">
        <is>
          <t>Rp 761.762</t>
        </is>
      </c>
      <c r="C1040" s="10" t="n">
        <v>6</v>
      </c>
      <c r="D1040" s="10" t="n">
        <v>124</v>
      </c>
      <c r="E1040" s="10" t="n">
        <v>11</v>
      </c>
    </row>
    <row r="1041">
      <c r="A1041" s="10" t="inlineStr">
        <is>
          <t>C3186</t>
        </is>
      </c>
      <c r="B1041" s="10" t="inlineStr">
        <is>
          <t>Rp 3.059.770</t>
        </is>
      </c>
      <c r="C1041" s="10" t="n">
        <v>17</v>
      </c>
      <c r="D1041" s="10" t="n">
        <v>343</v>
      </c>
      <c r="E1041" s="10" t="n">
        <v>18</v>
      </c>
    </row>
    <row r="1042">
      <c r="A1042" s="10" t="inlineStr">
        <is>
          <t>C3917</t>
        </is>
      </c>
      <c r="B1042" s="10" t="n">
        <v>1543662</v>
      </c>
      <c r="C1042" s="10" t="n">
        <v>2</v>
      </c>
      <c r="D1042" s="10" t="n">
        <v>77</v>
      </c>
      <c r="E1042" s="10" t="n">
        <v>14</v>
      </c>
    </row>
    <row r="1043">
      <c r="A1043" s="10" t="inlineStr">
        <is>
          <t>C3920</t>
        </is>
      </c>
      <c r="B1043" s="10" t="n">
        <v>932743</v>
      </c>
      <c r="C1043" s="10" t="n">
        <v>6</v>
      </c>
      <c r="D1043" s="10" t="n">
        <v>255</v>
      </c>
      <c r="E1043" s="10" t="n">
        <v>1</v>
      </c>
    </row>
    <row r="1044">
      <c r="A1044" s="10" t="inlineStr">
        <is>
          <t>C3089</t>
        </is>
      </c>
      <c r="B1044" s="10" t="n">
        <v>1311908</v>
      </c>
      <c r="C1044" s="10" t="n">
        <v>1</v>
      </c>
      <c r="D1044" s="10" t="n">
        <v>142</v>
      </c>
      <c r="E1044" s="10" t="n">
        <v>27</v>
      </c>
    </row>
    <row r="1045">
      <c r="A1045" s="10" t="inlineStr">
        <is>
          <t>C3627</t>
        </is>
      </c>
      <c r="B1045" s="10" t="n">
        <v>3168924</v>
      </c>
      <c r="C1045" s="10" t="n">
        <v>11</v>
      </c>
      <c r="D1045" s="10" t="n">
        <v>369</v>
      </c>
      <c r="E1045" s="10" t="n">
        <v>12</v>
      </c>
    </row>
    <row r="1046">
      <c r="A1046" s="10" t="inlineStr">
        <is>
          <t>C4058</t>
        </is>
      </c>
      <c r="B1046" s="10" t="n">
        <v>1197761</v>
      </c>
      <c r="C1046" s="10" t="n">
        <v>1</v>
      </c>
      <c r="D1046" s="10" t="n">
        <v>278</v>
      </c>
      <c r="E1046" s="10" t="n">
        <v>65</v>
      </c>
    </row>
    <row r="1047">
      <c r="A1047" s="10" t="inlineStr">
        <is>
          <t>C3279</t>
        </is>
      </c>
      <c r="B1047" s="10" t="n">
        <v>775652</v>
      </c>
      <c r="C1047" s="10" t="n">
        <v>4</v>
      </c>
      <c r="D1047" s="10" t="n">
        <v>5</v>
      </c>
      <c r="E1047" s="10" t="n">
        <v>56</v>
      </c>
    </row>
    <row r="1048">
      <c r="A1048" s="10" t="inlineStr">
        <is>
          <t>C3206</t>
        </is>
      </c>
      <c r="B1048" s="10" t="inlineStr">
        <is>
          <t>Rp 309.346</t>
        </is>
      </c>
      <c r="C1048" s="10" t="n">
        <v>4</v>
      </c>
      <c r="D1048" s="10" t="n">
        <v>222</v>
      </c>
      <c r="E1048" s="10" t="n">
        <v>85</v>
      </c>
    </row>
    <row r="1049">
      <c r="A1049" s="10" t="inlineStr">
        <is>
          <t>C3760</t>
        </is>
      </c>
      <c r="B1049" s="10" t="inlineStr">
        <is>
          <t>Rp 3.575.074</t>
        </is>
      </c>
      <c r="C1049" s="10" t="n">
        <v>21</v>
      </c>
      <c r="D1049" s="10" t="n">
        <v>305</v>
      </c>
      <c r="E1049" s="10" t="n">
        <v>8</v>
      </c>
    </row>
    <row r="1050">
      <c r="A1050" s="10" t="inlineStr">
        <is>
          <t>C3246</t>
        </is>
      </c>
      <c r="B1050" s="10" t="n">
        <v>1676897</v>
      </c>
      <c r="C1050" s="10" t="n">
        <v>5</v>
      </c>
      <c r="D1050" s="10" t="n">
        <v>329</v>
      </c>
      <c r="E1050" s="10" t="n">
        <v>104</v>
      </c>
    </row>
    <row r="1051">
      <c r="A1051" s="10" t="inlineStr">
        <is>
          <t>C3618</t>
        </is>
      </c>
      <c r="B1051" s="10" t="n">
        <v>1531809</v>
      </c>
      <c r="C1051" s="10" t="n">
        <v>5</v>
      </c>
      <c r="D1051" s="10" t="n">
        <v>59</v>
      </c>
      <c r="E1051" s="10" t="n">
        <v>31</v>
      </c>
    </row>
    <row r="1052">
      <c r="A1052" s="10" t="inlineStr">
        <is>
          <t>C3308</t>
        </is>
      </c>
      <c r="B1052" s="10" t="n">
        <v>3296100</v>
      </c>
      <c r="C1052" s="10" t="n">
        <v>9</v>
      </c>
      <c r="D1052" s="10" t="n">
        <v>346</v>
      </c>
      <c r="E1052" s="10" t="n">
        <v>22</v>
      </c>
    </row>
    <row r="1053">
      <c r="A1053" s="10" t="inlineStr">
        <is>
          <t>C3706</t>
        </is>
      </c>
      <c r="B1053" s="10" t="n">
        <v>700435</v>
      </c>
      <c r="C1053" s="10" t="n">
        <v>4</v>
      </c>
      <c r="D1053" s="10" t="n">
        <v>120</v>
      </c>
      <c r="E1053" s="10" t="n">
        <v>51</v>
      </c>
    </row>
    <row r="1054">
      <c r="A1054" s="10" t="inlineStr">
        <is>
          <t>C3040</t>
        </is>
      </c>
      <c r="B1054" s="10" t="n">
        <v>1507256</v>
      </c>
      <c r="C1054" s="10" t="n"/>
      <c r="D1054" s="10" t="n">
        <v>490</v>
      </c>
      <c r="E1054" s="10" t="n">
        <v>44</v>
      </c>
    </row>
    <row r="1055">
      <c r="A1055" s="10" t="inlineStr">
        <is>
          <t>C3895</t>
        </is>
      </c>
      <c r="B1055" s="10" t="n">
        <v>1083182</v>
      </c>
      <c r="C1055" s="10" t="n">
        <v>2</v>
      </c>
      <c r="D1055" s="10" t="n">
        <v>458</v>
      </c>
      <c r="E1055" s="10" t="n">
        <v>67</v>
      </c>
    </row>
    <row r="1056">
      <c r="A1056" s="10" t="inlineStr">
        <is>
          <t>C3178</t>
        </is>
      </c>
      <c r="B1056" s="10" t="inlineStr">
        <is>
          <t>Rp 1.015.795</t>
        </is>
      </c>
      <c r="C1056" s="10" t="n">
        <v>1</v>
      </c>
      <c r="D1056" s="10" t="n">
        <v>11</v>
      </c>
      <c r="E1056" s="10" t="n">
        <v>1</v>
      </c>
    </row>
    <row r="1057">
      <c r="A1057" s="10" t="inlineStr">
        <is>
          <t>C3184</t>
        </is>
      </c>
      <c r="B1057" s="10" t="n">
        <v>3168315</v>
      </c>
      <c r="C1057" s="10" t="n">
        <v>10</v>
      </c>
      <c r="D1057" s="10" t="n">
        <v>298</v>
      </c>
      <c r="E1057" s="10" t="n">
        <v>15</v>
      </c>
    </row>
    <row r="1058">
      <c r="A1058" s="10" t="inlineStr">
        <is>
          <t>C3195</t>
        </is>
      </c>
      <c r="B1058" s="10" t="n">
        <v>10654099</v>
      </c>
      <c r="C1058" s="10" t="n">
        <v>30</v>
      </c>
      <c r="D1058" s="10" t="n">
        <v>745</v>
      </c>
      <c r="E1058" s="10" t="n">
        <v>19</v>
      </c>
    </row>
    <row r="1059">
      <c r="A1059" s="10" t="inlineStr">
        <is>
          <t>C3782</t>
        </is>
      </c>
      <c r="B1059" s="10" t="n">
        <v>1723671</v>
      </c>
      <c r="C1059" s="10" t="n">
        <v>5</v>
      </c>
      <c r="D1059" s="10" t="n">
        <v>367</v>
      </c>
      <c r="E1059" s="10" t="n">
        <v>116</v>
      </c>
    </row>
    <row r="1060">
      <c r="A1060" s="10" t="inlineStr">
        <is>
          <t>C3043</t>
        </is>
      </c>
      <c r="B1060" s="10" t="n">
        <v>844799</v>
      </c>
      <c r="C1060" s="10" t="n">
        <v>7</v>
      </c>
      <c r="D1060" s="10" t="n">
        <v>424</v>
      </c>
      <c r="E1060" s="10" t="inlineStr">
        <is>
          <t>90 days</t>
        </is>
      </c>
    </row>
    <row r="1061">
      <c r="A1061" s="10" t="inlineStr">
        <is>
          <t>C3110</t>
        </is>
      </c>
      <c r="B1061" s="10" t="n">
        <v>9862655</v>
      </c>
      <c r="C1061" s="10" t="n">
        <v>32</v>
      </c>
      <c r="D1061" s="10" t="n">
        <v>632</v>
      </c>
      <c r="E1061" s="10" t="n">
        <v>9</v>
      </c>
    </row>
    <row r="1062">
      <c r="A1062" s="10" t="inlineStr">
        <is>
          <t>C3557</t>
        </is>
      </c>
      <c r="B1062" s="10" t="n">
        <v>1082854</v>
      </c>
      <c r="C1062" s="10" t="n">
        <v>4</v>
      </c>
      <c r="D1062" s="10" t="n">
        <v>58</v>
      </c>
      <c r="E1062" s="10" t="n">
        <v>36</v>
      </c>
    </row>
    <row r="1063">
      <c r="A1063" s="10" t="inlineStr">
        <is>
          <t>C3317</t>
        </is>
      </c>
      <c r="B1063" s="10" t="n">
        <v>1527415</v>
      </c>
      <c r="C1063" s="10" t="n">
        <v>8</v>
      </c>
      <c r="D1063" s="10" t="n">
        <v>280</v>
      </c>
      <c r="E1063" s="10" t="inlineStr">
        <is>
          <t>113 days</t>
        </is>
      </c>
    </row>
    <row r="1064">
      <c r="A1064" s="10" t="inlineStr">
        <is>
          <t>C3887</t>
        </is>
      </c>
      <c r="B1064" s="10" t="n">
        <v>9744279</v>
      </c>
      <c r="C1064" s="10" t="n">
        <v>38</v>
      </c>
      <c r="D1064" s="10" t="n">
        <v>592</v>
      </c>
      <c r="E1064" s="10" t="n">
        <v>13</v>
      </c>
    </row>
    <row r="1065">
      <c r="A1065" s="10" t="inlineStr">
        <is>
          <t>C3875</t>
        </is>
      </c>
      <c r="B1065" s="10" t="n">
        <v>1464150</v>
      </c>
      <c r="C1065" s="10" t="n">
        <v>4</v>
      </c>
      <c r="D1065" s="10" t="n">
        <v>449</v>
      </c>
      <c r="E1065" s="10" t="n">
        <v>56</v>
      </c>
    </row>
    <row r="1066">
      <c r="A1066" s="10" t="inlineStr">
        <is>
          <t>C3793</t>
        </is>
      </c>
      <c r="B1066" s="10" t="n">
        <v>782919</v>
      </c>
      <c r="C1066" s="10" t="n">
        <v>5</v>
      </c>
      <c r="D1066" s="10" t="n">
        <v>129</v>
      </c>
      <c r="E1066" s="10" t="inlineStr">
        <is>
          <t>65 days</t>
        </is>
      </c>
    </row>
    <row r="1067">
      <c r="A1067" s="10" t="inlineStr">
        <is>
          <t>C3145</t>
        </is>
      </c>
      <c r="B1067" s="10" t="n">
        <v>10850218</v>
      </c>
      <c r="C1067" s="10" t="n">
        <v>20</v>
      </c>
      <c r="D1067" s="10" t="n">
        <v>457</v>
      </c>
      <c r="E1067" s="10" t="inlineStr">
        <is>
          <t>4 days</t>
        </is>
      </c>
    </row>
    <row r="1068">
      <c r="A1068" s="10" t="inlineStr">
        <is>
          <t>C4045</t>
        </is>
      </c>
      <c r="B1068" s="10" t="n">
        <v>652002</v>
      </c>
      <c r="C1068" s="10" t="n"/>
      <c r="D1068" s="10" t="n">
        <v>481</v>
      </c>
      <c r="E1068" s="10" t="n">
        <v>162</v>
      </c>
    </row>
    <row r="1069">
      <c r="A1069" s="10" t="inlineStr">
        <is>
          <t>C3616</t>
        </is>
      </c>
      <c r="B1069" s="10" t="inlineStr">
        <is>
          <t>Rp 2.352.767</t>
        </is>
      </c>
      <c r="C1069" s="10" t="n">
        <v>16</v>
      </c>
      <c r="D1069" s="10" t="n">
        <v>444</v>
      </c>
      <c r="E1069" s="10" t="n">
        <v>17</v>
      </c>
    </row>
    <row r="1070">
      <c r="A1070" s="10" t="inlineStr">
        <is>
          <t>C3539</t>
        </is>
      </c>
      <c r="B1070" s="10" t="inlineStr">
        <is>
          <t>Rp 2.961.713</t>
        </is>
      </c>
      <c r="C1070" s="10" t="n">
        <v>11</v>
      </c>
      <c r="D1070" s="10" t="n">
        <v>424</v>
      </c>
      <c r="E1070" s="10" t="n">
        <v>30</v>
      </c>
    </row>
    <row r="1071">
      <c r="A1071" s="10" t="inlineStr">
        <is>
          <t>C4060</t>
        </is>
      </c>
      <c r="B1071" s="10" t="n">
        <v>816293</v>
      </c>
      <c r="C1071" s="10" t="n">
        <v>7</v>
      </c>
      <c r="D1071" s="10" t="n">
        <v>494</v>
      </c>
      <c r="E1071" s="10" t="n">
        <v>123</v>
      </c>
    </row>
    <row r="1072">
      <c r="A1072" s="10" t="inlineStr">
        <is>
          <t>C3474</t>
        </is>
      </c>
      <c r="B1072" s="10" t="n">
        <v>4578206</v>
      </c>
      <c r="C1072" s="10" t="n">
        <v>10</v>
      </c>
      <c r="D1072" s="10" t="n">
        <v>439</v>
      </c>
      <c r="E1072" s="10" t="inlineStr">
        <is>
          <t>1 days</t>
        </is>
      </c>
    </row>
    <row r="1073">
      <c r="A1073" s="10" t="inlineStr">
        <is>
          <t>C3271</t>
        </is>
      </c>
      <c r="B1073" s="10" t="n">
        <v>9311232</v>
      </c>
      <c r="C1073" s="10" t="n">
        <v>24</v>
      </c>
      <c r="D1073" s="10" t="n">
        <v>334</v>
      </c>
      <c r="E1073" s="10" t="n">
        <v>11</v>
      </c>
    </row>
    <row r="1074">
      <c r="A1074" s="10" t="inlineStr">
        <is>
          <t>C3788</t>
        </is>
      </c>
      <c r="B1074" s="10" t="n">
        <v>1001428</v>
      </c>
      <c r="C1074" s="10" t="n">
        <v>10</v>
      </c>
      <c r="D1074" s="10" t="n">
        <v>243</v>
      </c>
      <c r="E1074" s="10" t="inlineStr">
        <is>
          <t>161 days</t>
        </is>
      </c>
    </row>
    <row r="1075">
      <c r="A1075" s="10" t="inlineStr">
        <is>
          <t>C3704</t>
        </is>
      </c>
      <c r="B1075" s="10" t="n">
        <v>4627169</v>
      </c>
      <c r="C1075" s="10" t="n">
        <v>14</v>
      </c>
      <c r="D1075" s="10" t="n">
        <v>371</v>
      </c>
      <c r="E1075" s="10" t="n">
        <v>29</v>
      </c>
    </row>
    <row r="1076">
      <c r="A1076" s="10" t="inlineStr">
        <is>
          <t>C3514</t>
        </is>
      </c>
      <c r="B1076" s="10" t="inlineStr">
        <is>
          <t>Rp 109.900</t>
        </is>
      </c>
      <c r="C1076" s="10" t="n">
        <v>4</v>
      </c>
      <c r="D1076" s="10" t="n">
        <v>200</v>
      </c>
      <c r="E1076" s="10" t="n">
        <v>71</v>
      </c>
    </row>
    <row r="1077">
      <c r="A1077" s="10" t="inlineStr">
        <is>
          <t>C3622</t>
        </is>
      </c>
      <c r="B1077" s="10" t="inlineStr">
        <is>
          <t>Rp 1.956.213</t>
        </is>
      </c>
      <c r="C1077" s="10" t="n">
        <v>4</v>
      </c>
      <c r="D1077" s="10" t="n">
        <v>88</v>
      </c>
      <c r="E1077" s="10" t="n">
        <v>30</v>
      </c>
    </row>
    <row r="1078">
      <c r="A1078" s="10" t="inlineStr">
        <is>
          <t>C4050</t>
        </is>
      </c>
      <c r="B1078" s="10" t="n">
        <v>2152139</v>
      </c>
      <c r="C1078" s="10" t="n">
        <v>9</v>
      </c>
      <c r="D1078" s="10" t="n">
        <v>534</v>
      </c>
      <c r="E1078" s="10" t="inlineStr">
        <is>
          <t>23 days</t>
        </is>
      </c>
    </row>
    <row r="1079">
      <c r="A1079" s="10" t="inlineStr">
        <is>
          <t>C4003</t>
        </is>
      </c>
      <c r="B1079" s="10" t="n">
        <v>603183</v>
      </c>
      <c r="C1079" s="10" t="n">
        <v>4</v>
      </c>
      <c r="D1079" s="10" t="n">
        <v>390</v>
      </c>
      <c r="E1079" s="10" t="n">
        <v>95</v>
      </c>
    </row>
    <row r="1080">
      <c r="A1080" s="10" t="inlineStr">
        <is>
          <t>C3063</t>
        </is>
      </c>
      <c r="B1080" s="10" t="n">
        <v>1364399</v>
      </c>
      <c r="C1080" s="10" t="n">
        <v>2</v>
      </c>
      <c r="D1080" s="10" t="n">
        <v>36</v>
      </c>
      <c r="E1080" s="10" t="n">
        <v>37</v>
      </c>
    </row>
    <row r="1081">
      <c r="A1081" s="10" t="inlineStr">
        <is>
          <t>C4010</t>
        </is>
      </c>
      <c r="B1081" s="10" t="n">
        <v>1532948</v>
      </c>
      <c r="C1081" s="10" t="n">
        <v>4</v>
      </c>
      <c r="D1081" s="10" t="n">
        <v>119</v>
      </c>
      <c r="E1081" s="10" t="n">
        <v>25</v>
      </c>
    </row>
    <row r="1082">
      <c r="A1082" s="10" t="inlineStr">
        <is>
          <t>C4085</t>
        </is>
      </c>
      <c r="B1082" s="10" t="n">
        <v>2899418</v>
      </c>
      <c r="C1082" s="10" t="n">
        <v>13</v>
      </c>
      <c r="D1082" s="10" t="n">
        <v>297</v>
      </c>
      <c r="E1082" s="10" t="n">
        <v>28</v>
      </c>
    </row>
    <row r="1083">
      <c r="A1083" s="10" t="inlineStr">
        <is>
          <t>C3435</t>
        </is>
      </c>
      <c r="B1083" s="10" t="n">
        <v>0</v>
      </c>
      <c r="C1083" s="10" t="n">
        <v>5</v>
      </c>
      <c r="D1083" s="10" t="n">
        <v>127</v>
      </c>
      <c r="E1083" s="10" t="n">
        <v>8</v>
      </c>
    </row>
    <row r="1084">
      <c r="A1084" s="10" t="inlineStr">
        <is>
          <t>C4032</t>
        </is>
      </c>
      <c r="B1084" s="10" t="inlineStr">
        <is>
          <t>Rp 419.114</t>
        </is>
      </c>
      <c r="C1084" s="10" t="n">
        <v>4</v>
      </c>
      <c r="D1084" s="10" t="n">
        <v>186</v>
      </c>
      <c r="E1084" s="10" t="n">
        <v>37</v>
      </c>
    </row>
    <row r="1085">
      <c r="A1085" s="10" t="inlineStr">
        <is>
          <t>C3377</t>
        </is>
      </c>
      <c r="B1085" s="10" t="n">
        <v>923318</v>
      </c>
      <c r="C1085" s="10" t="n">
        <v>6</v>
      </c>
      <c r="D1085" s="10" t="n">
        <v>90</v>
      </c>
      <c r="E1085" s="10" t="inlineStr">
        <is>
          <t>17 days</t>
        </is>
      </c>
    </row>
    <row r="1086">
      <c r="A1086" s="10" t="inlineStr">
        <is>
          <t>C3572</t>
        </is>
      </c>
      <c r="B1086" s="10" t="n">
        <v>2998757</v>
      </c>
      <c r="C1086" s="10" t="n">
        <v>17</v>
      </c>
      <c r="D1086" s="10" t="n">
        <v>338</v>
      </c>
      <c r="E1086" s="10" t="n">
        <v>15</v>
      </c>
    </row>
    <row r="1087">
      <c r="A1087" s="10" t="inlineStr">
        <is>
          <t>C4073</t>
        </is>
      </c>
      <c r="B1087" s="10" t="n">
        <v>873460</v>
      </c>
      <c r="C1087" s="10" t="n">
        <v>2</v>
      </c>
      <c r="D1087" s="10" t="n">
        <v>278</v>
      </c>
      <c r="E1087" s="10" t="n">
        <v>35</v>
      </c>
    </row>
    <row r="1088">
      <c r="A1088" s="10" t="inlineStr">
        <is>
          <t>C3818</t>
        </is>
      </c>
      <c r="B1088" s="10" t="n">
        <v>4679729</v>
      </c>
      <c r="C1088" s="10" t="n">
        <v>18</v>
      </c>
      <c r="D1088" s="10" t="n">
        <v>528</v>
      </c>
      <c r="E1088" s="10" t="n">
        <v>30</v>
      </c>
    </row>
    <row r="1089">
      <c r="A1089" s="10" t="inlineStr">
        <is>
          <t>C3746</t>
        </is>
      </c>
      <c r="B1089" s="10" t="n">
        <v>138520</v>
      </c>
      <c r="C1089" s="10" t="n">
        <v>1</v>
      </c>
      <c r="D1089" s="10" t="n">
        <v>54</v>
      </c>
      <c r="E1089" s="10" t="n">
        <v>1</v>
      </c>
    </row>
    <row r="1090">
      <c r="A1090" s="10" t="inlineStr">
        <is>
          <t>C3283</t>
        </is>
      </c>
      <c r="B1090" s="10" t="inlineStr">
        <is>
          <t>Rp 4.311.780</t>
        </is>
      </c>
      <c r="C1090" s="10" t="n">
        <v>17</v>
      </c>
      <c r="D1090" s="10" t="n">
        <v>466</v>
      </c>
      <c r="E1090" s="10" t="inlineStr">
        <is>
          <t>42 days</t>
        </is>
      </c>
    </row>
    <row r="1091">
      <c r="A1091" s="10" t="inlineStr">
        <is>
          <t>C3568</t>
        </is>
      </c>
      <c r="B1091" s="10" t="n">
        <v>1559060</v>
      </c>
      <c r="C1091" s="10" t="n">
        <v>5</v>
      </c>
      <c r="D1091" s="10" t="n">
        <v>58</v>
      </c>
      <c r="E1091" s="10" t="n">
        <v>45</v>
      </c>
    </row>
    <row r="1092">
      <c r="A1092" s="10" t="inlineStr">
        <is>
          <t>C3950</t>
        </is>
      </c>
      <c r="B1092" s="10" t="n">
        <v>1295714</v>
      </c>
      <c r="C1092" s="10" t="n">
        <v>1</v>
      </c>
      <c r="D1092" s="10" t="n">
        <v>570</v>
      </c>
      <c r="E1092" s="10" t="n">
        <v>99</v>
      </c>
    </row>
    <row r="1093">
      <c r="A1093" s="10" t="inlineStr">
        <is>
          <t>C4068</t>
        </is>
      </c>
      <c r="B1093" s="10" t="n">
        <v>1186155</v>
      </c>
      <c r="C1093" s="10" t="n">
        <v>6</v>
      </c>
      <c r="D1093" s="10" t="n">
        <v>493</v>
      </c>
      <c r="E1093" s="10" t="n">
        <v>56</v>
      </c>
    </row>
    <row r="1094">
      <c r="A1094" s="10" t="inlineStr">
        <is>
          <t>C4026</t>
        </is>
      </c>
      <c r="B1094" s="10" t="n">
        <v>3921221</v>
      </c>
      <c r="C1094" s="10" t="n">
        <v>17</v>
      </c>
      <c r="D1094" s="10" t="n">
        <v>210</v>
      </c>
      <c r="E1094" s="10" t="n">
        <v>38</v>
      </c>
    </row>
    <row r="1095">
      <c r="A1095" s="10" t="inlineStr">
        <is>
          <t>C3166</t>
        </is>
      </c>
      <c r="B1095" s="10" t="n">
        <v>2341485</v>
      </c>
      <c r="C1095" s="10" t="n">
        <v>18</v>
      </c>
      <c r="D1095" s="10" t="n">
        <v>312</v>
      </c>
      <c r="E1095" s="10" t="n">
        <v>41</v>
      </c>
    </row>
    <row r="1096">
      <c r="A1096" s="10" t="inlineStr">
        <is>
          <t>C3389</t>
        </is>
      </c>
      <c r="B1096" s="10" t="inlineStr">
        <is>
          <t>Rp 2.824.669</t>
        </is>
      </c>
      <c r="C1096" s="10" t="n">
        <v>5</v>
      </c>
      <c r="D1096" s="10" t="n">
        <v>421</v>
      </c>
      <c r="E1096" s="10" t="n">
        <v>36</v>
      </c>
    </row>
    <row r="1097">
      <c r="A1097" s="10" t="inlineStr">
        <is>
          <t>C3829</t>
        </is>
      </c>
      <c r="B1097" s="10" t="n">
        <v>881282</v>
      </c>
      <c r="C1097" s="10" t="n">
        <v>1</v>
      </c>
      <c r="D1097" s="10" t="n">
        <v>462</v>
      </c>
      <c r="E1097" s="10" t="n">
        <v>91</v>
      </c>
    </row>
    <row r="1098">
      <c r="A1098" s="10" t="inlineStr">
        <is>
          <t>C3032</t>
        </is>
      </c>
      <c r="B1098" s="10" t="n">
        <v>1240373</v>
      </c>
      <c r="C1098" s="10" t="n">
        <v>3</v>
      </c>
      <c r="D1098" s="10" t="n">
        <v>473</v>
      </c>
      <c r="E1098" s="10" t="inlineStr">
        <is>
          <t>82 days</t>
        </is>
      </c>
    </row>
    <row r="1099">
      <c r="A1099" s="10" t="inlineStr">
        <is>
          <t>C3433</t>
        </is>
      </c>
      <c r="B1099" s="10" t="n">
        <v>1202038</v>
      </c>
      <c r="C1099" s="10" t="n">
        <v>6</v>
      </c>
      <c r="D1099" s="10" t="n">
        <v>56</v>
      </c>
      <c r="E1099" s="10" t="n">
        <v>77</v>
      </c>
    </row>
    <row r="1100">
      <c r="A1100" s="10" t="inlineStr">
        <is>
          <t>C3229</t>
        </is>
      </c>
      <c r="B1100" s="10" t="inlineStr">
        <is>
          <t>Rp 9.782.507</t>
        </is>
      </c>
      <c r="C1100" s="10" t="n">
        <v>23</v>
      </c>
      <c r="D1100" s="10" t="n">
        <v>440</v>
      </c>
      <c r="E1100" s="10" t="inlineStr">
        <is>
          <t>1 days</t>
        </is>
      </c>
    </row>
    <row r="1101">
      <c r="A1101" s="10" t="inlineStr">
        <is>
          <t>C3237</t>
        </is>
      </c>
      <c r="B1101" s="10" t="inlineStr">
        <is>
          <t>Rp 560.012</t>
        </is>
      </c>
      <c r="C1101" s="10" t="n">
        <v>4</v>
      </c>
      <c r="D1101" s="10" t="n">
        <v>104</v>
      </c>
      <c r="E1101" s="10" t="inlineStr">
        <is>
          <t>119 days</t>
        </is>
      </c>
    </row>
    <row r="1102">
      <c r="A1102" s="10" t="inlineStr">
        <is>
          <t>C4006</t>
        </is>
      </c>
      <c r="B1102" s="10" t="n">
        <v>694819</v>
      </c>
      <c r="C1102" s="10" t="n">
        <v>3</v>
      </c>
      <c r="D1102" s="10" t="n">
        <v>38</v>
      </c>
      <c r="E1102" s="10" t="n">
        <v>21</v>
      </c>
    </row>
    <row r="1103">
      <c r="A1103" s="10" t="inlineStr">
        <is>
          <t>C3030</t>
        </is>
      </c>
      <c r="B1103" s="10" t="inlineStr">
        <is>
          <t>Rp 1.143.459</t>
        </is>
      </c>
      <c r="C1103" s="10" t="n">
        <v>7</v>
      </c>
      <c r="D1103" s="10" t="n">
        <v>259</v>
      </c>
      <c r="E1103" s="10" t="n">
        <v>68</v>
      </c>
    </row>
    <row r="1104">
      <c r="A1104" s="10" t="inlineStr">
        <is>
          <t>C3697</t>
        </is>
      </c>
      <c r="B1104" s="10" t="n">
        <v>3812997</v>
      </c>
      <c r="C1104" s="10" t="n">
        <v>14</v>
      </c>
      <c r="D1104" s="10" t="n">
        <v>262</v>
      </c>
      <c r="E1104" s="10" t="n">
        <v>20</v>
      </c>
    </row>
    <row r="1105">
      <c r="A1105" s="10" t="inlineStr">
        <is>
          <t>C3482</t>
        </is>
      </c>
      <c r="B1105" s="10" t="n">
        <v>272920</v>
      </c>
      <c r="C1105" s="10" t="n">
        <v>4</v>
      </c>
      <c r="D1105" s="10" t="n">
        <v>31</v>
      </c>
      <c r="E1105" s="10" t="n">
        <v>20</v>
      </c>
    </row>
    <row r="1106">
      <c r="A1106" s="10" t="inlineStr">
        <is>
          <t>C3778</t>
        </is>
      </c>
      <c r="B1106" s="10" t="inlineStr">
        <is>
          <t>Rp 1.271.985</t>
        </is>
      </c>
      <c r="C1106" s="10" t="n">
        <v>3</v>
      </c>
      <c r="D1106" s="10" t="n">
        <v>300</v>
      </c>
      <c r="E1106" s="10" t="n">
        <v>80</v>
      </c>
    </row>
    <row r="1107">
      <c r="A1107" s="10" t="inlineStr">
        <is>
          <t>C4065</t>
        </is>
      </c>
      <c r="B1107" s="10" t="n">
        <v>943642</v>
      </c>
      <c r="C1107" s="10" t="n">
        <v>1</v>
      </c>
      <c r="D1107" s="10" t="n">
        <v>467</v>
      </c>
      <c r="E1107" s="10" t="n">
        <v>36</v>
      </c>
    </row>
    <row r="1108">
      <c r="A1108" s="10" t="inlineStr">
        <is>
          <t>C4041</t>
        </is>
      </c>
      <c r="B1108" s="10" t="n">
        <v>3900402</v>
      </c>
      <c r="C1108" s="10" t="n">
        <v>16</v>
      </c>
      <c r="D1108" s="10" t="n">
        <v>241</v>
      </c>
      <c r="E1108" s="10" t="n">
        <v>31</v>
      </c>
    </row>
    <row r="1109">
      <c r="A1109" s="10" t="inlineStr">
        <is>
          <t>C3897</t>
        </is>
      </c>
      <c r="B1109" s="10" t="n">
        <v>952211</v>
      </c>
      <c r="C1109" s="10" t="n">
        <v>1</v>
      </c>
      <c r="D1109" s="10" t="n">
        <v>170</v>
      </c>
      <c r="E1109" s="10" t="n">
        <v>150</v>
      </c>
    </row>
    <row r="1110">
      <c r="A1110" s="10" t="inlineStr">
        <is>
          <t>C3468</t>
        </is>
      </c>
      <c r="B1110" s="10" t="n">
        <v>671104</v>
      </c>
      <c r="C1110" s="10" t="n">
        <v>5</v>
      </c>
      <c r="D1110" s="10" t="n">
        <v>526</v>
      </c>
      <c r="E1110" s="10" t="n">
        <v>61</v>
      </c>
    </row>
    <row r="1111">
      <c r="A1111" s="10" t="inlineStr">
        <is>
          <t>C3324</t>
        </is>
      </c>
      <c r="B1111" s="10" t="n">
        <v>601518</v>
      </c>
      <c r="C1111" s="10" t="n">
        <v>3</v>
      </c>
      <c r="D1111" s="10" t="n">
        <v>462</v>
      </c>
      <c r="E1111" s="10" t="n">
        <v>12</v>
      </c>
    </row>
    <row r="1112">
      <c r="A1112" s="10" t="inlineStr">
        <is>
          <t>C4055</t>
        </is>
      </c>
      <c r="B1112" s="10" t="n">
        <v>996983</v>
      </c>
      <c r="C1112" s="10" t="n">
        <v>4</v>
      </c>
      <c r="D1112" s="10" t="n">
        <v>89</v>
      </c>
      <c r="E1112" s="10" t="inlineStr">
        <is>
          <t>14 days</t>
        </is>
      </c>
    </row>
    <row r="1113">
      <c r="A1113" s="10" t="inlineStr">
        <is>
          <t>C3278</t>
        </is>
      </c>
      <c r="B1113" s="10" t="inlineStr">
        <is>
          <t>Rp 994.060</t>
        </is>
      </c>
      <c r="C1113" s="10" t="n"/>
      <c r="D1113" s="10" t="n">
        <v>327</v>
      </c>
      <c r="E1113" s="10" t="n">
        <v>87</v>
      </c>
    </row>
    <row r="1114">
      <c r="A1114" s="10" t="inlineStr">
        <is>
          <t>C3752</t>
        </is>
      </c>
      <c r="B1114" s="10" t="n">
        <v>3411636</v>
      </c>
      <c r="C1114" s="10" t="n">
        <v>15</v>
      </c>
      <c r="D1114" s="10" t="n">
        <v>396</v>
      </c>
      <c r="E1114" s="10" t="n">
        <v>14</v>
      </c>
    </row>
    <row r="1115">
      <c r="A1115" s="10" t="inlineStr">
        <is>
          <t>C3406</t>
        </is>
      </c>
      <c r="B1115" s="10" t="n">
        <v>1317514</v>
      </c>
      <c r="C1115" s="10" t="n">
        <v>1</v>
      </c>
      <c r="D1115" s="10" t="n">
        <v>76</v>
      </c>
      <c r="E1115" s="10" t="n">
        <v>33</v>
      </c>
    </row>
    <row r="1116">
      <c r="A1116" s="10" t="inlineStr">
        <is>
          <t>C3143</t>
        </is>
      </c>
      <c r="B1116" s="10" t="n">
        <v>418572</v>
      </c>
      <c r="C1116" s="10" t="n">
        <v>3</v>
      </c>
      <c r="D1116" s="10" t="n">
        <v>384</v>
      </c>
      <c r="E1116" s="10" t="n">
        <v>53</v>
      </c>
    </row>
    <row r="1117">
      <c r="A1117" s="10" t="inlineStr">
        <is>
          <t>C3623</t>
        </is>
      </c>
      <c r="B1117" s="10" t="inlineStr">
        <is>
          <t>Rp 10.658.610</t>
        </is>
      </c>
      <c r="C1117" s="10" t="n">
        <v>23</v>
      </c>
      <c r="D1117" s="10" t="n">
        <v>654</v>
      </c>
      <c r="E1117" s="1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6" customWidth="1" min="1" max="1"/>
    <col width="26" customWidth="1" min="2" max="2"/>
    <col width="46" customWidth="1" min="3" max="3"/>
    <col width="13" customWidth="1" min="4" max="4"/>
  </cols>
  <sheetData>
    <row r="1">
      <c r="A1" s="11" t="inlineStr">
        <is>
          <t>CLEANING LOG</t>
        </is>
      </c>
    </row>
    <row r="2">
      <c r="A2" s="8" t="inlineStr">
        <is>
          <t>Every issue found, the fix applied, and how many rows it touched.</t>
        </is>
      </c>
    </row>
    <row r="4" ht="26" customHeight="1">
      <c r="A4" s="9" t="inlineStr">
        <is>
          <t>Issue found</t>
        </is>
      </c>
      <c r="B4" s="9" t="inlineStr">
        <is>
          <t>Example</t>
        </is>
      </c>
      <c r="C4" s="9" t="inlineStr">
        <is>
          <t>Fix applied</t>
        </is>
      </c>
      <c r="D4" s="9" t="inlineStr">
        <is>
          <t>Rows affected</t>
        </is>
      </c>
    </row>
    <row r="5">
      <c r="A5" s="12" t="inlineStr">
        <is>
          <t>Total spend stored as text</t>
        </is>
      </c>
      <c r="B5" s="13" t="inlineStr">
        <is>
          <t>'Rp 1.437.386'</t>
        </is>
      </c>
      <c r="C5" s="12" t="inlineStr">
        <is>
          <t>Strip 'Rp' and dots, convert with VALUE()</t>
        </is>
      </c>
      <c r="D5" s="12" t="n">
        <v>242</v>
      </c>
    </row>
    <row r="6">
      <c r="A6" s="12" t="inlineStr">
        <is>
          <t>Missing order count</t>
        </is>
      </c>
      <c r="B6" s="13" t="inlineStr">
        <is>
          <t>(blank cell)</t>
        </is>
      </c>
      <c r="C6" s="12" t="inlineStr">
        <is>
          <t>Recovered from order history</t>
        </is>
      </c>
      <c r="D6" s="12" t="n">
        <v>33</v>
      </c>
    </row>
    <row r="7">
      <c r="A7" s="12" t="inlineStr">
        <is>
          <t>Recency stored with unit text</t>
        </is>
      </c>
      <c r="B7" s="13" t="inlineStr">
        <is>
          <t>'30 days'</t>
        </is>
      </c>
      <c r="C7" s="12" t="inlineStr">
        <is>
          <t>Stripped ' days', kept the number</t>
        </is>
      </c>
      <c r="D7" s="12" t="n">
        <v>165</v>
      </c>
    </row>
    <row r="8">
      <c r="A8" s="12" t="inlineStr">
        <is>
          <t>Duplicate customer rows</t>
        </is>
      </c>
      <c r="B8" s="13" t="inlineStr">
        <is>
          <t>same customer_id twice</t>
        </is>
      </c>
      <c r="C8" s="12" t="inlineStr">
        <is>
          <t>Removed exact duplicates</t>
        </is>
      </c>
      <c r="D8" s="12" t="n">
        <v>13</v>
      </c>
    </row>
    <row r="9">
      <c r="A9" s="14" t="inlineStr">
        <is>
          <t>Rows in, then after de-duplication</t>
        </is>
      </c>
      <c r="D9" s="14" t="inlineStr">
        <is>
          <t>1,113 -&gt; 1,100</t>
        </is>
      </c>
    </row>
    <row r="12">
      <c r="A12" s="7" t="inlineStr">
        <is>
          <t>LIVE FORMULA DEMO  (column C recomputes from column A)</t>
        </is>
      </c>
    </row>
    <row r="14" ht="26" customHeight="1">
      <c r="A14" s="9" t="inlineStr">
        <is>
          <t>Raw value</t>
        </is>
      </c>
      <c r="B14" s="9" t="inlineStr">
        <is>
          <t>Formula (shown as text)</t>
        </is>
      </c>
      <c r="C14" s="9" t="inlineStr">
        <is>
          <t>Result (live)</t>
        </is>
      </c>
    </row>
    <row r="15">
      <c r="A15" s="10" t="inlineStr">
        <is>
          <t>Rp 1.437.386</t>
        </is>
      </c>
      <c r="B15" s="15" t="inlineStr">
        <is>
          <t>VALUE(SUBSTITUTE(SUBSTITUTE(A15,"Rp ",""),".",""))</t>
        </is>
      </c>
      <c r="C15" s="16">
        <f>VALUE(SUBSTITUTE(SUBSTITUTE(A15,"Rp ",""),".",""))</f>
        <v/>
      </c>
    </row>
    <row r="16">
      <c r="A16" s="10" t="inlineStr">
        <is>
          <t>30 days</t>
        </is>
      </c>
      <c r="B16" s="15" t="inlineStr">
        <is>
          <t>VALUE(SUBSTITUTE(A16," days",""))</t>
        </is>
      </c>
      <c r="C16" s="16">
        <f>VALUE(SUBSTITUTE(A16," days",""))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01"/>
  <sheetViews>
    <sheetView showGridLines="0" workbookViewId="0">
      <pane ySplit="1" topLeftCell="A2" activePane="bottomLeft" state="frozen"/>
      <selection pane="bottomLeft" activeCell="A1" sqref="A1"/>
    </sheetView>
  </sheetViews>
  <sheetFormatPr baseColWidth="8" defaultRowHeight="15"/>
  <cols>
    <col width="13" customWidth="1" min="1" max="1"/>
    <col width="13" customWidth="1" min="2" max="2"/>
    <col width="10" customWidth="1" min="3" max="3"/>
    <col width="13" customWidth="1" min="4" max="4"/>
    <col width="14" customWidth="1" min="5" max="5"/>
    <col width="13" customWidth="1" min="6" max="6"/>
  </cols>
  <sheetData>
    <row r="1" ht="26" customHeight="1">
      <c r="A1" s="9" t="inlineStr">
        <is>
          <t>customer_id</t>
        </is>
      </c>
      <c r="B1" s="9" t="inlineStr">
        <is>
          <t>total_spend</t>
        </is>
      </c>
      <c r="C1" s="9" t="inlineStr">
        <is>
          <t>n_orders</t>
        </is>
      </c>
      <c r="D1" s="9" t="inlineStr">
        <is>
          <t>tenure_days</t>
        </is>
      </c>
      <c r="E1" s="9" t="inlineStr">
        <is>
          <t>recency_days</t>
        </is>
      </c>
      <c r="F1" s="9" t="inlineStr">
        <is>
          <t>segment</t>
        </is>
      </c>
    </row>
    <row r="2">
      <c r="A2" s="10" t="inlineStr">
        <is>
          <t>C3000</t>
        </is>
      </c>
      <c r="B2" s="17" t="n">
        <v>3831395</v>
      </c>
      <c r="C2" s="18" t="n">
        <v>11</v>
      </c>
      <c r="D2" s="18" t="n">
        <v>549</v>
      </c>
      <c r="E2" s="18" t="n">
        <v>19</v>
      </c>
      <c r="F2" s="10">
        <f>IF($B2&gt;=Analysis!$P$1,IF($E2&lt;=Analysis!$P$2,"VIP","At risk"),IF($E2&lt;=Analysis!$P$2,"Loyal","Dormant"))</f>
        <v/>
      </c>
    </row>
    <row r="3">
      <c r="A3" s="10" t="inlineStr">
        <is>
          <t>C3001</t>
        </is>
      </c>
      <c r="B3" s="17" t="n">
        <v>1824860</v>
      </c>
      <c r="C3" s="18" t="n">
        <v>4</v>
      </c>
      <c r="D3" s="18" t="n">
        <v>33</v>
      </c>
      <c r="E3" s="18" t="n">
        <v>34</v>
      </c>
      <c r="F3" s="10">
        <f>IF($B3&gt;=Analysis!$P$1,IF($E3&lt;=Analysis!$P$2,"VIP","At risk"),IF($E3&lt;=Analysis!$P$2,"Loyal","Dormant"))</f>
        <v/>
      </c>
    </row>
    <row r="4">
      <c r="A4" s="10" t="inlineStr">
        <is>
          <t>C3002</t>
        </is>
      </c>
      <c r="B4" s="17" t="n">
        <v>1917246</v>
      </c>
      <c r="C4" s="18" t="n">
        <v>10</v>
      </c>
      <c r="D4" s="18" t="n">
        <v>369</v>
      </c>
      <c r="E4" s="18" t="n">
        <v>30</v>
      </c>
      <c r="F4" s="10">
        <f>IF($B4&gt;=Analysis!$P$1,IF($E4&lt;=Analysis!$P$2,"VIP","At risk"),IF($E4&lt;=Analysis!$P$2,"Loyal","Dormant"))</f>
        <v/>
      </c>
    </row>
    <row r="5">
      <c r="A5" s="10" t="inlineStr">
        <is>
          <t>C3003</t>
        </is>
      </c>
      <c r="B5" s="17" t="n">
        <v>3187446</v>
      </c>
      <c r="C5" s="18" t="n">
        <v>14</v>
      </c>
      <c r="D5" s="18" t="n">
        <v>231</v>
      </c>
      <c r="E5" s="18" t="n">
        <v>16</v>
      </c>
      <c r="F5" s="10">
        <f>IF($B5&gt;=Analysis!$P$1,IF($E5&lt;=Analysis!$P$2,"VIP","At risk"),IF($E5&lt;=Analysis!$P$2,"Loyal","Dormant"))</f>
        <v/>
      </c>
    </row>
    <row r="6">
      <c r="A6" s="10" t="inlineStr">
        <is>
          <t>C3004</t>
        </is>
      </c>
      <c r="B6" s="17" t="n">
        <v>10266357</v>
      </c>
      <c r="C6" s="18" t="n">
        <v>37</v>
      </c>
      <c r="D6" s="18" t="n">
        <v>701</v>
      </c>
      <c r="E6" s="18" t="n">
        <v>1</v>
      </c>
      <c r="F6" s="10">
        <f>IF($B6&gt;=Analysis!$P$1,IF($E6&lt;=Analysis!$P$2,"VIP","At risk"),IF($E6&lt;=Analysis!$P$2,"Loyal","Dormant"))</f>
        <v/>
      </c>
    </row>
    <row r="7">
      <c r="A7" s="10" t="inlineStr">
        <is>
          <t>C3005</t>
        </is>
      </c>
      <c r="B7" s="17" t="n">
        <v>3007561</v>
      </c>
      <c r="C7" s="18" t="n">
        <v>10</v>
      </c>
      <c r="D7" s="18" t="n">
        <v>441</v>
      </c>
      <c r="E7" s="18" t="n">
        <v>12</v>
      </c>
      <c r="F7" s="10">
        <f>IF($B7&gt;=Analysis!$P$1,IF($E7&lt;=Analysis!$P$2,"VIP","At risk"),IF($E7&lt;=Analysis!$P$2,"Loyal","Dormant"))</f>
        <v/>
      </c>
    </row>
    <row r="8">
      <c r="A8" s="10" t="inlineStr">
        <is>
          <t>C3006</t>
        </is>
      </c>
      <c r="B8" s="17" t="n">
        <v>1191792</v>
      </c>
      <c r="C8" s="18" t="n">
        <v>4</v>
      </c>
      <c r="D8" s="18" t="n">
        <v>295</v>
      </c>
      <c r="E8" s="18" t="n">
        <v>133</v>
      </c>
      <c r="F8" s="10">
        <f>IF($B8&gt;=Analysis!$P$1,IF($E8&lt;=Analysis!$P$2,"VIP","At risk"),IF($E8&lt;=Analysis!$P$2,"Loyal","Dormant"))</f>
        <v/>
      </c>
    </row>
    <row r="9">
      <c r="A9" s="10" t="inlineStr">
        <is>
          <t>C3007</t>
        </is>
      </c>
      <c r="B9" s="17" t="n">
        <v>690781</v>
      </c>
      <c r="C9" s="18" t="n">
        <v>3</v>
      </c>
      <c r="D9" s="18" t="n">
        <v>327</v>
      </c>
      <c r="E9" s="18" t="n">
        <v>80</v>
      </c>
      <c r="F9" s="10">
        <f>IF($B9&gt;=Analysis!$P$1,IF($E9&lt;=Analysis!$P$2,"VIP","At risk"),IF($E9&lt;=Analysis!$P$2,"Loyal","Dormant"))</f>
        <v/>
      </c>
    </row>
    <row r="10">
      <c r="A10" s="10" t="inlineStr">
        <is>
          <t>C3008</t>
        </is>
      </c>
      <c r="B10" s="17" t="n">
        <v>601518</v>
      </c>
      <c r="C10" s="18" t="n">
        <v>6</v>
      </c>
      <c r="D10" s="18" t="n">
        <v>236</v>
      </c>
      <c r="E10" s="18" t="n">
        <v>103</v>
      </c>
      <c r="F10" s="10">
        <f>IF($B10&gt;=Analysis!$P$1,IF($E10&lt;=Analysis!$P$2,"VIP","At risk"),IF($E10&lt;=Analysis!$P$2,"Loyal","Dormant"))</f>
        <v/>
      </c>
    </row>
    <row r="11">
      <c r="A11" s="10" t="inlineStr">
        <is>
          <t>C3009</t>
        </is>
      </c>
      <c r="B11" s="17" t="n">
        <v>6249343</v>
      </c>
      <c r="C11" s="18" t="n">
        <v>29</v>
      </c>
      <c r="D11" s="18" t="n">
        <v>468</v>
      </c>
      <c r="E11" s="18" t="n">
        <v>23</v>
      </c>
      <c r="F11" s="10">
        <f>IF($B11&gt;=Analysis!$P$1,IF($E11&lt;=Analysis!$P$2,"VIP","At risk"),IF($E11&lt;=Analysis!$P$2,"Loyal","Dormant"))</f>
        <v/>
      </c>
    </row>
    <row r="12">
      <c r="A12" s="10" t="inlineStr">
        <is>
          <t>C3010</t>
        </is>
      </c>
      <c r="B12" s="17" t="n">
        <v>1311990</v>
      </c>
      <c r="C12" s="18" t="n">
        <v>5</v>
      </c>
      <c r="D12" s="18" t="n">
        <v>263</v>
      </c>
      <c r="E12" s="18" t="n">
        <v>113</v>
      </c>
      <c r="F12" s="10">
        <f>IF($B12&gt;=Analysis!$P$1,IF($E12&lt;=Analysis!$P$2,"VIP","At risk"),IF($E12&lt;=Analysis!$P$2,"Loyal","Dormant"))</f>
        <v/>
      </c>
    </row>
    <row r="13">
      <c r="A13" s="10" t="inlineStr">
        <is>
          <t>C3011</t>
        </is>
      </c>
      <c r="B13" s="17" t="n">
        <v>850581</v>
      </c>
      <c r="C13" s="18" t="n">
        <v>2</v>
      </c>
      <c r="D13" s="18" t="n">
        <v>350</v>
      </c>
      <c r="E13" s="18" t="n">
        <v>53</v>
      </c>
      <c r="F13" s="10">
        <f>IF($B13&gt;=Analysis!$P$1,IF($E13&lt;=Analysis!$P$2,"VIP","At risk"),IF($E13&lt;=Analysis!$P$2,"Loyal","Dormant"))</f>
        <v/>
      </c>
    </row>
    <row r="14">
      <c r="A14" s="10" t="inlineStr">
        <is>
          <t>C3012</t>
        </is>
      </c>
      <c r="B14" s="17" t="n">
        <v>4150144</v>
      </c>
      <c r="C14" s="18" t="n">
        <v>13</v>
      </c>
      <c r="D14" s="18" t="n">
        <v>400</v>
      </c>
      <c r="E14" s="18" t="n">
        <v>26</v>
      </c>
      <c r="F14" s="10">
        <f>IF($B14&gt;=Analysis!$P$1,IF($E14&lt;=Analysis!$P$2,"VIP","At risk"),IF($E14&lt;=Analysis!$P$2,"Loyal","Dormant"))</f>
        <v/>
      </c>
    </row>
    <row r="15">
      <c r="A15" s="10" t="inlineStr">
        <is>
          <t>C3013</t>
        </is>
      </c>
      <c r="B15" s="17" t="n">
        <v>1234945</v>
      </c>
      <c r="C15" s="18" t="n">
        <v>13</v>
      </c>
      <c r="D15" s="18" t="n">
        <v>421</v>
      </c>
      <c r="E15" s="18" t="n">
        <v>33</v>
      </c>
      <c r="F15" s="10">
        <f>IF($B15&gt;=Analysis!$P$1,IF($E15&lt;=Analysis!$P$2,"VIP","At risk"),IF($E15&lt;=Analysis!$P$2,"Loyal","Dormant"))</f>
        <v/>
      </c>
    </row>
    <row r="16">
      <c r="A16" s="10" t="inlineStr">
        <is>
          <t>C3014</t>
        </is>
      </c>
      <c r="B16" s="17" t="n">
        <v>4439745</v>
      </c>
      <c r="C16" s="18" t="n">
        <v>12</v>
      </c>
      <c r="D16" s="18" t="n">
        <v>450</v>
      </c>
      <c r="E16" s="18" t="n">
        <v>20</v>
      </c>
      <c r="F16" s="10">
        <f>IF($B16&gt;=Analysis!$P$1,IF($E16&lt;=Analysis!$P$2,"VIP","At risk"),IF($E16&lt;=Analysis!$P$2,"Loyal","Dormant"))</f>
        <v/>
      </c>
    </row>
    <row r="17">
      <c r="A17" s="10" t="inlineStr">
        <is>
          <t>C3015</t>
        </is>
      </c>
      <c r="B17" s="17" t="n">
        <v>1007075</v>
      </c>
      <c r="C17" s="18" t="n">
        <v>3</v>
      </c>
      <c r="D17" s="18" t="n">
        <v>383</v>
      </c>
      <c r="E17" s="18" t="n">
        <v>27</v>
      </c>
      <c r="F17" s="10">
        <f>IF($B17&gt;=Analysis!$P$1,IF($E17&lt;=Analysis!$P$2,"VIP","At risk"),IF($E17&lt;=Analysis!$P$2,"Loyal","Dormant"))</f>
        <v/>
      </c>
    </row>
    <row r="18">
      <c r="A18" s="10" t="inlineStr">
        <is>
          <t>C3016</t>
        </is>
      </c>
      <c r="B18" s="17" t="n">
        <v>5921224</v>
      </c>
      <c r="C18" s="18" t="n">
        <v>30</v>
      </c>
      <c r="D18" s="18" t="n">
        <v>745</v>
      </c>
      <c r="E18" s="18" t="n">
        <v>27</v>
      </c>
      <c r="F18" s="10">
        <f>IF($B18&gt;=Analysis!$P$1,IF($E18&lt;=Analysis!$P$2,"VIP","At risk"),IF($E18&lt;=Analysis!$P$2,"Loyal","Dormant"))</f>
        <v/>
      </c>
    </row>
    <row r="19">
      <c r="A19" s="10" t="inlineStr">
        <is>
          <t>C3017</t>
        </is>
      </c>
      <c r="B19" s="17" t="n">
        <v>1059556</v>
      </c>
      <c r="C19" s="18" t="n">
        <v>4</v>
      </c>
      <c r="D19" s="18" t="n">
        <v>433</v>
      </c>
      <c r="E19" s="18" t="n">
        <v>21</v>
      </c>
      <c r="F19" s="10">
        <f>IF($B19&gt;=Analysis!$P$1,IF($E19&lt;=Analysis!$P$2,"VIP","At risk"),IF($E19&lt;=Analysis!$P$2,"Loyal","Dormant"))</f>
        <v/>
      </c>
    </row>
    <row r="20">
      <c r="A20" s="10" t="inlineStr">
        <is>
          <t>C3018</t>
        </is>
      </c>
      <c r="B20" s="17" t="n">
        <v>632882</v>
      </c>
      <c r="C20" s="18" t="n">
        <v>6</v>
      </c>
      <c r="D20" s="18" t="n">
        <v>302</v>
      </c>
      <c r="E20" s="18" t="n">
        <v>56</v>
      </c>
      <c r="F20" s="10">
        <f>IF($B20&gt;=Analysis!$P$1,IF($E20&lt;=Analysis!$P$2,"VIP","At risk"),IF($E20&lt;=Analysis!$P$2,"Loyal","Dormant"))</f>
        <v/>
      </c>
    </row>
    <row r="21">
      <c r="A21" s="10" t="inlineStr">
        <is>
          <t>C3019</t>
        </is>
      </c>
      <c r="B21" s="17" t="n">
        <v>1138581</v>
      </c>
      <c r="C21" s="18" t="n">
        <v>3</v>
      </c>
      <c r="D21" s="18" t="n">
        <v>395</v>
      </c>
      <c r="E21" s="18" t="n">
        <v>15</v>
      </c>
      <c r="F21" s="10">
        <f>IF($B21&gt;=Analysis!$P$1,IF($E21&lt;=Analysis!$P$2,"VIP","At risk"),IF($E21&lt;=Analysis!$P$2,"Loyal","Dormant"))</f>
        <v/>
      </c>
    </row>
    <row r="22">
      <c r="A22" s="10" t="inlineStr">
        <is>
          <t>C3020</t>
        </is>
      </c>
      <c r="B22" s="17" t="n">
        <v>1499878</v>
      </c>
      <c r="C22" s="18" t="n">
        <v>4</v>
      </c>
      <c r="D22" s="18" t="n">
        <v>90</v>
      </c>
      <c r="E22" s="18" t="n">
        <v>24</v>
      </c>
      <c r="F22" s="10">
        <f>IF($B22&gt;=Analysis!$P$1,IF($E22&lt;=Analysis!$P$2,"VIP","At risk"),IF($E22&lt;=Analysis!$P$2,"Loyal","Dormant"))</f>
        <v/>
      </c>
    </row>
    <row r="23">
      <c r="A23" s="10" t="inlineStr">
        <is>
          <t>C3021</t>
        </is>
      </c>
      <c r="B23" s="17" t="n">
        <v>1868250</v>
      </c>
      <c r="C23" s="18" t="n">
        <v>7</v>
      </c>
      <c r="D23" s="18" t="n">
        <v>29</v>
      </c>
      <c r="E23" s="18" t="n">
        <v>24</v>
      </c>
      <c r="F23" s="10">
        <f>IF($B23&gt;=Analysis!$P$1,IF($E23&lt;=Analysis!$P$2,"VIP","At risk"),IF($E23&lt;=Analysis!$P$2,"Loyal","Dormant"))</f>
        <v/>
      </c>
    </row>
    <row r="24">
      <c r="A24" s="10" t="inlineStr">
        <is>
          <t>C3022</t>
        </is>
      </c>
      <c r="B24" s="17" t="n">
        <v>3655896</v>
      </c>
      <c r="C24" s="18" t="n">
        <v>11</v>
      </c>
      <c r="D24" s="18" t="n">
        <v>343</v>
      </c>
      <c r="E24" s="18" t="n">
        <v>1</v>
      </c>
      <c r="F24" s="10">
        <f>IF($B24&gt;=Analysis!$P$1,IF($E24&lt;=Analysis!$P$2,"VIP","At risk"),IF($E24&lt;=Analysis!$P$2,"Loyal","Dormant"))</f>
        <v/>
      </c>
    </row>
    <row r="25">
      <c r="A25" s="10" t="inlineStr">
        <is>
          <t>C3023</t>
        </is>
      </c>
      <c r="B25" s="17" t="n">
        <v>6835216</v>
      </c>
      <c r="C25" s="18" t="n">
        <v>28</v>
      </c>
      <c r="D25" s="18" t="n">
        <v>682</v>
      </c>
      <c r="E25" s="18" t="n">
        <v>10</v>
      </c>
      <c r="F25" s="10">
        <f>IF($B25&gt;=Analysis!$P$1,IF($E25&lt;=Analysis!$P$2,"VIP","At risk"),IF($E25&lt;=Analysis!$P$2,"Loyal","Dormant"))</f>
        <v/>
      </c>
    </row>
    <row r="26">
      <c r="A26" s="10" t="inlineStr">
        <is>
          <t>C3024</t>
        </is>
      </c>
      <c r="B26" s="17" t="n">
        <v>1087900</v>
      </c>
      <c r="C26" s="18" t="n">
        <v>3</v>
      </c>
      <c r="D26" s="18" t="n">
        <v>15</v>
      </c>
      <c r="E26" s="18" t="n">
        <v>9</v>
      </c>
      <c r="F26" s="10">
        <f>IF($B26&gt;=Analysis!$P$1,IF($E26&lt;=Analysis!$P$2,"VIP","At risk"),IF($E26&lt;=Analysis!$P$2,"Loyal","Dormant"))</f>
        <v/>
      </c>
    </row>
    <row r="27">
      <c r="A27" s="10" t="inlineStr">
        <is>
          <t>C3025</t>
        </is>
      </c>
      <c r="B27" s="17" t="n">
        <v>1293077</v>
      </c>
      <c r="C27" s="18" t="n">
        <v>5</v>
      </c>
      <c r="D27" s="18" t="n">
        <v>404</v>
      </c>
      <c r="E27" s="18" t="n">
        <v>25</v>
      </c>
      <c r="F27" s="10">
        <f>IF($B27&gt;=Analysis!$P$1,IF($E27&lt;=Analysis!$P$2,"VIP","At risk"),IF($E27&lt;=Analysis!$P$2,"Loyal","Dormant"))</f>
        <v/>
      </c>
    </row>
    <row r="28">
      <c r="A28" s="10" t="inlineStr">
        <is>
          <t>C3026</t>
        </is>
      </c>
      <c r="B28" s="17" t="n">
        <v>1939334</v>
      </c>
      <c r="C28" s="18" t="n">
        <v>3</v>
      </c>
      <c r="D28" s="18" t="n">
        <v>5</v>
      </c>
      <c r="E28" s="18" t="n">
        <v>1</v>
      </c>
      <c r="F28" s="10">
        <f>IF($B28&gt;=Analysis!$P$1,IF($E28&lt;=Analysis!$P$2,"VIP","At risk"),IF($E28&lt;=Analysis!$P$2,"Loyal","Dormant"))</f>
        <v/>
      </c>
    </row>
    <row r="29">
      <c r="A29" s="10" t="inlineStr">
        <is>
          <t>C3027</t>
        </is>
      </c>
      <c r="B29" s="17" t="n">
        <v>1864810</v>
      </c>
      <c r="C29" s="18" t="n">
        <v>6</v>
      </c>
      <c r="D29" s="18" t="n">
        <v>37</v>
      </c>
      <c r="E29" s="18" t="n">
        <v>7</v>
      </c>
      <c r="F29" s="10">
        <f>IF($B29&gt;=Analysis!$P$1,IF($E29&lt;=Analysis!$P$2,"VIP","At risk"),IF($E29&lt;=Analysis!$P$2,"Loyal","Dormant"))</f>
        <v/>
      </c>
    </row>
    <row r="30">
      <c r="A30" s="10" t="inlineStr">
        <is>
          <t>C3028</t>
        </is>
      </c>
      <c r="B30" s="17" t="n">
        <v>10491055</v>
      </c>
      <c r="C30" s="18" t="n">
        <v>26</v>
      </c>
      <c r="D30" s="18" t="n">
        <v>688</v>
      </c>
      <c r="E30" s="18" t="n">
        <v>20</v>
      </c>
      <c r="F30" s="10">
        <f>IF($B30&gt;=Analysis!$P$1,IF($E30&lt;=Analysis!$P$2,"VIP","At risk"),IF($E30&lt;=Analysis!$P$2,"Loyal","Dormant"))</f>
        <v/>
      </c>
    </row>
    <row r="31">
      <c r="A31" s="10" t="inlineStr">
        <is>
          <t>C3029</t>
        </is>
      </c>
      <c r="B31" s="17" t="n">
        <v>837629</v>
      </c>
      <c r="C31" s="18" t="n">
        <v>2</v>
      </c>
      <c r="D31" s="18" t="n">
        <v>7</v>
      </c>
      <c r="E31" s="18" t="n">
        <v>8</v>
      </c>
      <c r="F31" s="10">
        <f>IF($B31&gt;=Analysis!$P$1,IF($E31&lt;=Analysis!$P$2,"VIP","At risk"),IF($E31&lt;=Analysis!$P$2,"Loyal","Dormant"))</f>
        <v/>
      </c>
    </row>
    <row r="32">
      <c r="A32" s="10" t="inlineStr">
        <is>
          <t>C3030</t>
        </is>
      </c>
      <c r="B32" s="17" t="n">
        <v>1143459</v>
      </c>
      <c r="C32" s="18" t="n">
        <v>7</v>
      </c>
      <c r="D32" s="18" t="n">
        <v>259</v>
      </c>
      <c r="E32" s="18" t="n">
        <v>68</v>
      </c>
      <c r="F32" s="10">
        <f>IF($B32&gt;=Analysis!$P$1,IF($E32&lt;=Analysis!$P$2,"VIP","At risk"),IF($E32&lt;=Analysis!$P$2,"Loyal","Dormant"))</f>
        <v/>
      </c>
    </row>
    <row r="33">
      <c r="A33" s="10" t="inlineStr">
        <is>
          <t>C3031</t>
        </is>
      </c>
      <c r="B33" s="17" t="n">
        <v>1951885</v>
      </c>
      <c r="C33" s="18" t="n">
        <v>4</v>
      </c>
      <c r="D33" s="18" t="n">
        <v>99</v>
      </c>
      <c r="E33" s="18" t="n">
        <v>27</v>
      </c>
      <c r="F33" s="10">
        <f>IF($B33&gt;=Analysis!$P$1,IF($E33&lt;=Analysis!$P$2,"VIP","At risk"),IF($E33&lt;=Analysis!$P$2,"Loyal","Dormant"))</f>
        <v/>
      </c>
    </row>
    <row r="34">
      <c r="A34" s="10" t="inlineStr">
        <is>
          <t>C3032</t>
        </is>
      </c>
      <c r="B34" s="17" t="n">
        <v>1240373</v>
      </c>
      <c r="C34" s="18" t="n">
        <v>3</v>
      </c>
      <c r="D34" s="18" t="n">
        <v>473</v>
      </c>
      <c r="E34" s="18" t="n">
        <v>82</v>
      </c>
      <c r="F34" s="10">
        <f>IF($B34&gt;=Analysis!$P$1,IF($E34&lt;=Analysis!$P$2,"VIP","At risk"),IF($E34&lt;=Analysis!$P$2,"Loyal","Dormant"))</f>
        <v/>
      </c>
    </row>
    <row r="35">
      <c r="A35" s="10" t="inlineStr">
        <is>
          <t>C3033</t>
        </is>
      </c>
      <c r="B35" s="17" t="n">
        <v>1227769</v>
      </c>
      <c r="C35" s="18" t="n">
        <v>7</v>
      </c>
      <c r="D35" s="18" t="n">
        <v>418</v>
      </c>
      <c r="E35" s="18" t="n">
        <v>129</v>
      </c>
      <c r="F35" s="10">
        <f>IF($B35&gt;=Analysis!$P$1,IF($E35&lt;=Analysis!$P$2,"VIP","At risk"),IF($E35&lt;=Analysis!$P$2,"Loyal","Dormant"))</f>
        <v/>
      </c>
    </row>
    <row r="36">
      <c r="A36" s="10" t="inlineStr">
        <is>
          <t>C3034</t>
        </is>
      </c>
      <c r="B36" s="17" t="n">
        <v>3575459</v>
      </c>
      <c r="C36" s="18" t="n">
        <v>18</v>
      </c>
      <c r="D36" s="18" t="n">
        <v>311</v>
      </c>
      <c r="E36" s="18" t="n">
        <v>18</v>
      </c>
      <c r="F36" s="10">
        <f>IF($B36&gt;=Analysis!$P$1,IF($E36&lt;=Analysis!$P$2,"VIP","At risk"),IF($E36&lt;=Analysis!$P$2,"Loyal","Dormant"))</f>
        <v/>
      </c>
    </row>
    <row r="37">
      <c r="A37" s="10" t="inlineStr">
        <is>
          <t>C3035</t>
        </is>
      </c>
      <c r="B37" s="17" t="n">
        <v>4331577</v>
      </c>
      <c r="C37" s="18" t="n">
        <v>15</v>
      </c>
      <c r="D37" s="18" t="n">
        <v>582</v>
      </c>
      <c r="E37" s="18" t="n">
        <v>56</v>
      </c>
      <c r="F37" s="10">
        <f>IF($B37&gt;=Analysis!$P$1,IF($E37&lt;=Analysis!$P$2,"VIP","At risk"),IF($E37&lt;=Analysis!$P$2,"Loyal","Dormant"))</f>
        <v/>
      </c>
    </row>
    <row r="38">
      <c r="A38" s="10" t="inlineStr">
        <is>
          <t>C3036</t>
        </is>
      </c>
      <c r="B38" s="17" t="n">
        <v>2923859</v>
      </c>
      <c r="C38" s="18" t="n">
        <v>14</v>
      </c>
      <c r="D38" s="18" t="n">
        <v>138</v>
      </c>
      <c r="E38" s="18" t="n">
        <v>13</v>
      </c>
      <c r="F38" s="10">
        <f>IF($B38&gt;=Analysis!$P$1,IF($E38&lt;=Analysis!$P$2,"VIP","At risk"),IF($E38&lt;=Analysis!$P$2,"Loyal","Dormant"))</f>
        <v/>
      </c>
    </row>
    <row r="39">
      <c r="A39" s="10" t="inlineStr">
        <is>
          <t>C3037</t>
        </is>
      </c>
      <c r="B39" s="17" t="n">
        <v>9159032</v>
      </c>
      <c r="C39" s="18" t="n">
        <v>35</v>
      </c>
      <c r="D39" s="18" t="n">
        <v>651</v>
      </c>
      <c r="E39" s="18" t="n">
        <v>6</v>
      </c>
      <c r="F39" s="10">
        <f>IF($B39&gt;=Analysis!$P$1,IF($E39&lt;=Analysis!$P$2,"VIP","At risk"),IF($E39&lt;=Analysis!$P$2,"Loyal","Dormant"))</f>
        <v/>
      </c>
    </row>
    <row r="40">
      <c r="A40" s="10" t="inlineStr">
        <is>
          <t>C3038</t>
        </is>
      </c>
      <c r="B40" s="17" t="n">
        <v>1636723</v>
      </c>
      <c r="C40" s="18" t="n">
        <v>4</v>
      </c>
      <c r="D40" s="18" t="n">
        <v>407</v>
      </c>
      <c r="E40" s="18" t="n">
        <v>65</v>
      </c>
      <c r="F40" s="10">
        <f>IF($B40&gt;=Analysis!$P$1,IF($E40&lt;=Analysis!$P$2,"VIP","At risk"),IF($E40&lt;=Analysis!$P$2,"Loyal","Dormant"))</f>
        <v/>
      </c>
    </row>
    <row r="41">
      <c r="A41" s="10" t="inlineStr">
        <is>
          <t>C3039</t>
        </is>
      </c>
      <c r="B41" s="17" t="n">
        <v>1023748</v>
      </c>
      <c r="C41" s="18" t="n">
        <v>6</v>
      </c>
      <c r="D41" s="18" t="n">
        <v>278</v>
      </c>
      <c r="E41" s="18" t="n">
        <v>3</v>
      </c>
      <c r="F41" s="10">
        <f>IF($B41&gt;=Analysis!$P$1,IF($E41&lt;=Analysis!$P$2,"VIP","At risk"),IF($E41&lt;=Analysis!$P$2,"Loyal","Dormant"))</f>
        <v/>
      </c>
    </row>
    <row r="42">
      <c r="A42" s="10" t="inlineStr">
        <is>
          <t>C3040</t>
        </is>
      </c>
      <c r="B42" s="17" t="n">
        <v>1507256</v>
      </c>
      <c r="C42" s="18" t="n">
        <v>5</v>
      </c>
      <c r="D42" s="18" t="n">
        <v>490</v>
      </c>
      <c r="E42" s="18" t="n">
        <v>44</v>
      </c>
      <c r="F42" s="10">
        <f>IF($B42&gt;=Analysis!$P$1,IF($E42&lt;=Analysis!$P$2,"VIP","At risk"),IF($E42&lt;=Analysis!$P$2,"Loyal","Dormant"))</f>
        <v/>
      </c>
    </row>
    <row r="43">
      <c r="A43" s="10" t="inlineStr">
        <is>
          <t>C3041</t>
        </is>
      </c>
      <c r="B43" s="17" t="n">
        <v>1201447</v>
      </c>
      <c r="C43" s="18" t="n">
        <v>3</v>
      </c>
      <c r="D43" s="18" t="n">
        <v>396</v>
      </c>
      <c r="E43" s="18" t="n">
        <v>64</v>
      </c>
      <c r="F43" s="10">
        <f>IF($B43&gt;=Analysis!$P$1,IF($E43&lt;=Analysis!$P$2,"VIP","At risk"),IF($E43&lt;=Analysis!$P$2,"Loyal","Dormant"))</f>
        <v/>
      </c>
    </row>
    <row r="44">
      <c r="A44" s="10" t="inlineStr">
        <is>
          <t>C3042</t>
        </is>
      </c>
      <c r="B44" s="17" t="n">
        <v>4112916</v>
      </c>
      <c r="C44" s="18" t="n">
        <v>12</v>
      </c>
      <c r="D44" s="18" t="n">
        <v>460</v>
      </c>
      <c r="E44" s="18" t="n">
        <v>29</v>
      </c>
      <c r="F44" s="10">
        <f>IF($B44&gt;=Analysis!$P$1,IF($E44&lt;=Analysis!$P$2,"VIP","At risk"),IF($E44&lt;=Analysis!$P$2,"Loyal","Dormant"))</f>
        <v/>
      </c>
    </row>
    <row r="45">
      <c r="A45" s="10" t="inlineStr">
        <is>
          <t>C3043</t>
        </is>
      </c>
      <c r="B45" s="17" t="n">
        <v>844799</v>
      </c>
      <c r="C45" s="18" t="n">
        <v>7</v>
      </c>
      <c r="D45" s="18" t="n">
        <v>424</v>
      </c>
      <c r="E45" s="18" t="n">
        <v>90</v>
      </c>
      <c r="F45" s="10">
        <f>IF($B45&gt;=Analysis!$P$1,IF($E45&lt;=Analysis!$P$2,"VIP","At risk"),IF($E45&lt;=Analysis!$P$2,"Loyal","Dormant"))</f>
        <v/>
      </c>
    </row>
    <row r="46">
      <c r="A46" s="10" t="inlineStr">
        <is>
          <t>C3044</t>
        </is>
      </c>
      <c r="B46" s="17" t="n">
        <v>70671</v>
      </c>
      <c r="C46" s="18" t="n">
        <v>1</v>
      </c>
      <c r="D46" s="18" t="n">
        <v>463</v>
      </c>
      <c r="E46" s="18" t="n">
        <v>35</v>
      </c>
      <c r="F46" s="10">
        <f>IF($B46&gt;=Analysis!$P$1,IF($E46&lt;=Analysis!$P$2,"VIP","At risk"),IF($E46&lt;=Analysis!$P$2,"Loyal","Dormant"))</f>
        <v/>
      </c>
    </row>
    <row r="47">
      <c r="A47" s="10" t="inlineStr">
        <is>
          <t>C3045</t>
        </is>
      </c>
      <c r="B47" s="17" t="n">
        <v>746870</v>
      </c>
      <c r="C47" s="18" t="n">
        <v>5</v>
      </c>
      <c r="D47" s="18" t="n">
        <v>321</v>
      </c>
      <c r="E47" s="18" t="n">
        <v>155</v>
      </c>
      <c r="F47" s="10">
        <f>IF($B47&gt;=Analysis!$P$1,IF($E47&lt;=Analysis!$P$2,"VIP","At risk"),IF($E47&lt;=Analysis!$P$2,"Loyal","Dormant"))</f>
        <v/>
      </c>
    </row>
    <row r="48">
      <c r="A48" s="10" t="inlineStr">
        <is>
          <t>C3046</t>
        </is>
      </c>
      <c r="B48" s="17" t="n">
        <v>7859217</v>
      </c>
      <c r="C48" s="18" t="n">
        <v>28</v>
      </c>
      <c r="D48" s="18" t="n">
        <v>721</v>
      </c>
      <c r="E48" s="18" t="n">
        <v>15</v>
      </c>
      <c r="F48" s="10">
        <f>IF($B48&gt;=Analysis!$P$1,IF($E48&lt;=Analysis!$P$2,"VIP","At risk"),IF($E48&lt;=Analysis!$P$2,"Loyal","Dormant"))</f>
        <v/>
      </c>
    </row>
    <row r="49">
      <c r="A49" s="10" t="inlineStr">
        <is>
          <t>C3047</t>
        </is>
      </c>
      <c r="B49" s="17" t="n">
        <v>1213028</v>
      </c>
      <c r="C49" s="18" t="n">
        <v>1</v>
      </c>
      <c r="D49" s="18" t="n">
        <v>243</v>
      </c>
      <c r="E49" s="18" t="n">
        <v>108</v>
      </c>
      <c r="F49" s="10">
        <f>IF($B49&gt;=Analysis!$P$1,IF($E49&lt;=Analysis!$P$2,"VIP","At risk"),IF($E49&lt;=Analysis!$P$2,"Loyal","Dormant"))</f>
        <v/>
      </c>
    </row>
    <row r="50">
      <c r="A50" s="10" t="inlineStr">
        <is>
          <t>C3048</t>
        </is>
      </c>
      <c r="B50" s="17" t="n">
        <v>1398014</v>
      </c>
      <c r="C50" s="18" t="n">
        <v>4</v>
      </c>
      <c r="D50" s="18" t="n">
        <v>38</v>
      </c>
      <c r="E50" s="18" t="n">
        <v>4</v>
      </c>
      <c r="F50" s="10">
        <f>IF($B50&gt;=Analysis!$P$1,IF($E50&lt;=Analysis!$P$2,"VIP","At risk"),IF($E50&lt;=Analysis!$P$2,"Loyal","Dormant"))</f>
        <v/>
      </c>
    </row>
    <row r="51">
      <c r="A51" s="10" t="inlineStr">
        <is>
          <t>C3049</t>
        </is>
      </c>
      <c r="B51" s="17" t="n">
        <v>921023</v>
      </c>
      <c r="C51" s="18" t="n">
        <v>2</v>
      </c>
      <c r="D51" s="18" t="n">
        <v>536</v>
      </c>
      <c r="E51" s="18" t="n">
        <v>83</v>
      </c>
      <c r="F51" s="10">
        <f>IF($B51&gt;=Analysis!$P$1,IF($E51&lt;=Analysis!$P$2,"VIP","At risk"),IF($E51&lt;=Analysis!$P$2,"Loyal","Dormant"))</f>
        <v/>
      </c>
    </row>
    <row r="52">
      <c r="A52" s="10" t="inlineStr">
        <is>
          <t>C3050</t>
        </is>
      </c>
      <c r="B52" s="17" t="n">
        <v>4464980</v>
      </c>
      <c r="C52" s="18" t="n">
        <v>20</v>
      </c>
      <c r="D52" s="18" t="n">
        <v>598</v>
      </c>
      <c r="E52" s="18" t="n">
        <v>27</v>
      </c>
      <c r="F52" s="10">
        <f>IF($B52&gt;=Analysis!$P$1,IF($E52&lt;=Analysis!$P$2,"VIP","At risk"),IF($E52&lt;=Analysis!$P$2,"Loyal","Dormant"))</f>
        <v/>
      </c>
    </row>
    <row r="53">
      <c r="A53" s="10" t="inlineStr">
        <is>
          <t>C3051</t>
        </is>
      </c>
      <c r="B53" s="17" t="n">
        <v>4409043</v>
      </c>
      <c r="C53" s="18" t="n">
        <v>13</v>
      </c>
      <c r="D53" s="18" t="n">
        <v>537</v>
      </c>
      <c r="E53" s="18" t="n">
        <v>38</v>
      </c>
      <c r="F53" s="10">
        <f>IF($B53&gt;=Analysis!$P$1,IF($E53&lt;=Analysis!$P$2,"VIP","At risk"),IF($E53&lt;=Analysis!$P$2,"Loyal","Dormant"))</f>
        <v/>
      </c>
    </row>
    <row r="54">
      <c r="A54" s="10" t="inlineStr">
        <is>
          <t>C3052</t>
        </is>
      </c>
      <c r="B54" s="17" t="n">
        <v>2499377</v>
      </c>
      <c r="C54" s="18" t="n">
        <v>15</v>
      </c>
      <c r="D54" s="18" t="n">
        <v>223</v>
      </c>
      <c r="E54" s="18" t="n">
        <v>34</v>
      </c>
      <c r="F54" s="10">
        <f>IF($B54&gt;=Analysis!$P$1,IF($E54&lt;=Analysis!$P$2,"VIP","At risk"),IF($E54&lt;=Analysis!$P$2,"Loyal","Dormant"))</f>
        <v/>
      </c>
    </row>
    <row r="55">
      <c r="A55" s="10" t="inlineStr">
        <is>
          <t>C3053</t>
        </is>
      </c>
      <c r="B55" s="17" t="n">
        <v>1034246</v>
      </c>
      <c r="C55" s="18" t="n">
        <v>4</v>
      </c>
      <c r="D55" s="18" t="n">
        <v>19</v>
      </c>
      <c r="E55" s="18" t="n">
        <v>12</v>
      </c>
      <c r="F55" s="10">
        <f>IF($B55&gt;=Analysis!$P$1,IF($E55&lt;=Analysis!$P$2,"VIP","At risk"),IF($E55&lt;=Analysis!$P$2,"Loyal","Dormant"))</f>
        <v/>
      </c>
    </row>
    <row r="56">
      <c r="A56" s="10" t="inlineStr">
        <is>
          <t>C3054</t>
        </is>
      </c>
      <c r="B56" s="17" t="n">
        <v>1484710</v>
      </c>
      <c r="C56" s="18" t="n">
        <v>1</v>
      </c>
      <c r="D56" s="18" t="n">
        <v>53</v>
      </c>
      <c r="E56" s="18" t="n">
        <v>33</v>
      </c>
      <c r="F56" s="10">
        <f>IF($B56&gt;=Analysis!$P$1,IF($E56&lt;=Analysis!$P$2,"VIP","At risk"),IF($E56&lt;=Analysis!$P$2,"Loyal","Dormant"))</f>
        <v/>
      </c>
    </row>
    <row r="57">
      <c r="A57" s="10" t="inlineStr">
        <is>
          <t>C3055</t>
        </is>
      </c>
      <c r="B57" s="17" t="n">
        <v>3733333</v>
      </c>
      <c r="C57" s="18" t="n">
        <v>5</v>
      </c>
      <c r="D57" s="18" t="n">
        <v>246</v>
      </c>
      <c r="E57" s="18" t="n">
        <v>27</v>
      </c>
      <c r="F57" s="10">
        <f>IF($B57&gt;=Analysis!$P$1,IF($E57&lt;=Analysis!$P$2,"VIP","At risk"),IF($E57&lt;=Analysis!$P$2,"Loyal","Dormant"))</f>
        <v/>
      </c>
    </row>
    <row r="58">
      <c r="A58" s="10" t="inlineStr">
        <is>
          <t>C3056</t>
        </is>
      </c>
      <c r="B58" s="17" t="n">
        <v>831064</v>
      </c>
      <c r="C58" s="18" t="n">
        <v>5</v>
      </c>
      <c r="D58" s="18" t="n">
        <v>332</v>
      </c>
      <c r="E58" s="18" t="n">
        <v>46</v>
      </c>
      <c r="F58" s="10">
        <f>IF($B58&gt;=Analysis!$P$1,IF($E58&lt;=Analysis!$P$2,"VIP","At risk"),IF($E58&lt;=Analysis!$P$2,"Loyal","Dormant"))</f>
        <v/>
      </c>
    </row>
    <row r="59">
      <c r="A59" s="10" t="inlineStr">
        <is>
          <t>C3057</t>
        </is>
      </c>
      <c r="B59" s="17" t="n">
        <v>844113</v>
      </c>
      <c r="C59" s="18" t="n">
        <v>6</v>
      </c>
      <c r="D59" s="18" t="n">
        <v>396</v>
      </c>
      <c r="E59" s="18" t="n">
        <v>93</v>
      </c>
      <c r="F59" s="10">
        <f>IF($B59&gt;=Analysis!$P$1,IF($E59&lt;=Analysis!$P$2,"VIP","At risk"),IF($E59&lt;=Analysis!$P$2,"Loyal","Dormant"))</f>
        <v/>
      </c>
    </row>
    <row r="60">
      <c r="A60" s="10" t="inlineStr">
        <is>
          <t>C3058</t>
        </is>
      </c>
      <c r="B60" s="17" t="n">
        <v>6739195</v>
      </c>
      <c r="C60" s="18" t="n">
        <v>19</v>
      </c>
      <c r="D60" s="18" t="n">
        <v>597</v>
      </c>
      <c r="E60" s="18" t="n">
        <v>14</v>
      </c>
      <c r="F60" s="10">
        <f>IF($B60&gt;=Analysis!$P$1,IF($E60&lt;=Analysis!$P$2,"VIP","At risk"),IF($E60&lt;=Analysis!$P$2,"Loyal","Dormant"))</f>
        <v/>
      </c>
    </row>
    <row r="61">
      <c r="A61" s="10" t="inlineStr">
        <is>
          <t>C3059</t>
        </is>
      </c>
      <c r="B61" s="17" t="n">
        <v>1004456</v>
      </c>
      <c r="C61" s="18" t="n">
        <v>6</v>
      </c>
      <c r="D61" s="18" t="n">
        <v>251</v>
      </c>
      <c r="E61" s="18" t="n">
        <v>59</v>
      </c>
      <c r="F61" s="10">
        <f>IF($B61&gt;=Analysis!$P$1,IF($E61&lt;=Analysis!$P$2,"VIP","At risk"),IF($E61&lt;=Analysis!$P$2,"Loyal","Dormant"))</f>
        <v/>
      </c>
    </row>
    <row r="62">
      <c r="A62" s="10" t="inlineStr">
        <is>
          <t>C3060</t>
        </is>
      </c>
      <c r="B62" s="17" t="n">
        <v>3154212</v>
      </c>
      <c r="C62" s="18" t="n">
        <v>12</v>
      </c>
      <c r="D62" s="18" t="n">
        <v>418</v>
      </c>
      <c r="E62" s="18" t="n">
        <v>35</v>
      </c>
      <c r="F62" s="10">
        <f>IF($B62&gt;=Analysis!$P$1,IF($E62&lt;=Analysis!$P$2,"VIP","At risk"),IF($E62&lt;=Analysis!$P$2,"Loyal","Dormant"))</f>
        <v/>
      </c>
    </row>
    <row r="63">
      <c r="A63" s="10" t="inlineStr">
        <is>
          <t>C3061</t>
        </is>
      </c>
      <c r="B63" s="17" t="n">
        <v>1093269</v>
      </c>
      <c r="C63" s="18" t="n">
        <v>10</v>
      </c>
      <c r="D63" s="18" t="n">
        <v>468</v>
      </c>
      <c r="E63" s="18" t="n">
        <v>33</v>
      </c>
      <c r="F63" s="10">
        <f>IF($B63&gt;=Analysis!$P$1,IF($E63&lt;=Analysis!$P$2,"VIP","At risk"),IF($E63&lt;=Analysis!$P$2,"Loyal","Dormant"))</f>
        <v/>
      </c>
    </row>
    <row r="64">
      <c r="A64" s="10" t="inlineStr">
        <is>
          <t>C3062</t>
        </is>
      </c>
      <c r="B64" s="17" t="n">
        <v>1116836</v>
      </c>
      <c r="C64" s="18" t="n">
        <v>4</v>
      </c>
      <c r="D64" s="18" t="n">
        <v>96</v>
      </c>
      <c r="E64" s="18" t="n">
        <v>26</v>
      </c>
      <c r="F64" s="10">
        <f>IF($B64&gt;=Analysis!$P$1,IF($E64&lt;=Analysis!$P$2,"VIP","At risk"),IF($E64&lt;=Analysis!$P$2,"Loyal","Dormant"))</f>
        <v/>
      </c>
    </row>
    <row r="65">
      <c r="A65" s="10" t="inlineStr">
        <is>
          <t>C3063</t>
        </is>
      </c>
      <c r="B65" s="17" t="n">
        <v>1364399</v>
      </c>
      <c r="C65" s="18" t="n">
        <v>2</v>
      </c>
      <c r="D65" s="18" t="n">
        <v>36</v>
      </c>
      <c r="E65" s="18" t="n">
        <v>37</v>
      </c>
      <c r="F65" s="10">
        <f>IF($B65&gt;=Analysis!$P$1,IF($E65&lt;=Analysis!$P$2,"VIP","At risk"),IF($E65&lt;=Analysis!$P$2,"Loyal","Dormant"))</f>
        <v/>
      </c>
    </row>
    <row r="66">
      <c r="A66" s="10" t="inlineStr">
        <is>
          <t>C3064</t>
        </is>
      </c>
      <c r="B66" s="17" t="n">
        <v>801500</v>
      </c>
      <c r="C66" s="18" t="n">
        <v>2</v>
      </c>
      <c r="D66" s="18" t="n">
        <v>209</v>
      </c>
      <c r="E66" s="18" t="n">
        <v>47</v>
      </c>
      <c r="F66" s="10">
        <f>IF($B66&gt;=Analysis!$P$1,IF($E66&lt;=Analysis!$P$2,"VIP","At risk"),IF($E66&lt;=Analysis!$P$2,"Loyal","Dormant"))</f>
        <v/>
      </c>
    </row>
    <row r="67">
      <c r="A67" s="10" t="inlineStr">
        <is>
          <t>C3065</t>
        </is>
      </c>
      <c r="B67" s="17" t="n">
        <v>8830653</v>
      </c>
      <c r="C67" s="18" t="n">
        <v>29</v>
      </c>
      <c r="D67" s="18" t="n">
        <v>722</v>
      </c>
      <c r="E67" s="18" t="n">
        <v>12</v>
      </c>
      <c r="F67" s="10">
        <f>IF($B67&gt;=Analysis!$P$1,IF($E67&lt;=Analysis!$P$2,"VIP","At risk"),IF($E67&lt;=Analysis!$P$2,"Loyal","Dormant"))</f>
        <v/>
      </c>
    </row>
    <row r="68">
      <c r="A68" s="10" t="inlineStr">
        <is>
          <t>C3066</t>
        </is>
      </c>
      <c r="B68" s="17" t="n">
        <v>420518</v>
      </c>
      <c r="C68" s="18" t="n">
        <v>3</v>
      </c>
      <c r="D68" s="18" t="n">
        <v>164</v>
      </c>
      <c r="E68" s="18" t="n">
        <v>80</v>
      </c>
      <c r="F68" s="10">
        <f>IF($B68&gt;=Analysis!$P$1,IF($E68&lt;=Analysis!$P$2,"VIP","At risk"),IF($E68&lt;=Analysis!$P$2,"Loyal","Dormant"))</f>
        <v/>
      </c>
    </row>
    <row r="69">
      <c r="A69" s="10" t="inlineStr">
        <is>
          <t>C3067</t>
        </is>
      </c>
      <c r="B69" s="17" t="n">
        <v>1131894</v>
      </c>
      <c r="C69" s="18" t="n">
        <v>6</v>
      </c>
      <c r="D69" s="18" t="n">
        <v>24</v>
      </c>
      <c r="E69" s="18" t="n">
        <v>15</v>
      </c>
      <c r="F69" s="10">
        <f>IF($B69&gt;=Analysis!$P$1,IF($E69&lt;=Analysis!$P$2,"VIP","At risk"),IF($E69&lt;=Analysis!$P$2,"Loyal","Dormant"))</f>
        <v/>
      </c>
    </row>
    <row r="70">
      <c r="A70" s="10" t="inlineStr">
        <is>
          <t>C3068</t>
        </is>
      </c>
      <c r="B70" s="17" t="n">
        <v>1629375</v>
      </c>
      <c r="C70" s="18" t="n">
        <v>2</v>
      </c>
      <c r="D70" s="18" t="n">
        <v>444</v>
      </c>
      <c r="E70" s="18" t="n">
        <v>83</v>
      </c>
      <c r="F70" s="10">
        <f>IF($B70&gt;=Analysis!$P$1,IF($E70&lt;=Analysis!$P$2,"VIP","At risk"),IF($E70&lt;=Analysis!$P$2,"Loyal","Dormant"))</f>
        <v/>
      </c>
    </row>
    <row r="71">
      <c r="A71" s="10" t="inlineStr">
        <is>
          <t>C3069</t>
        </is>
      </c>
      <c r="B71" s="17" t="n">
        <v>635909</v>
      </c>
      <c r="C71" s="18" t="n">
        <v>3</v>
      </c>
      <c r="D71" s="18" t="n">
        <v>340</v>
      </c>
      <c r="E71" s="18" t="n">
        <v>140</v>
      </c>
      <c r="F71" s="10">
        <f>IF($B71&gt;=Analysis!$P$1,IF($E71&lt;=Analysis!$P$2,"VIP","At risk"),IF($E71&lt;=Analysis!$P$2,"Loyal","Dormant"))</f>
        <v/>
      </c>
    </row>
    <row r="72">
      <c r="A72" s="10" t="inlineStr">
        <is>
          <t>C3070</t>
        </is>
      </c>
      <c r="B72" s="17" t="n">
        <v>2000458</v>
      </c>
      <c r="C72" s="18" t="n">
        <v>2</v>
      </c>
      <c r="D72" s="18" t="n">
        <v>38</v>
      </c>
      <c r="E72" s="18" t="n">
        <v>25</v>
      </c>
      <c r="F72" s="10">
        <f>IF($B72&gt;=Analysis!$P$1,IF($E72&lt;=Analysis!$P$2,"VIP","At risk"),IF($E72&lt;=Analysis!$P$2,"Loyal","Dormant"))</f>
        <v/>
      </c>
    </row>
    <row r="73">
      <c r="A73" s="10" t="inlineStr">
        <is>
          <t>C3071</t>
        </is>
      </c>
      <c r="B73" s="17" t="n">
        <v>3100534</v>
      </c>
      <c r="C73" s="18" t="n">
        <v>13</v>
      </c>
      <c r="D73" s="18" t="n">
        <v>344</v>
      </c>
      <c r="E73" s="18" t="n">
        <v>32</v>
      </c>
      <c r="F73" s="10">
        <f>IF($B73&gt;=Analysis!$P$1,IF($E73&lt;=Analysis!$P$2,"VIP","At risk"),IF($E73&lt;=Analysis!$P$2,"Loyal","Dormant"))</f>
        <v/>
      </c>
    </row>
    <row r="74">
      <c r="A74" s="10" t="inlineStr">
        <is>
          <t>C3072</t>
        </is>
      </c>
      <c r="B74" s="17" t="n">
        <v>3479040</v>
      </c>
      <c r="C74" s="18" t="n">
        <v>11</v>
      </c>
      <c r="D74" s="18" t="n">
        <v>418</v>
      </c>
      <c r="E74" s="18" t="n">
        <v>19</v>
      </c>
      <c r="F74" s="10">
        <f>IF($B74&gt;=Analysis!$P$1,IF($E74&lt;=Analysis!$P$2,"VIP","At risk"),IF($E74&lt;=Analysis!$P$2,"Loyal","Dormant"))</f>
        <v/>
      </c>
    </row>
    <row r="75">
      <c r="A75" s="10" t="inlineStr">
        <is>
          <t>C3073</t>
        </is>
      </c>
      <c r="B75" s="17" t="n">
        <v>596172</v>
      </c>
      <c r="C75" s="18" t="n">
        <v>3</v>
      </c>
      <c r="D75" s="18" t="n">
        <v>219</v>
      </c>
      <c r="E75" s="18" t="n">
        <v>1</v>
      </c>
      <c r="F75" s="10">
        <f>IF($B75&gt;=Analysis!$P$1,IF($E75&lt;=Analysis!$P$2,"VIP","At risk"),IF($E75&lt;=Analysis!$P$2,"Loyal","Dormant"))</f>
        <v/>
      </c>
    </row>
    <row r="76">
      <c r="A76" s="10" t="inlineStr">
        <is>
          <t>C3074</t>
        </is>
      </c>
      <c r="B76" s="17" t="n">
        <v>3045921</v>
      </c>
      <c r="C76" s="18" t="n">
        <v>15</v>
      </c>
      <c r="D76" s="18" t="n">
        <v>421</v>
      </c>
      <c r="E76" s="18" t="n">
        <v>16</v>
      </c>
      <c r="F76" s="10">
        <f>IF($B76&gt;=Analysis!$P$1,IF($E76&lt;=Analysis!$P$2,"VIP","At risk"),IF($E76&lt;=Analysis!$P$2,"Loyal","Dormant"))</f>
        <v/>
      </c>
    </row>
    <row r="77">
      <c r="A77" s="10" t="inlineStr">
        <is>
          <t>C3075</t>
        </is>
      </c>
      <c r="B77" s="17" t="n">
        <v>302740</v>
      </c>
      <c r="C77" s="18" t="n">
        <v>1</v>
      </c>
      <c r="D77" s="18" t="n">
        <v>199</v>
      </c>
      <c r="E77" s="18" t="n">
        <v>113</v>
      </c>
      <c r="F77" s="10">
        <f>IF($B77&gt;=Analysis!$P$1,IF($E77&lt;=Analysis!$P$2,"VIP","At risk"),IF($E77&lt;=Analysis!$P$2,"Loyal","Dormant"))</f>
        <v/>
      </c>
    </row>
    <row r="78">
      <c r="A78" s="10" t="inlineStr">
        <is>
          <t>C3076</t>
        </is>
      </c>
      <c r="B78" s="17" t="n">
        <v>2336093</v>
      </c>
      <c r="C78" s="18" t="n">
        <v>11</v>
      </c>
      <c r="D78" s="18" t="n">
        <v>451</v>
      </c>
      <c r="E78" s="18" t="n">
        <v>26</v>
      </c>
      <c r="F78" s="10">
        <f>IF($B78&gt;=Analysis!$P$1,IF($E78&lt;=Analysis!$P$2,"VIP","At risk"),IF($E78&lt;=Analysis!$P$2,"Loyal","Dormant"))</f>
        <v/>
      </c>
    </row>
    <row r="79">
      <c r="A79" s="10" t="inlineStr">
        <is>
          <t>C3077</t>
        </is>
      </c>
      <c r="B79" s="17" t="n">
        <v>2539149</v>
      </c>
      <c r="C79" s="18" t="n">
        <v>2</v>
      </c>
      <c r="D79" s="18" t="n">
        <v>79</v>
      </c>
      <c r="E79" s="18" t="n">
        <v>22</v>
      </c>
      <c r="F79" s="10">
        <f>IF($B79&gt;=Analysis!$P$1,IF($E79&lt;=Analysis!$P$2,"VIP","At risk"),IF($E79&lt;=Analysis!$P$2,"Loyal","Dormant"))</f>
        <v/>
      </c>
    </row>
    <row r="80">
      <c r="A80" s="10" t="inlineStr">
        <is>
          <t>C3078</t>
        </is>
      </c>
      <c r="B80" s="17" t="n">
        <v>1219310</v>
      </c>
      <c r="C80" s="18" t="n">
        <v>3</v>
      </c>
      <c r="D80" s="18" t="n">
        <v>153</v>
      </c>
      <c r="E80" s="18" t="n">
        <v>12</v>
      </c>
      <c r="F80" s="10">
        <f>IF($B80&gt;=Analysis!$P$1,IF($E80&lt;=Analysis!$P$2,"VIP","At risk"),IF($E80&lt;=Analysis!$P$2,"Loyal","Dormant"))</f>
        <v/>
      </c>
    </row>
    <row r="81">
      <c r="A81" s="10" t="inlineStr">
        <is>
          <t>C3079</t>
        </is>
      </c>
      <c r="B81" s="17" t="n">
        <v>4596045</v>
      </c>
      <c r="C81" s="18" t="n">
        <v>34</v>
      </c>
      <c r="D81" s="18" t="n">
        <v>490</v>
      </c>
      <c r="E81" s="18" t="n">
        <v>25</v>
      </c>
      <c r="F81" s="10">
        <f>IF($B81&gt;=Analysis!$P$1,IF($E81&lt;=Analysis!$P$2,"VIP","At risk"),IF($E81&lt;=Analysis!$P$2,"Loyal","Dormant"))</f>
        <v/>
      </c>
    </row>
    <row r="82">
      <c r="A82" s="10" t="inlineStr">
        <is>
          <t>C3080</t>
        </is>
      </c>
      <c r="B82" s="17" t="n">
        <v>2973755</v>
      </c>
      <c r="C82" s="18" t="n">
        <v>20</v>
      </c>
      <c r="D82" s="18" t="n">
        <v>459</v>
      </c>
      <c r="E82" s="18" t="n">
        <v>37</v>
      </c>
      <c r="F82" s="10">
        <f>IF($B82&gt;=Analysis!$P$1,IF($E82&lt;=Analysis!$P$2,"VIP","At risk"),IF($E82&lt;=Analysis!$P$2,"Loyal","Dormant"))</f>
        <v/>
      </c>
    </row>
    <row r="83">
      <c r="A83" s="10" t="inlineStr">
        <is>
          <t>C3081</t>
        </is>
      </c>
      <c r="B83" s="17" t="n">
        <v>1455012</v>
      </c>
      <c r="C83" s="18" t="n">
        <v>3</v>
      </c>
      <c r="D83" s="18" t="n">
        <v>507</v>
      </c>
      <c r="E83" s="18" t="n">
        <v>88</v>
      </c>
      <c r="F83" s="10">
        <f>IF($B83&gt;=Analysis!$P$1,IF($E83&lt;=Analysis!$P$2,"VIP","At risk"),IF($E83&lt;=Analysis!$P$2,"Loyal","Dormant"))</f>
        <v/>
      </c>
    </row>
    <row r="84">
      <c r="A84" s="10" t="inlineStr">
        <is>
          <t>C3082</t>
        </is>
      </c>
      <c r="B84" s="17" t="n">
        <v>1124216</v>
      </c>
      <c r="C84" s="18" t="n">
        <v>1</v>
      </c>
      <c r="D84" s="18" t="n">
        <v>202</v>
      </c>
      <c r="E84" s="18" t="n">
        <v>38</v>
      </c>
      <c r="F84" s="10">
        <f>IF($B84&gt;=Analysis!$P$1,IF($E84&lt;=Analysis!$P$2,"VIP","At risk"),IF($E84&lt;=Analysis!$P$2,"Loyal","Dormant"))</f>
        <v/>
      </c>
    </row>
    <row r="85">
      <c r="A85" s="10" t="inlineStr">
        <is>
          <t>C3083</t>
        </is>
      </c>
      <c r="B85" s="17" t="n">
        <v>1320076</v>
      </c>
      <c r="C85" s="18" t="n">
        <v>3</v>
      </c>
      <c r="D85" s="18" t="n">
        <v>336</v>
      </c>
      <c r="E85" s="18" t="n">
        <v>134</v>
      </c>
      <c r="F85" s="10">
        <f>IF($B85&gt;=Analysis!$P$1,IF($E85&lt;=Analysis!$P$2,"VIP","At risk"),IF($E85&lt;=Analysis!$P$2,"Loyal","Dormant"))</f>
        <v/>
      </c>
    </row>
    <row r="86">
      <c r="A86" s="10" t="inlineStr">
        <is>
          <t>C3084</t>
        </is>
      </c>
      <c r="B86" s="17" t="n">
        <v>3940806</v>
      </c>
      <c r="C86" s="18" t="n">
        <v>18</v>
      </c>
      <c r="D86" s="18" t="n">
        <v>380</v>
      </c>
      <c r="E86" s="18" t="n">
        <v>28</v>
      </c>
      <c r="F86" s="10">
        <f>IF($B86&gt;=Analysis!$P$1,IF($E86&lt;=Analysis!$P$2,"VIP","At risk"),IF($E86&lt;=Analysis!$P$2,"Loyal","Dormant"))</f>
        <v/>
      </c>
    </row>
    <row r="87">
      <c r="A87" s="10" t="inlineStr">
        <is>
          <t>C3085</t>
        </is>
      </c>
      <c r="B87" s="17" t="n">
        <v>660334</v>
      </c>
      <c r="C87" s="18" t="n">
        <v>5</v>
      </c>
      <c r="D87" s="18" t="n">
        <v>312</v>
      </c>
      <c r="E87" s="18" t="n">
        <v>116</v>
      </c>
      <c r="F87" s="10">
        <f>IF($B87&gt;=Analysis!$P$1,IF($E87&lt;=Analysis!$P$2,"VIP","At risk"),IF($E87&lt;=Analysis!$P$2,"Loyal","Dormant"))</f>
        <v/>
      </c>
    </row>
    <row r="88">
      <c r="A88" s="10" t="inlineStr">
        <is>
          <t>C3086</t>
        </is>
      </c>
      <c r="B88" s="17" t="n">
        <v>6885398</v>
      </c>
      <c r="C88" s="18" t="n">
        <v>35</v>
      </c>
      <c r="D88" s="18" t="n">
        <v>735</v>
      </c>
      <c r="E88" s="18" t="n">
        <v>13</v>
      </c>
      <c r="F88" s="10">
        <f>IF($B88&gt;=Analysis!$P$1,IF($E88&lt;=Analysis!$P$2,"VIP","At risk"),IF($E88&lt;=Analysis!$P$2,"Loyal","Dormant"))</f>
        <v/>
      </c>
    </row>
    <row r="89">
      <c r="A89" s="10" t="inlineStr">
        <is>
          <t>C3087</t>
        </is>
      </c>
      <c r="B89" s="17" t="n">
        <v>2817517</v>
      </c>
      <c r="C89" s="18" t="n">
        <v>14</v>
      </c>
      <c r="D89" s="18" t="n">
        <v>443</v>
      </c>
      <c r="E89" s="18" t="n">
        <v>5</v>
      </c>
      <c r="F89" s="10">
        <f>IF($B89&gt;=Analysis!$P$1,IF($E89&lt;=Analysis!$P$2,"VIP","At risk"),IF($E89&lt;=Analysis!$P$2,"Loyal","Dormant"))</f>
        <v/>
      </c>
    </row>
    <row r="90">
      <c r="A90" s="10" t="inlineStr">
        <is>
          <t>C3088</t>
        </is>
      </c>
      <c r="B90" s="17" t="n">
        <v>1011099</v>
      </c>
      <c r="C90" s="18" t="n">
        <v>4</v>
      </c>
      <c r="D90" s="18" t="n">
        <v>5</v>
      </c>
      <c r="E90" s="18" t="n">
        <v>58</v>
      </c>
      <c r="F90" s="10">
        <f>IF($B90&gt;=Analysis!$P$1,IF($E90&lt;=Analysis!$P$2,"VIP","At risk"),IF($E90&lt;=Analysis!$P$2,"Loyal","Dormant"))</f>
        <v/>
      </c>
    </row>
    <row r="91">
      <c r="A91" s="10" t="inlineStr">
        <is>
          <t>C3089</t>
        </is>
      </c>
      <c r="B91" s="17" t="n">
        <v>1311908</v>
      </c>
      <c r="C91" s="18" t="n">
        <v>1</v>
      </c>
      <c r="D91" s="18" t="n">
        <v>142</v>
      </c>
      <c r="E91" s="18" t="n">
        <v>27</v>
      </c>
      <c r="F91" s="10">
        <f>IF($B91&gt;=Analysis!$P$1,IF($E91&lt;=Analysis!$P$2,"VIP","At risk"),IF($E91&lt;=Analysis!$P$2,"Loyal","Dormant"))</f>
        <v/>
      </c>
    </row>
    <row r="92">
      <c r="A92" s="10" t="inlineStr">
        <is>
          <t>C3090</t>
        </is>
      </c>
      <c r="B92" s="17" t="n">
        <v>3432609</v>
      </c>
      <c r="C92" s="18" t="n">
        <v>9</v>
      </c>
      <c r="D92" s="18" t="n">
        <v>368</v>
      </c>
      <c r="E92" s="18" t="n">
        <v>24</v>
      </c>
      <c r="F92" s="10">
        <f>IF($B92&gt;=Analysis!$P$1,IF($E92&lt;=Analysis!$P$2,"VIP","At risk"),IF($E92&lt;=Analysis!$P$2,"Loyal","Dormant"))</f>
        <v/>
      </c>
    </row>
    <row r="93">
      <c r="A93" s="10" t="inlineStr">
        <is>
          <t>C3091</t>
        </is>
      </c>
      <c r="B93" s="17" t="n">
        <v>1475763</v>
      </c>
      <c r="C93" s="18" t="n">
        <v>4</v>
      </c>
      <c r="D93" s="18" t="n">
        <v>452</v>
      </c>
      <c r="E93" s="18" t="n">
        <v>73</v>
      </c>
      <c r="F93" s="10">
        <f>IF($B93&gt;=Analysis!$P$1,IF($E93&lt;=Analysis!$P$2,"VIP","At risk"),IF($E93&lt;=Analysis!$P$2,"Loyal","Dormant"))</f>
        <v/>
      </c>
    </row>
    <row r="94">
      <c r="A94" s="10" t="inlineStr">
        <is>
          <t>C3092</t>
        </is>
      </c>
      <c r="B94" s="17" t="n">
        <v>4662982</v>
      </c>
      <c r="C94" s="18" t="n">
        <v>15</v>
      </c>
      <c r="D94" s="18" t="n">
        <v>354</v>
      </c>
      <c r="E94" s="18" t="n">
        <v>29</v>
      </c>
      <c r="F94" s="10">
        <f>IF($B94&gt;=Analysis!$P$1,IF($E94&lt;=Analysis!$P$2,"VIP","At risk"),IF($E94&lt;=Analysis!$P$2,"Loyal","Dormant"))</f>
        <v/>
      </c>
    </row>
    <row r="95">
      <c r="A95" s="10" t="inlineStr">
        <is>
          <t>C3093</t>
        </is>
      </c>
      <c r="B95" s="17" t="n">
        <v>787938</v>
      </c>
      <c r="C95" s="18" t="n">
        <v>5</v>
      </c>
      <c r="D95" s="18" t="n">
        <v>307</v>
      </c>
      <c r="E95" s="18" t="n">
        <v>65</v>
      </c>
      <c r="F95" s="10">
        <f>IF($B95&gt;=Analysis!$P$1,IF($E95&lt;=Analysis!$P$2,"VIP","At risk"),IF($E95&lt;=Analysis!$P$2,"Loyal","Dormant"))</f>
        <v/>
      </c>
    </row>
    <row r="96">
      <c r="A96" s="10" t="inlineStr">
        <is>
          <t>C3094</t>
        </is>
      </c>
      <c r="B96" s="17" t="n">
        <v>3220625</v>
      </c>
      <c r="C96" s="18" t="n">
        <v>18</v>
      </c>
      <c r="D96" s="18" t="n">
        <v>459</v>
      </c>
      <c r="E96" s="18" t="n">
        <v>35</v>
      </c>
      <c r="F96" s="10">
        <f>IF($B96&gt;=Analysis!$P$1,IF($E96&lt;=Analysis!$P$2,"VIP","At risk"),IF($E96&lt;=Analysis!$P$2,"Loyal","Dormant"))</f>
        <v/>
      </c>
    </row>
    <row r="97">
      <c r="A97" s="10" t="inlineStr">
        <is>
          <t>C3095</t>
        </is>
      </c>
      <c r="B97" s="17" t="n">
        <v>822863</v>
      </c>
      <c r="C97" s="18" t="n">
        <v>4</v>
      </c>
      <c r="D97" s="18" t="n">
        <v>245</v>
      </c>
      <c r="E97" s="18" t="n">
        <v>44</v>
      </c>
      <c r="F97" s="10">
        <f>IF($B97&gt;=Analysis!$P$1,IF($E97&lt;=Analysis!$P$2,"VIP","At risk"),IF($E97&lt;=Analysis!$P$2,"Loyal","Dormant"))</f>
        <v/>
      </c>
    </row>
    <row r="98">
      <c r="A98" s="10" t="inlineStr">
        <is>
          <t>C3096</t>
        </is>
      </c>
      <c r="B98" s="17" t="n">
        <v>925474</v>
      </c>
      <c r="C98" s="18" t="n">
        <v>7</v>
      </c>
      <c r="D98" s="18" t="n">
        <v>481</v>
      </c>
      <c r="E98" s="18" t="n">
        <v>9</v>
      </c>
      <c r="F98" s="10">
        <f>IF($B98&gt;=Analysis!$P$1,IF($E98&lt;=Analysis!$P$2,"VIP","At risk"),IF($E98&lt;=Analysis!$P$2,"Loyal","Dormant"))</f>
        <v/>
      </c>
    </row>
    <row r="99">
      <c r="A99" s="10" t="inlineStr">
        <is>
          <t>C3097</t>
        </is>
      </c>
      <c r="B99" s="17" t="n">
        <v>1414815</v>
      </c>
      <c r="C99" s="18" t="n">
        <v>5</v>
      </c>
      <c r="D99" s="18" t="n">
        <v>318</v>
      </c>
      <c r="E99" s="18" t="n">
        <v>112</v>
      </c>
      <c r="F99" s="10">
        <f>IF($B99&gt;=Analysis!$P$1,IF($E99&lt;=Analysis!$P$2,"VIP","At risk"),IF($E99&lt;=Analysis!$P$2,"Loyal","Dormant"))</f>
        <v/>
      </c>
    </row>
    <row r="100">
      <c r="A100" s="10" t="inlineStr">
        <is>
          <t>C3098</t>
        </is>
      </c>
      <c r="B100" s="17" t="n">
        <v>9704732</v>
      </c>
      <c r="C100" s="18" t="n">
        <v>30</v>
      </c>
      <c r="D100" s="18" t="n">
        <v>691</v>
      </c>
      <c r="E100" s="18" t="n">
        <v>3</v>
      </c>
      <c r="F100" s="10">
        <f>IF($B100&gt;=Analysis!$P$1,IF($E100&lt;=Analysis!$P$2,"VIP","At risk"),IF($E100&lt;=Analysis!$P$2,"Loyal","Dormant"))</f>
        <v/>
      </c>
    </row>
    <row r="101">
      <c r="A101" s="10" t="inlineStr">
        <is>
          <t>C3099</t>
        </is>
      </c>
      <c r="B101" s="17" t="n">
        <v>1295882</v>
      </c>
      <c r="C101" s="18" t="n">
        <v>4</v>
      </c>
      <c r="D101" s="18" t="n">
        <v>89</v>
      </c>
      <c r="E101" s="18" t="n">
        <v>84</v>
      </c>
      <c r="F101" s="10">
        <f>IF($B101&gt;=Analysis!$P$1,IF($E101&lt;=Analysis!$P$2,"VIP","At risk"),IF($E101&lt;=Analysis!$P$2,"Loyal","Dormant"))</f>
        <v/>
      </c>
    </row>
    <row r="102">
      <c r="A102" s="10" t="inlineStr">
        <is>
          <t>C3100</t>
        </is>
      </c>
      <c r="B102" s="17" t="n">
        <v>779048</v>
      </c>
      <c r="C102" s="18" t="n">
        <v>4</v>
      </c>
      <c r="D102" s="18" t="n">
        <v>504</v>
      </c>
      <c r="E102" s="18" t="n">
        <v>82</v>
      </c>
      <c r="F102" s="10">
        <f>IF($B102&gt;=Analysis!$P$1,IF($E102&lt;=Analysis!$P$2,"VIP","At risk"),IF($E102&lt;=Analysis!$P$2,"Loyal","Dormant"))</f>
        <v/>
      </c>
    </row>
    <row r="103">
      <c r="A103" s="10" t="inlineStr">
        <is>
          <t>C3101</t>
        </is>
      </c>
      <c r="B103" s="17" t="n">
        <v>3030617</v>
      </c>
      <c r="C103" s="18" t="n">
        <v>14</v>
      </c>
      <c r="D103" s="18" t="n">
        <v>565</v>
      </c>
      <c r="E103" s="18" t="n">
        <v>21</v>
      </c>
      <c r="F103" s="10">
        <f>IF($B103&gt;=Analysis!$P$1,IF($E103&lt;=Analysis!$P$2,"VIP","At risk"),IF($E103&lt;=Analysis!$P$2,"Loyal","Dormant"))</f>
        <v/>
      </c>
    </row>
    <row r="104">
      <c r="A104" s="10" t="inlineStr">
        <is>
          <t>C3102</t>
        </is>
      </c>
      <c r="B104" s="17" t="n">
        <v>3350838</v>
      </c>
      <c r="C104" s="18" t="n">
        <v>16</v>
      </c>
      <c r="D104" s="18" t="n">
        <v>336</v>
      </c>
      <c r="E104" s="18" t="n">
        <v>20</v>
      </c>
      <c r="F104" s="10">
        <f>IF($B104&gt;=Analysis!$P$1,IF($E104&lt;=Analysis!$P$2,"VIP","At risk"),IF($E104&lt;=Analysis!$P$2,"Loyal","Dormant"))</f>
        <v/>
      </c>
    </row>
    <row r="105">
      <c r="A105" s="10" t="inlineStr">
        <is>
          <t>C3103</t>
        </is>
      </c>
      <c r="B105" s="17" t="n">
        <v>4145577</v>
      </c>
      <c r="C105" s="18" t="n">
        <v>20</v>
      </c>
      <c r="D105" s="18" t="n">
        <v>316</v>
      </c>
      <c r="E105" s="18" t="n">
        <v>13</v>
      </c>
      <c r="F105" s="10">
        <f>IF($B105&gt;=Analysis!$P$1,IF($E105&lt;=Analysis!$P$2,"VIP","At risk"),IF($E105&lt;=Analysis!$P$2,"Loyal","Dormant"))</f>
        <v/>
      </c>
    </row>
    <row r="106">
      <c r="A106" s="10" t="inlineStr">
        <is>
          <t>C3104</t>
        </is>
      </c>
      <c r="B106" s="17" t="n">
        <v>1804246</v>
      </c>
      <c r="C106" s="18" t="n">
        <v>2</v>
      </c>
      <c r="D106" s="18" t="n">
        <v>91</v>
      </c>
      <c r="E106" s="18" t="n">
        <v>25</v>
      </c>
      <c r="F106" s="10">
        <f>IF($B106&gt;=Analysis!$P$1,IF($E106&lt;=Analysis!$P$2,"VIP","At risk"),IF($E106&lt;=Analysis!$P$2,"Loyal","Dormant"))</f>
        <v/>
      </c>
    </row>
    <row r="107">
      <c r="A107" s="10" t="inlineStr">
        <is>
          <t>C3105</t>
        </is>
      </c>
      <c r="B107" s="17" t="n">
        <v>1949923</v>
      </c>
      <c r="C107" s="18" t="n">
        <v>5</v>
      </c>
      <c r="D107" s="18" t="n">
        <v>351</v>
      </c>
      <c r="E107" s="18" t="n">
        <v>53</v>
      </c>
      <c r="F107" s="10">
        <f>IF($B107&gt;=Analysis!$P$1,IF($E107&lt;=Analysis!$P$2,"VIP","At risk"),IF($E107&lt;=Analysis!$P$2,"Loyal","Dormant"))</f>
        <v/>
      </c>
    </row>
    <row r="108">
      <c r="A108" s="10" t="inlineStr">
        <is>
          <t>C3106</t>
        </is>
      </c>
      <c r="B108" s="17" t="n">
        <v>2785440</v>
      </c>
      <c r="C108" s="18" t="n">
        <v>11</v>
      </c>
      <c r="D108" s="18" t="n">
        <v>257</v>
      </c>
      <c r="E108" s="18" t="n">
        <v>32</v>
      </c>
      <c r="F108" s="10">
        <f>IF($B108&gt;=Analysis!$P$1,IF($E108&lt;=Analysis!$P$2,"VIP","At risk"),IF($E108&lt;=Analysis!$P$2,"Loyal","Dormant"))</f>
        <v/>
      </c>
    </row>
    <row r="109">
      <c r="A109" s="10" t="inlineStr">
        <is>
          <t>C3107</t>
        </is>
      </c>
      <c r="B109" s="17" t="n">
        <v>3554669</v>
      </c>
      <c r="C109" s="18" t="n">
        <v>15</v>
      </c>
      <c r="D109" s="18" t="n">
        <v>273</v>
      </c>
      <c r="E109" s="18" t="n">
        <v>29</v>
      </c>
      <c r="F109" s="10">
        <f>IF($B109&gt;=Analysis!$P$1,IF($E109&lt;=Analysis!$P$2,"VIP","At risk"),IF($E109&lt;=Analysis!$P$2,"Loyal","Dormant"))</f>
        <v/>
      </c>
    </row>
    <row r="110">
      <c r="A110" s="10" t="inlineStr">
        <is>
          <t>C3108</t>
        </is>
      </c>
      <c r="B110" s="17" t="n">
        <v>500628</v>
      </c>
      <c r="C110" s="18" t="n">
        <v>3</v>
      </c>
      <c r="D110" s="18" t="n">
        <v>621</v>
      </c>
      <c r="E110" s="18" t="n">
        <v>34</v>
      </c>
      <c r="F110" s="10">
        <f>IF($B110&gt;=Analysis!$P$1,IF($E110&lt;=Analysis!$P$2,"VIP","At risk"),IF($E110&lt;=Analysis!$P$2,"Loyal","Dormant"))</f>
        <v/>
      </c>
    </row>
    <row r="111">
      <c r="A111" s="10" t="inlineStr">
        <is>
          <t>C3109</t>
        </is>
      </c>
      <c r="B111" s="17" t="n">
        <v>2874342</v>
      </c>
      <c r="C111" s="18" t="n">
        <v>24</v>
      </c>
      <c r="D111" s="18" t="n">
        <v>386</v>
      </c>
      <c r="E111" s="18" t="n">
        <v>23</v>
      </c>
      <c r="F111" s="10">
        <f>IF($B111&gt;=Analysis!$P$1,IF($E111&lt;=Analysis!$P$2,"VIP","At risk"),IF($E111&lt;=Analysis!$P$2,"Loyal","Dormant"))</f>
        <v/>
      </c>
    </row>
    <row r="112">
      <c r="A112" s="10" t="inlineStr">
        <is>
          <t>C3110</t>
        </is>
      </c>
      <c r="B112" s="17" t="n">
        <v>9862655</v>
      </c>
      <c r="C112" s="18" t="n">
        <v>32</v>
      </c>
      <c r="D112" s="18" t="n">
        <v>632</v>
      </c>
      <c r="E112" s="18" t="n">
        <v>9</v>
      </c>
      <c r="F112" s="10">
        <f>IF($B112&gt;=Analysis!$P$1,IF($E112&lt;=Analysis!$P$2,"VIP","At risk"),IF($E112&lt;=Analysis!$P$2,"Loyal","Dormant"))</f>
        <v/>
      </c>
    </row>
    <row r="113">
      <c r="A113" s="10" t="inlineStr">
        <is>
          <t>C3111</t>
        </is>
      </c>
      <c r="B113" s="17" t="n">
        <v>4702712</v>
      </c>
      <c r="C113" s="18" t="n">
        <v>35</v>
      </c>
      <c r="D113" s="18" t="n">
        <v>733</v>
      </c>
      <c r="E113" s="18" t="n">
        <v>16</v>
      </c>
      <c r="F113" s="10">
        <f>IF($B113&gt;=Analysis!$P$1,IF($E113&lt;=Analysis!$P$2,"VIP","At risk"),IF($E113&lt;=Analysis!$P$2,"Loyal","Dormant"))</f>
        <v/>
      </c>
    </row>
    <row r="114">
      <c r="A114" s="10" t="inlineStr">
        <is>
          <t>C3112</t>
        </is>
      </c>
      <c r="B114" s="17" t="n">
        <v>5066714</v>
      </c>
      <c r="C114" s="18" t="n">
        <v>14</v>
      </c>
      <c r="D114" s="18" t="n">
        <v>443</v>
      </c>
      <c r="E114" s="18" t="n">
        <v>19</v>
      </c>
      <c r="F114" s="10">
        <f>IF($B114&gt;=Analysis!$P$1,IF($E114&lt;=Analysis!$P$2,"VIP","At risk"),IF($E114&lt;=Analysis!$P$2,"Loyal","Dormant"))</f>
        <v/>
      </c>
    </row>
    <row r="115">
      <c r="A115" s="10" t="inlineStr">
        <is>
          <t>C3113</t>
        </is>
      </c>
      <c r="B115" s="17" t="n">
        <v>1371723</v>
      </c>
      <c r="C115" s="18" t="n">
        <v>3</v>
      </c>
      <c r="D115" s="18" t="n">
        <v>25</v>
      </c>
      <c r="E115" s="18" t="n">
        <v>4</v>
      </c>
      <c r="F115" s="10">
        <f>IF($B115&gt;=Analysis!$P$1,IF($E115&lt;=Analysis!$P$2,"VIP","At risk"),IF($E115&lt;=Analysis!$P$2,"Loyal","Dormant"))</f>
        <v/>
      </c>
    </row>
    <row r="116">
      <c r="A116" s="10" t="inlineStr">
        <is>
          <t>C3114</t>
        </is>
      </c>
      <c r="B116" s="17" t="n">
        <v>2600781</v>
      </c>
      <c r="C116" s="18" t="n">
        <v>13</v>
      </c>
      <c r="D116" s="18" t="n">
        <v>593</v>
      </c>
      <c r="E116" s="18" t="n">
        <v>21</v>
      </c>
      <c r="F116" s="10">
        <f>IF($B116&gt;=Analysis!$P$1,IF($E116&lt;=Analysis!$P$2,"VIP","At risk"),IF($E116&lt;=Analysis!$P$2,"Loyal","Dormant"))</f>
        <v/>
      </c>
    </row>
    <row r="117">
      <c r="A117" s="10" t="inlineStr">
        <is>
          <t>C3115</t>
        </is>
      </c>
      <c r="B117" s="17" t="n">
        <v>203038</v>
      </c>
      <c r="C117" s="18" t="n">
        <v>1</v>
      </c>
      <c r="D117" s="18" t="n">
        <v>84</v>
      </c>
      <c r="E117" s="18" t="n">
        <v>1</v>
      </c>
      <c r="F117" s="10">
        <f>IF($B117&gt;=Analysis!$P$1,IF($E117&lt;=Analysis!$P$2,"VIP","At risk"),IF($E117&lt;=Analysis!$P$2,"Loyal","Dormant"))</f>
        <v/>
      </c>
    </row>
    <row r="118">
      <c r="A118" s="10" t="inlineStr">
        <is>
          <t>C3116</t>
        </is>
      </c>
      <c r="B118" s="17" t="n">
        <v>924213</v>
      </c>
      <c r="C118" s="18" t="n">
        <v>3</v>
      </c>
      <c r="D118" s="18" t="n">
        <v>507</v>
      </c>
      <c r="E118" s="18" t="n">
        <v>94</v>
      </c>
      <c r="F118" s="10">
        <f>IF($B118&gt;=Analysis!$P$1,IF($E118&lt;=Analysis!$P$2,"VIP","At risk"),IF($E118&lt;=Analysis!$P$2,"Loyal","Dormant"))</f>
        <v/>
      </c>
    </row>
    <row r="119">
      <c r="A119" s="10" t="inlineStr">
        <is>
          <t>C3117</t>
        </is>
      </c>
      <c r="B119" s="17" t="n">
        <v>2605339</v>
      </c>
      <c r="C119" s="18" t="n">
        <v>16</v>
      </c>
      <c r="D119" s="18" t="n">
        <v>208</v>
      </c>
      <c r="E119" s="18" t="n">
        <v>31</v>
      </c>
      <c r="F119" s="10">
        <f>IF($B119&gt;=Analysis!$P$1,IF($E119&lt;=Analysis!$P$2,"VIP","At risk"),IF($E119&lt;=Analysis!$P$2,"Loyal","Dormant"))</f>
        <v/>
      </c>
    </row>
    <row r="120">
      <c r="A120" s="10" t="inlineStr">
        <is>
          <t>C3118</t>
        </is>
      </c>
      <c r="B120" s="17" t="n">
        <v>1103056</v>
      </c>
      <c r="C120" s="18" t="n">
        <v>2</v>
      </c>
      <c r="D120" s="18" t="n">
        <v>62</v>
      </c>
      <c r="E120" s="18" t="n">
        <v>6</v>
      </c>
      <c r="F120" s="10">
        <f>IF($B120&gt;=Analysis!$P$1,IF($E120&lt;=Analysis!$P$2,"VIP","At risk"),IF($E120&lt;=Analysis!$P$2,"Loyal","Dormant"))</f>
        <v/>
      </c>
    </row>
    <row r="121">
      <c r="A121" s="10" t="inlineStr">
        <is>
          <t>C3119</t>
        </is>
      </c>
      <c r="B121" s="17" t="n">
        <v>7275522</v>
      </c>
      <c r="C121" s="18" t="n">
        <v>35</v>
      </c>
      <c r="D121" s="18" t="n">
        <v>636</v>
      </c>
      <c r="E121" s="18" t="n">
        <v>1</v>
      </c>
      <c r="F121" s="10">
        <f>IF($B121&gt;=Analysis!$P$1,IF($E121&lt;=Analysis!$P$2,"VIP","At risk"),IF($E121&lt;=Analysis!$P$2,"Loyal","Dormant"))</f>
        <v/>
      </c>
    </row>
    <row r="122">
      <c r="A122" s="10" t="inlineStr">
        <is>
          <t>C3120</t>
        </is>
      </c>
      <c r="B122" s="17" t="n">
        <v>795734</v>
      </c>
      <c r="C122" s="18" t="n">
        <v>3</v>
      </c>
      <c r="D122" s="18" t="n">
        <v>214</v>
      </c>
      <c r="E122" s="18" t="n">
        <v>18</v>
      </c>
      <c r="F122" s="10">
        <f>IF($B122&gt;=Analysis!$P$1,IF($E122&lt;=Analysis!$P$2,"VIP","At risk"),IF($E122&lt;=Analysis!$P$2,"Loyal","Dormant"))</f>
        <v/>
      </c>
    </row>
    <row r="123">
      <c r="A123" s="10" t="inlineStr">
        <is>
          <t>C3121</t>
        </is>
      </c>
      <c r="B123" s="17" t="n">
        <v>979151</v>
      </c>
      <c r="C123" s="18" t="n">
        <v>1</v>
      </c>
      <c r="D123" s="18" t="n">
        <v>343</v>
      </c>
      <c r="E123" s="18" t="n">
        <v>101</v>
      </c>
      <c r="F123" s="10">
        <f>IF($B123&gt;=Analysis!$P$1,IF($E123&lt;=Analysis!$P$2,"VIP","At risk"),IF($E123&lt;=Analysis!$P$2,"Loyal","Dormant"))</f>
        <v/>
      </c>
    </row>
    <row r="124">
      <c r="A124" s="10" t="inlineStr">
        <is>
          <t>C3122</t>
        </is>
      </c>
      <c r="B124" s="17" t="n">
        <v>3350285</v>
      </c>
      <c r="C124" s="18" t="n">
        <v>13</v>
      </c>
      <c r="D124" s="18" t="n">
        <v>483</v>
      </c>
      <c r="E124" s="18" t="n">
        <v>8</v>
      </c>
      <c r="F124" s="10">
        <f>IF($B124&gt;=Analysis!$P$1,IF($E124&lt;=Analysis!$P$2,"VIP","At risk"),IF($E124&lt;=Analysis!$P$2,"Loyal","Dormant"))</f>
        <v/>
      </c>
    </row>
    <row r="125">
      <c r="A125" s="10" t="inlineStr">
        <is>
          <t>C3123</t>
        </is>
      </c>
      <c r="B125" s="17" t="n">
        <v>12312730</v>
      </c>
      <c r="C125" s="18" t="n">
        <v>26</v>
      </c>
      <c r="D125" s="18" t="n">
        <v>570</v>
      </c>
      <c r="E125" s="18" t="n">
        <v>7</v>
      </c>
      <c r="F125" s="10">
        <f>IF($B125&gt;=Analysis!$P$1,IF($E125&lt;=Analysis!$P$2,"VIP","At risk"),IF($E125&lt;=Analysis!$P$2,"Loyal","Dormant"))</f>
        <v/>
      </c>
    </row>
    <row r="126">
      <c r="A126" s="10" t="inlineStr">
        <is>
          <t>C3124</t>
        </is>
      </c>
      <c r="B126" s="17" t="n">
        <v>1841425</v>
      </c>
      <c r="C126" s="18" t="n">
        <v>6</v>
      </c>
      <c r="D126" s="18" t="n">
        <v>95</v>
      </c>
      <c r="E126" s="18" t="n">
        <v>29</v>
      </c>
      <c r="F126" s="10">
        <f>IF($B126&gt;=Analysis!$P$1,IF($E126&lt;=Analysis!$P$2,"VIP","At risk"),IF($E126&lt;=Analysis!$P$2,"Loyal","Dormant"))</f>
        <v/>
      </c>
    </row>
    <row r="127">
      <c r="A127" s="10" t="inlineStr">
        <is>
          <t>C3125</t>
        </is>
      </c>
      <c r="B127" s="17" t="n">
        <v>1042056</v>
      </c>
      <c r="C127" s="18" t="n">
        <v>3</v>
      </c>
      <c r="D127" s="18" t="n">
        <v>81</v>
      </c>
      <c r="E127" s="18" t="n">
        <v>3</v>
      </c>
      <c r="F127" s="10">
        <f>IF($B127&gt;=Analysis!$P$1,IF($E127&lt;=Analysis!$P$2,"VIP","At risk"),IF($E127&lt;=Analysis!$P$2,"Loyal","Dormant"))</f>
        <v/>
      </c>
    </row>
    <row r="128">
      <c r="A128" s="10" t="inlineStr">
        <is>
          <t>C3126</t>
        </is>
      </c>
      <c r="B128" s="17" t="n">
        <v>2204534</v>
      </c>
      <c r="C128" s="18" t="n">
        <v>6</v>
      </c>
      <c r="D128" s="18" t="n">
        <v>236</v>
      </c>
      <c r="E128" s="18" t="n">
        <v>19</v>
      </c>
      <c r="F128" s="10">
        <f>IF($B128&gt;=Analysis!$P$1,IF($E128&lt;=Analysis!$P$2,"VIP","At risk"),IF($E128&lt;=Analysis!$P$2,"Loyal","Dormant"))</f>
        <v/>
      </c>
    </row>
    <row r="129">
      <c r="A129" s="10" t="inlineStr">
        <is>
          <t>C3127</t>
        </is>
      </c>
      <c r="B129" s="17" t="n">
        <v>1108616</v>
      </c>
      <c r="C129" s="18" t="n">
        <v>4</v>
      </c>
      <c r="D129" s="18" t="n">
        <v>21</v>
      </c>
      <c r="E129" s="18" t="n">
        <v>30</v>
      </c>
      <c r="F129" s="10">
        <f>IF($B129&gt;=Analysis!$P$1,IF($E129&lt;=Analysis!$P$2,"VIP","At risk"),IF($E129&lt;=Analysis!$P$2,"Loyal","Dormant"))</f>
        <v/>
      </c>
    </row>
    <row r="130">
      <c r="A130" s="10" t="inlineStr">
        <is>
          <t>C3128</t>
        </is>
      </c>
      <c r="B130" s="17" t="n">
        <v>1810341</v>
      </c>
      <c r="C130" s="18" t="n">
        <v>5</v>
      </c>
      <c r="D130" s="18" t="n">
        <v>387</v>
      </c>
      <c r="E130" s="18" t="n">
        <v>30</v>
      </c>
      <c r="F130" s="10">
        <f>IF($B130&gt;=Analysis!$P$1,IF($E130&lt;=Analysis!$P$2,"VIP","At risk"),IF($E130&lt;=Analysis!$P$2,"Loyal","Dormant"))</f>
        <v/>
      </c>
    </row>
    <row r="131">
      <c r="A131" s="10" t="inlineStr">
        <is>
          <t>C3129</t>
        </is>
      </c>
      <c r="B131" s="17" t="n">
        <v>2832816</v>
      </c>
      <c r="C131" s="18" t="n">
        <v>14</v>
      </c>
      <c r="D131" s="18" t="n">
        <v>438</v>
      </c>
      <c r="E131" s="18" t="n">
        <v>13</v>
      </c>
      <c r="F131" s="10">
        <f>IF($B131&gt;=Analysis!$P$1,IF($E131&lt;=Analysis!$P$2,"VIP","At risk"),IF($E131&lt;=Analysis!$P$2,"Loyal","Dormant"))</f>
        <v/>
      </c>
    </row>
    <row r="132">
      <c r="A132" s="10" t="inlineStr">
        <is>
          <t>C3130</t>
        </is>
      </c>
      <c r="B132" s="17" t="n">
        <v>478292</v>
      </c>
      <c r="C132" s="18" t="n">
        <v>3</v>
      </c>
      <c r="D132" s="18" t="n">
        <v>21</v>
      </c>
      <c r="E132" s="18" t="n">
        <v>16</v>
      </c>
      <c r="F132" s="10">
        <f>IF($B132&gt;=Analysis!$P$1,IF($E132&lt;=Analysis!$P$2,"VIP","At risk"),IF($E132&lt;=Analysis!$P$2,"Loyal","Dormant"))</f>
        <v/>
      </c>
    </row>
    <row r="133">
      <c r="A133" s="10" t="inlineStr">
        <is>
          <t>C3131</t>
        </is>
      </c>
      <c r="B133" s="17" t="n">
        <v>11525206</v>
      </c>
      <c r="C133" s="18" t="n">
        <v>25</v>
      </c>
      <c r="D133" s="18" t="n">
        <v>615</v>
      </c>
      <c r="E133" s="18" t="n">
        <v>5</v>
      </c>
      <c r="F133" s="10">
        <f>IF($B133&gt;=Analysis!$P$1,IF($E133&lt;=Analysis!$P$2,"VIP","At risk"),IF($E133&lt;=Analysis!$P$2,"Loyal","Dormant"))</f>
        <v/>
      </c>
    </row>
    <row r="134">
      <c r="A134" s="10" t="inlineStr">
        <is>
          <t>C3132</t>
        </is>
      </c>
      <c r="B134" s="17" t="n">
        <v>4187588</v>
      </c>
      <c r="C134" s="18" t="n">
        <v>25</v>
      </c>
      <c r="D134" s="18" t="n">
        <v>575</v>
      </c>
      <c r="E134" s="18" t="n">
        <v>19</v>
      </c>
      <c r="F134" s="10">
        <f>IF($B134&gt;=Analysis!$P$1,IF($E134&lt;=Analysis!$P$2,"VIP","At risk"),IF($E134&lt;=Analysis!$P$2,"Loyal","Dormant"))</f>
        <v/>
      </c>
    </row>
    <row r="135">
      <c r="A135" s="10" t="inlineStr">
        <is>
          <t>C3133</t>
        </is>
      </c>
      <c r="B135" s="17" t="n">
        <v>4361889</v>
      </c>
      <c r="C135" s="18" t="n">
        <v>17</v>
      </c>
      <c r="D135" s="18" t="n">
        <v>386</v>
      </c>
      <c r="E135" s="18" t="n">
        <v>9</v>
      </c>
      <c r="F135" s="10">
        <f>IF($B135&gt;=Analysis!$P$1,IF($E135&lt;=Analysis!$P$2,"VIP","At risk"),IF($E135&lt;=Analysis!$P$2,"Loyal","Dormant"))</f>
        <v/>
      </c>
    </row>
    <row r="136">
      <c r="A136" s="10" t="inlineStr">
        <is>
          <t>C3134</t>
        </is>
      </c>
      <c r="B136" s="17" t="n">
        <v>2294730</v>
      </c>
      <c r="C136" s="18" t="n">
        <v>14</v>
      </c>
      <c r="D136" s="18" t="n">
        <v>321</v>
      </c>
      <c r="E136" s="18" t="n">
        <v>2</v>
      </c>
      <c r="F136" s="10">
        <f>IF($B136&gt;=Analysis!$P$1,IF($E136&lt;=Analysis!$P$2,"VIP","At risk"),IF($E136&lt;=Analysis!$P$2,"Loyal","Dormant"))</f>
        <v/>
      </c>
    </row>
    <row r="137">
      <c r="A137" s="10" t="inlineStr">
        <is>
          <t>C3135</t>
        </is>
      </c>
      <c r="B137" s="17" t="n">
        <v>4266676</v>
      </c>
      <c r="C137" s="18" t="n">
        <v>12</v>
      </c>
      <c r="D137" s="18" t="n">
        <v>479</v>
      </c>
      <c r="E137" s="18" t="n">
        <v>17</v>
      </c>
      <c r="F137" s="10">
        <f>IF($B137&gt;=Analysis!$P$1,IF($E137&lt;=Analysis!$P$2,"VIP","At risk"),IF($E137&lt;=Analysis!$P$2,"Loyal","Dormant"))</f>
        <v/>
      </c>
    </row>
    <row r="138">
      <c r="A138" s="10" t="inlineStr">
        <is>
          <t>C3136</t>
        </is>
      </c>
      <c r="B138" s="17" t="n">
        <v>1223133</v>
      </c>
      <c r="C138" s="18" t="n">
        <v>3</v>
      </c>
      <c r="D138" s="18" t="n">
        <v>382</v>
      </c>
      <c r="E138" s="18" t="n">
        <v>44</v>
      </c>
      <c r="F138" s="10">
        <f>IF($B138&gt;=Analysis!$P$1,IF($E138&lt;=Analysis!$P$2,"VIP","At risk"),IF($E138&lt;=Analysis!$P$2,"Loyal","Dormant"))</f>
        <v/>
      </c>
    </row>
    <row r="139">
      <c r="A139" s="10" t="inlineStr">
        <is>
          <t>C3137</t>
        </is>
      </c>
      <c r="B139" s="17" t="n">
        <v>964104</v>
      </c>
      <c r="C139" s="18" t="n">
        <v>2</v>
      </c>
      <c r="D139" s="18" t="n">
        <v>244</v>
      </c>
      <c r="E139" s="18" t="n">
        <v>11</v>
      </c>
      <c r="F139" s="10">
        <f>IF($B139&gt;=Analysis!$P$1,IF($E139&lt;=Analysis!$P$2,"VIP","At risk"),IF($E139&lt;=Analysis!$P$2,"Loyal","Dormant"))</f>
        <v/>
      </c>
    </row>
    <row r="140">
      <c r="A140" s="10" t="inlineStr">
        <is>
          <t>C3138</t>
        </is>
      </c>
      <c r="B140" s="17" t="n">
        <v>9742815</v>
      </c>
      <c r="C140" s="18" t="n">
        <v>27</v>
      </c>
      <c r="D140" s="18" t="n">
        <v>380</v>
      </c>
      <c r="E140" s="18" t="n">
        <v>19</v>
      </c>
      <c r="F140" s="10">
        <f>IF($B140&gt;=Analysis!$P$1,IF($E140&lt;=Analysis!$P$2,"VIP","At risk"),IF($E140&lt;=Analysis!$P$2,"Loyal","Dormant"))</f>
        <v/>
      </c>
    </row>
    <row r="141">
      <c r="A141" s="10" t="inlineStr">
        <is>
          <t>C3139</t>
        </is>
      </c>
      <c r="B141" s="17" t="n">
        <v>4598098</v>
      </c>
      <c r="C141" s="18" t="n">
        <v>15</v>
      </c>
      <c r="D141" s="18" t="n">
        <v>221</v>
      </c>
      <c r="E141" s="18" t="n">
        <v>23</v>
      </c>
      <c r="F141" s="10">
        <f>IF($B141&gt;=Analysis!$P$1,IF($E141&lt;=Analysis!$P$2,"VIP","At risk"),IF($E141&lt;=Analysis!$P$2,"Loyal","Dormant"))</f>
        <v/>
      </c>
    </row>
    <row r="142">
      <c r="A142" s="10" t="inlineStr">
        <is>
          <t>C3140</t>
        </is>
      </c>
      <c r="B142" s="17" t="n">
        <v>841118</v>
      </c>
      <c r="C142" s="18" t="n">
        <v>6</v>
      </c>
      <c r="D142" s="18" t="n">
        <v>267</v>
      </c>
      <c r="E142" s="18" t="n">
        <v>118</v>
      </c>
      <c r="F142" s="10">
        <f>IF($B142&gt;=Analysis!$P$1,IF($E142&lt;=Analysis!$P$2,"VIP","At risk"),IF($E142&lt;=Analysis!$P$2,"Loyal","Dormant"))</f>
        <v/>
      </c>
    </row>
    <row r="143">
      <c r="A143" s="10" t="inlineStr">
        <is>
          <t>C3141</t>
        </is>
      </c>
      <c r="B143" s="17" t="n">
        <v>7823464</v>
      </c>
      <c r="C143" s="18" t="n">
        <v>40</v>
      </c>
      <c r="D143" s="18" t="n">
        <v>557</v>
      </c>
      <c r="E143" s="18" t="n">
        <v>7</v>
      </c>
      <c r="F143" s="10">
        <f>IF($B143&gt;=Analysis!$P$1,IF($E143&lt;=Analysis!$P$2,"VIP","At risk"),IF($E143&lt;=Analysis!$P$2,"Loyal","Dormant"))</f>
        <v/>
      </c>
    </row>
    <row r="144">
      <c r="A144" s="10" t="inlineStr">
        <is>
          <t>C3142</t>
        </is>
      </c>
      <c r="B144" s="17" t="n">
        <v>5186275</v>
      </c>
      <c r="C144" s="18" t="n">
        <v>21</v>
      </c>
      <c r="D144" s="18" t="n">
        <v>607</v>
      </c>
      <c r="E144" s="18" t="n">
        <v>19</v>
      </c>
      <c r="F144" s="10">
        <f>IF($B144&gt;=Analysis!$P$1,IF($E144&lt;=Analysis!$P$2,"VIP","At risk"),IF($E144&lt;=Analysis!$P$2,"Loyal","Dormant"))</f>
        <v/>
      </c>
    </row>
    <row r="145">
      <c r="A145" s="10" t="inlineStr">
        <is>
          <t>C3143</t>
        </is>
      </c>
      <c r="B145" s="17" t="n">
        <v>418572</v>
      </c>
      <c r="C145" s="18" t="n">
        <v>3</v>
      </c>
      <c r="D145" s="18" t="n">
        <v>384</v>
      </c>
      <c r="E145" s="18" t="n">
        <v>53</v>
      </c>
      <c r="F145" s="10">
        <f>IF($B145&gt;=Analysis!$P$1,IF($E145&lt;=Analysis!$P$2,"VIP","At risk"),IF($E145&lt;=Analysis!$P$2,"Loyal","Dormant"))</f>
        <v/>
      </c>
    </row>
    <row r="146">
      <c r="A146" s="10" t="inlineStr">
        <is>
          <t>C3144</t>
        </is>
      </c>
      <c r="B146" s="17" t="n">
        <v>727716</v>
      </c>
      <c r="C146" s="18" t="n">
        <v>4</v>
      </c>
      <c r="D146" s="18" t="n">
        <v>490</v>
      </c>
      <c r="E146" s="18" t="n">
        <v>48</v>
      </c>
      <c r="F146" s="10">
        <f>IF($B146&gt;=Analysis!$P$1,IF($E146&lt;=Analysis!$P$2,"VIP","At risk"),IF($E146&lt;=Analysis!$P$2,"Loyal","Dormant"))</f>
        <v/>
      </c>
    </row>
    <row r="147">
      <c r="A147" s="10" t="inlineStr">
        <is>
          <t>C3145</t>
        </is>
      </c>
      <c r="B147" s="17" t="n">
        <v>10850218</v>
      </c>
      <c r="C147" s="18" t="n">
        <v>20</v>
      </c>
      <c r="D147" s="18" t="n">
        <v>457</v>
      </c>
      <c r="E147" s="18" t="n">
        <v>4</v>
      </c>
      <c r="F147" s="10">
        <f>IF($B147&gt;=Analysis!$P$1,IF($E147&lt;=Analysis!$P$2,"VIP","At risk"),IF($E147&lt;=Analysis!$P$2,"Loyal","Dormant"))</f>
        <v/>
      </c>
    </row>
    <row r="148">
      <c r="A148" s="10" t="inlineStr">
        <is>
          <t>C3146</t>
        </is>
      </c>
      <c r="B148" s="17" t="n">
        <v>4157523</v>
      </c>
      <c r="C148" s="18" t="n">
        <v>18</v>
      </c>
      <c r="D148" s="18" t="n">
        <v>523</v>
      </c>
      <c r="E148" s="18" t="n">
        <v>35</v>
      </c>
      <c r="F148" s="10">
        <f>IF($B148&gt;=Analysis!$P$1,IF($E148&lt;=Analysis!$P$2,"VIP","At risk"),IF($E148&lt;=Analysis!$P$2,"Loyal","Dormant"))</f>
        <v/>
      </c>
    </row>
    <row r="149">
      <c r="A149" s="10" t="inlineStr">
        <is>
          <t>C3147</t>
        </is>
      </c>
      <c r="B149" s="17" t="n">
        <v>1516880</v>
      </c>
      <c r="C149" s="18" t="n">
        <v>1</v>
      </c>
      <c r="D149" s="18" t="n">
        <v>65</v>
      </c>
      <c r="E149" s="18" t="n">
        <v>24</v>
      </c>
      <c r="F149" s="10">
        <f>IF($B149&gt;=Analysis!$P$1,IF($E149&lt;=Analysis!$P$2,"VIP","At risk"),IF($E149&lt;=Analysis!$P$2,"Loyal","Dormant"))</f>
        <v/>
      </c>
    </row>
    <row r="150">
      <c r="A150" s="10" t="inlineStr">
        <is>
          <t>C3148</t>
        </is>
      </c>
      <c r="B150" s="17" t="n">
        <v>1091370</v>
      </c>
      <c r="C150" s="18" t="n">
        <v>3</v>
      </c>
      <c r="D150" s="18" t="n">
        <v>179</v>
      </c>
      <c r="E150" s="18" t="n">
        <v>153</v>
      </c>
      <c r="F150" s="10">
        <f>IF($B150&gt;=Analysis!$P$1,IF($E150&lt;=Analysis!$P$2,"VIP","At risk"),IF($E150&lt;=Analysis!$P$2,"Loyal","Dormant"))</f>
        <v/>
      </c>
    </row>
    <row r="151">
      <c r="A151" s="10" t="inlineStr">
        <is>
          <t>C3149</t>
        </is>
      </c>
      <c r="B151" s="17" t="n">
        <v>1194564</v>
      </c>
      <c r="C151" s="18" t="n">
        <v>7</v>
      </c>
      <c r="D151" s="18" t="n">
        <v>323</v>
      </c>
      <c r="E151" s="18" t="n">
        <v>56</v>
      </c>
      <c r="F151" s="10">
        <f>IF($B151&gt;=Analysis!$P$1,IF($E151&lt;=Analysis!$P$2,"VIP","At risk"),IF($E151&lt;=Analysis!$P$2,"Loyal","Dormant"))</f>
        <v/>
      </c>
    </row>
    <row r="152">
      <c r="A152" s="10" t="inlineStr">
        <is>
          <t>C3150</t>
        </is>
      </c>
      <c r="B152" s="17" t="n">
        <v>1029381</v>
      </c>
      <c r="C152" s="18" t="n">
        <v>3</v>
      </c>
      <c r="D152" s="18" t="n">
        <v>364</v>
      </c>
      <c r="E152" s="18" t="n">
        <v>16</v>
      </c>
      <c r="F152" s="10">
        <f>IF($B152&gt;=Analysis!$P$1,IF($E152&lt;=Analysis!$P$2,"VIP","At risk"),IF($E152&lt;=Analysis!$P$2,"Loyal","Dormant"))</f>
        <v/>
      </c>
    </row>
    <row r="153">
      <c r="A153" s="10" t="inlineStr">
        <is>
          <t>C3151</t>
        </is>
      </c>
      <c r="B153" s="17" t="n">
        <v>3154705</v>
      </c>
      <c r="C153" s="18" t="n">
        <v>10</v>
      </c>
      <c r="D153" s="18" t="n">
        <v>319</v>
      </c>
      <c r="E153" s="18" t="n">
        <v>37</v>
      </c>
      <c r="F153" s="10">
        <f>IF($B153&gt;=Analysis!$P$1,IF($E153&lt;=Analysis!$P$2,"VIP","At risk"),IF($E153&lt;=Analysis!$P$2,"Loyal","Dormant"))</f>
        <v/>
      </c>
    </row>
    <row r="154">
      <c r="A154" s="10" t="inlineStr">
        <is>
          <t>C3152</t>
        </is>
      </c>
      <c r="B154" s="17" t="n">
        <v>3521761</v>
      </c>
      <c r="C154" s="18" t="n">
        <v>13</v>
      </c>
      <c r="D154" s="18" t="n">
        <v>528</v>
      </c>
      <c r="E154" s="18" t="n">
        <v>21</v>
      </c>
      <c r="F154" s="10">
        <f>IF($B154&gt;=Analysis!$P$1,IF($E154&lt;=Analysis!$P$2,"VIP","At risk"),IF($E154&lt;=Analysis!$P$2,"Loyal","Dormant"))</f>
        <v/>
      </c>
    </row>
    <row r="155">
      <c r="A155" s="10" t="inlineStr">
        <is>
          <t>C3153</t>
        </is>
      </c>
      <c r="B155" s="17" t="n">
        <v>1533003</v>
      </c>
      <c r="C155" s="18" t="n">
        <v>1</v>
      </c>
      <c r="D155" s="18" t="n">
        <v>98</v>
      </c>
      <c r="E155" s="18" t="n">
        <v>16</v>
      </c>
      <c r="F155" s="10">
        <f>IF($B155&gt;=Analysis!$P$1,IF($E155&lt;=Analysis!$P$2,"VIP","At risk"),IF($E155&lt;=Analysis!$P$2,"Loyal","Dormant"))</f>
        <v/>
      </c>
    </row>
    <row r="156">
      <c r="A156" s="10" t="inlineStr">
        <is>
          <t>C3154</t>
        </is>
      </c>
      <c r="B156" s="17" t="n">
        <v>1198488</v>
      </c>
      <c r="C156" s="18" t="n">
        <v>2</v>
      </c>
      <c r="D156" s="18" t="n">
        <v>425</v>
      </c>
      <c r="E156" s="18" t="n">
        <v>70</v>
      </c>
      <c r="F156" s="10">
        <f>IF($B156&gt;=Analysis!$P$1,IF($E156&lt;=Analysis!$P$2,"VIP","At risk"),IF($E156&lt;=Analysis!$P$2,"Loyal","Dormant"))</f>
        <v/>
      </c>
    </row>
    <row r="157">
      <c r="A157" s="10" t="inlineStr">
        <is>
          <t>C3155</t>
        </is>
      </c>
      <c r="B157" s="17" t="n">
        <v>616271</v>
      </c>
      <c r="C157" s="18" t="n">
        <v>5</v>
      </c>
      <c r="D157" s="18" t="n">
        <v>605</v>
      </c>
      <c r="E157" s="18" t="n">
        <v>74</v>
      </c>
      <c r="F157" s="10">
        <f>IF($B157&gt;=Analysis!$P$1,IF($E157&lt;=Analysis!$P$2,"VIP","At risk"),IF($E157&lt;=Analysis!$P$2,"Loyal","Dormant"))</f>
        <v/>
      </c>
    </row>
    <row r="158">
      <c r="A158" s="10" t="inlineStr">
        <is>
          <t>C3156</t>
        </is>
      </c>
      <c r="B158" s="17" t="n">
        <v>1262143</v>
      </c>
      <c r="C158" s="18" t="n">
        <v>1</v>
      </c>
      <c r="D158" s="18" t="n">
        <v>72</v>
      </c>
      <c r="E158" s="18" t="n">
        <v>22</v>
      </c>
      <c r="F158" s="10">
        <f>IF($B158&gt;=Analysis!$P$1,IF($E158&lt;=Analysis!$P$2,"VIP","At risk"),IF($E158&lt;=Analysis!$P$2,"Loyal","Dormant"))</f>
        <v/>
      </c>
    </row>
    <row r="159">
      <c r="A159" s="10" t="inlineStr">
        <is>
          <t>C3157</t>
        </is>
      </c>
      <c r="B159" s="17" t="n">
        <v>463189</v>
      </c>
      <c r="C159" s="18" t="n">
        <v>6</v>
      </c>
      <c r="D159" s="18" t="n">
        <v>237</v>
      </c>
      <c r="E159" s="18" t="n">
        <v>56</v>
      </c>
      <c r="F159" s="10">
        <f>IF($B159&gt;=Analysis!$P$1,IF($E159&lt;=Analysis!$P$2,"VIP","At risk"),IF($E159&lt;=Analysis!$P$2,"Loyal","Dormant"))</f>
        <v/>
      </c>
    </row>
    <row r="160">
      <c r="A160" s="10" t="inlineStr">
        <is>
          <t>C3158</t>
        </is>
      </c>
      <c r="B160" s="17" t="n">
        <v>4032598</v>
      </c>
      <c r="C160" s="18" t="n">
        <v>21</v>
      </c>
      <c r="D160" s="18" t="n">
        <v>166</v>
      </c>
      <c r="E160" s="18" t="n">
        <v>26</v>
      </c>
      <c r="F160" s="10">
        <f>IF($B160&gt;=Analysis!$P$1,IF($E160&lt;=Analysis!$P$2,"VIP","At risk"),IF($E160&lt;=Analysis!$P$2,"Loyal","Dormant"))</f>
        <v/>
      </c>
    </row>
    <row r="161">
      <c r="A161" s="10" t="inlineStr">
        <is>
          <t>C3159</t>
        </is>
      </c>
      <c r="B161" s="17" t="n">
        <v>1950818</v>
      </c>
      <c r="C161" s="18" t="n">
        <v>3</v>
      </c>
      <c r="D161" s="18" t="n">
        <v>524</v>
      </c>
      <c r="E161" s="18" t="n">
        <v>1</v>
      </c>
      <c r="F161" s="10">
        <f>IF($B161&gt;=Analysis!$P$1,IF($E161&lt;=Analysis!$P$2,"VIP","At risk"),IF($E161&lt;=Analysis!$P$2,"Loyal","Dormant"))</f>
        <v/>
      </c>
    </row>
    <row r="162">
      <c r="A162" s="10" t="inlineStr">
        <is>
          <t>C3160</t>
        </is>
      </c>
      <c r="B162" s="17" t="n">
        <v>3786453</v>
      </c>
      <c r="C162" s="18" t="n">
        <v>15</v>
      </c>
      <c r="D162" s="18" t="n">
        <v>326</v>
      </c>
      <c r="E162" s="18" t="n">
        <v>26</v>
      </c>
      <c r="F162" s="10">
        <f>IF($B162&gt;=Analysis!$P$1,IF($E162&lt;=Analysis!$P$2,"VIP","At risk"),IF($E162&lt;=Analysis!$P$2,"Loyal","Dormant"))</f>
        <v/>
      </c>
    </row>
    <row r="163">
      <c r="A163" s="10" t="inlineStr">
        <is>
          <t>C3161</t>
        </is>
      </c>
      <c r="B163" s="17" t="n">
        <v>438651</v>
      </c>
      <c r="C163" s="18" t="n">
        <v>4</v>
      </c>
      <c r="D163" s="18" t="n">
        <v>511</v>
      </c>
      <c r="E163" s="18" t="n">
        <v>48</v>
      </c>
      <c r="F163" s="10">
        <f>IF($B163&gt;=Analysis!$P$1,IF($E163&lt;=Analysis!$P$2,"VIP","At risk"),IF($E163&lt;=Analysis!$P$2,"Loyal","Dormant"))</f>
        <v/>
      </c>
    </row>
    <row r="164">
      <c r="A164" s="10" t="inlineStr">
        <is>
          <t>C3162</t>
        </is>
      </c>
      <c r="B164" s="17" t="n">
        <v>1816255</v>
      </c>
      <c r="C164" s="18" t="n">
        <v>2</v>
      </c>
      <c r="D164" s="18" t="n">
        <v>71</v>
      </c>
      <c r="E164" s="18" t="n">
        <v>13</v>
      </c>
      <c r="F164" s="10">
        <f>IF($B164&gt;=Analysis!$P$1,IF($E164&lt;=Analysis!$P$2,"VIP","At risk"),IF($E164&lt;=Analysis!$P$2,"Loyal","Dormant"))</f>
        <v/>
      </c>
    </row>
    <row r="165">
      <c r="A165" s="10" t="inlineStr">
        <is>
          <t>C3163</t>
        </is>
      </c>
      <c r="B165" s="17" t="n">
        <v>1081638</v>
      </c>
      <c r="C165" s="18" t="n">
        <v>3</v>
      </c>
      <c r="D165" s="18" t="n">
        <v>22</v>
      </c>
      <c r="E165" s="18" t="n">
        <v>23</v>
      </c>
      <c r="F165" s="10">
        <f>IF($B165&gt;=Analysis!$P$1,IF($E165&lt;=Analysis!$P$2,"VIP","At risk"),IF($E165&lt;=Analysis!$P$2,"Loyal","Dormant"))</f>
        <v/>
      </c>
    </row>
    <row r="166">
      <c r="A166" s="10" t="inlineStr">
        <is>
          <t>C3164</t>
        </is>
      </c>
      <c r="B166" s="17" t="n">
        <v>1887559</v>
      </c>
      <c r="C166" s="18" t="n">
        <v>13</v>
      </c>
      <c r="D166" s="18" t="n">
        <v>355</v>
      </c>
      <c r="E166" s="18" t="n">
        <v>23</v>
      </c>
      <c r="F166" s="10">
        <f>IF($B166&gt;=Analysis!$P$1,IF($E166&lt;=Analysis!$P$2,"VIP","At risk"),IF($E166&lt;=Analysis!$P$2,"Loyal","Dormant"))</f>
        <v/>
      </c>
    </row>
    <row r="167">
      <c r="A167" s="10" t="inlineStr">
        <is>
          <t>C3165</t>
        </is>
      </c>
      <c r="B167" s="17" t="n">
        <v>599877</v>
      </c>
      <c r="C167" s="18" t="n">
        <v>6</v>
      </c>
      <c r="D167" s="18" t="n">
        <v>109</v>
      </c>
      <c r="E167" s="18" t="n">
        <v>35</v>
      </c>
      <c r="F167" s="10">
        <f>IF($B167&gt;=Analysis!$P$1,IF($E167&lt;=Analysis!$P$2,"VIP","At risk"),IF($E167&lt;=Analysis!$P$2,"Loyal","Dormant"))</f>
        <v/>
      </c>
    </row>
    <row r="168">
      <c r="A168" s="10" t="inlineStr">
        <is>
          <t>C3166</t>
        </is>
      </c>
      <c r="B168" s="17" t="n">
        <v>2341485</v>
      </c>
      <c r="C168" s="18" t="n">
        <v>18</v>
      </c>
      <c r="D168" s="18" t="n">
        <v>312</v>
      </c>
      <c r="E168" s="18" t="n">
        <v>41</v>
      </c>
      <c r="F168" s="10">
        <f>IF($B168&gt;=Analysis!$P$1,IF($E168&lt;=Analysis!$P$2,"VIP","At risk"),IF($E168&lt;=Analysis!$P$2,"Loyal","Dormant"))</f>
        <v/>
      </c>
    </row>
    <row r="169">
      <c r="A169" s="10" t="inlineStr">
        <is>
          <t>C3167</t>
        </is>
      </c>
      <c r="B169" s="17" t="n">
        <v>747669</v>
      </c>
      <c r="C169" s="18" t="n">
        <v>2</v>
      </c>
      <c r="D169" s="18" t="n">
        <v>236</v>
      </c>
      <c r="E169" s="18" t="n">
        <v>1</v>
      </c>
      <c r="F169" s="10">
        <f>IF($B169&gt;=Analysis!$P$1,IF($E169&lt;=Analysis!$P$2,"VIP","At risk"),IF($E169&lt;=Analysis!$P$2,"Loyal","Dormant"))</f>
        <v/>
      </c>
    </row>
    <row r="170">
      <c r="A170" s="10" t="inlineStr">
        <is>
          <t>C3168</t>
        </is>
      </c>
      <c r="B170" s="17" t="n">
        <v>897664</v>
      </c>
      <c r="C170" s="18" t="n">
        <v>4</v>
      </c>
      <c r="D170" s="18" t="n">
        <v>465</v>
      </c>
      <c r="E170" s="18" t="n">
        <v>45</v>
      </c>
      <c r="F170" s="10">
        <f>IF($B170&gt;=Analysis!$P$1,IF($E170&lt;=Analysis!$P$2,"VIP","At risk"),IF($E170&lt;=Analysis!$P$2,"Loyal","Dormant"))</f>
        <v/>
      </c>
    </row>
    <row r="171">
      <c r="A171" s="10" t="inlineStr">
        <is>
          <t>C3169</t>
        </is>
      </c>
      <c r="B171" s="17" t="n">
        <v>488303</v>
      </c>
      <c r="C171" s="18" t="n">
        <v>3</v>
      </c>
      <c r="D171" s="18" t="n">
        <v>409</v>
      </c>
      <c r="E171" s="18" t="n">
        <v>90</v>
      </c>
      <c r="F171" s="10">
        <f>IF($B171&gt;=Analysis!$P$1,IF($E171&lt;=Analysis!$P$2,"VIP","At risk"),IF($E171&lt;=Analysis!$P$2,"Loyal","Dormant"))</f>
        <v/>
      </c>
    </row>
    <row r="172">
      <c r="A172" s="10" t="inlineStr">
        <is>
          <t>C3170</t>
        </is>
      </c>
      <c r="B172" s="17" t="n">
        <v>2485545</v>
      </c>
      <c r="C172" s="18" t="n">
        <v>6</v>
      </c>
      <c r="D172" s="18" t="n">
        <v>15</v>
      </c>
      <c r="E172" s="18" t="n">
        <v>9</v>
      </c>
      <c r="F172" s="10">
        <f>IF($B172&gt;=Analysis!$P$1,IF($E172&lt;=Analysis!$P$2,"VIP","At risk"),IF($E172&lt;=Analysis!$P$2,"Loyal","Dormant"))</f>
        <v/>
      </c>
    </row>
    <row r="173">
      <c r="A173" s="10" t="inlineStr">
        <is>
          <t>C3171</t>
        </is>
      </c>
      <c r="B173" s="17" t="n">
        <v>2612497</v>
      </c>
      <c r="C173" s="18" t="n">
        <v>17</v>
      </c>
      <c r="D173" s="18" t="n">
        <v>511</v>
      </c>
      <c r="E173" s="18" t="n">
        <v>10</v>
      </c>
      <c r="F173" s="10">
        <f>IF($B173&gt;=Analysis!$P$1,IF($E173&lt;=Analysis!$P$2,"VIP","At risk"),IF($E173&lt;=Analysis!$P$2,"Loyal","Dormant"))</f>
        <v/>
      </c>
    </row>
    <row r="174">
      <c r="A174" s="10" t="inlineStr">
        <is>
          <t>C3172</t>
        </is>
      </c>
      <c r="B174" s="17" t="n">
        <v>4765613</v>
      </c>
      <c r="C174" s="18" t="n">
        <v>18</v>
      </c>
      <c r="D174" s="18" t="n">
        <v>439</v>
      </c>
      <c r="E174" s="18" t="n">
        <v>11</v>
      </c>
      <c r="F174" s="10">
        <f>IF($B174&gt;=Analysis!$P$1,IF($E174&lt;=Analysis!$P$2,"VIP","At risk"),IF($E174&lt;=Analysis!$P$2,"Loyal","Dormant"))</f>
        <v/>
      </c>
    </row>
    <row r="175">
      <c r="A175" s="10" t="inlineStr">
        <is>
          <t>C3173</t>
        </is>
      </c>
      <c r="B175" s="17" t="n">
        <v>1132143</v>
      </c>
      <c r="C175" s="18" t="n">
        <v>4</v>
      </c>
      <c r="D175" s="18" t="n">
        <v>507</v>
      </c>
      <c r="E175" s="18" t="n">
        <v>126</v>
      </c>
      <c r="F175" s="10">
        <f>IF($B175&gt;=Analysis!$P$1,IF($E175&lt;=Analysis!$P$2,"VIP","At risk"),IF($E175&lt;=Analysis!$P$2,"Loyal","Dormant"))</f>
        <v/>
      </c>
    </row>
    <row r="176">
      <c r="A176" s="10" t="inlineStr">
        <is>
          <t>C3174</t>
        </is>
      </c>
      <c r="B176" s="17" t="n">
        <v>1138434</v>
      </c>
      <c r="C176" s="18" t="n">
        <v>2</v>
      </c>
      <c r="D176" s="18" t="n">
        <v>389</v>
      </c>
      <c r="E176" s="18" t="n">
        <v>33</v>
      </c>
      <c r="F176" s="10">
        <f>IF($B176&gt;=Analysis!$P$1,IF($E176&lt;=Analysis!$P$2,"VIP","At risk"),IF($E176&lt;=Analysis!$P$2,"Loyal","Dormant"))</f>
        <v/>
      </c>
    </row>
    <row r="177">
      <c r="A177" s="10" t="inlineStr">
        <is>
          <t>C3175</t>
        </is>
      </c>
      <c r="B177" s="17" t="n">
        <v>1227203</v>
      </c>
      <c r="C177" s="18" t="n">
        <v>5</v>
      </c>
      <c r="D177" s="18" t="n">
        <v>482</v>
      </c>
      <c r="E177" s="18" t="n">
        <v>132</v>
      </c>
      <c r="F177" s="10">
        <f>IF($B177&gt;=Analysis!$P$1,IF($E177&lt;=Analysis!$P$2,"VIP","At risk"),IF($E177&lt;=Analysis!$P$2,"Loyal","Dormant"))</f>
        <v/>
      </c>
    </row>
    <row r="178">
      <c r="A178" s="10" t="inlineStr">
        <is>
          <t>C3176</t>
        </is>
      </c>
      <c r="B178" s="17" t="n">
        <v>1052127</v>
      </c>
      <c r="C178" s="18" t="n">
        <v>3</v>
      </c>
      <c r="D178" s="18" t="n">
        <v>13</v>
      </c>
      <c r="E178" s="18" t="n">
        <v>8</v>
      </c>
      <c r="F178" s="10">
        <f>IF($B178&gt;=Analysis!$P$1,IF($E178&lt;=Analysis!$P$2,"VIP","At risk"),IF($E178&lt;=Analysis!$P$2,"Loyal","Dormant"))</f>
        <v/>
      </c>
    </row>
    <row r="179">
      <c r="A179" s="10" t="inlineStr">
        <is>
          <t>C3177</t>
        </is>
      </c>
      <c r="B179" s="17" t="n">
        <v>1320577</v>
      </c>
      <c r="C179" s="18" t="n">
        <v>1</v>
      </c>
      <c r="D179" s="18" t="n">
        <v>40</v>
      </c>
      <c r="E179" s="18" t="n">
        <v>15</v>
      </c>
      <c r="F179" s="10">
        <f>IF($B179&gt;=Analysis!$P$1,IF($E179&lt;=Analysis!$P$2,"VIP","At risk"),IF($E179&lt;=Analysis!$P$2,"Loyal","Dormant"))</f>
        <v/>
      </c>
    </row>
    <row r="180">
      <c r="A180" s="10" t="inlineStr">
        <is>
          <t>C3178</t>
        </is>
      </c>
      <c r="B180" s="17" t="n">
        <v>1015795</v>
      </c>
      <c r="C180" s="18" t="n">
        <v>1</v>
      </c>
      <c r="D180" s="18" t="n">
        <v>11</v>
      </c>
      <c r="E180" s="18" t="n">
        <v>1</v>
      </c>
      <c r="F180" s="10">
        <f>IF($B180&gt;=Analysis!$P$1,IF($E180&lt;=Analysis!$P$2,"VIP","At risk"),IF($E180&lt;=Analysis!$P$2,"Loyal","Dormant"))</f>
        <v/>
      </c>
    </row>
    <row r="181">
      <c r="A181" s="10" t="inlineStr">
        <is>
          <t>C3179</t>
        </is>
      </c>
      <c r="B181" s="17" t="n">
        <v>844111</v>
      </c>
      <c r="C181" s="18" t="n">
        <v>5</v>
      </c>
      <c r="D181" s="18" t="n">
        <v>303</v>
      </c>
      <c r="E181" s="18" t="n">
        <v>47</v>
      </c>
      <c r="F181" s="10">
        <f>IF($B181&gt;=Analysis!$P$1,IF($E181&lt;=Analysis!$P$2,"VIP","At risk"),IF($E181&lt;=Analysis!$P$2,"Loyal","Dormant"))</f>
        <v/>
      </c>
    </row>
    <row r="182">
      <c r="A182" s="10" t="inlineStr">
        <is>
          <t>C3180</t>
        </is>
      </c>
      <c r="B182" s="17" t="n">
        <v>1886490</v>
      </c>
      <c r="C182" s="18" t="n">
        <v>3</v>
      </c>
      <c r="D182" s="18" t="n">
        <v>188</v>
      </c>
      <c r="E182" s="18" t="n">
        <v>77</v>
      </c>
      <c r="F182" s="10">
        <f>IF($B182&gt;=Analysis!$P$1,IF($E182&lt;=Analysis!$P$2,"VIP","At risk"),IF($E182&lt;=Analysis!$P$2,"Loyal","Dormant"))</f>
        <v/>
      </c>
    </row>
    <row r="183">
      <c r="A183" s="10" t="inlineStr">
        <is>
          <t>C3181</t>
        </is>
      </c>
      <c r="B183" s="17" t="n">
        <v>2935788</v>
      </c>
      <c r="C183" s="18" t="n">
        <v>10</v>
      </c>
      <c r="D183" s="18" t="n">
        <v>283</v>
      </c>
      <c r="E183" s="18" t="n">
        <v>30</v>
      </c>
      <c r="F183" s="10">
        <f>IF($B183&gt;=Analysis!$P$1,IF($E183&lt;=Analysis!$P$2,"VIP","At risk"),IF($E183&lt;=Analysis!$P$2,"Loyal","Dormant"))</f>
        <v/>
      </c>
    </row>
    <row r="184">
      <c r="A184" s="10" t="inlineStr">
        <is>
          <t>C3182</t>
        </is>
      </c>
      <c r="B184" s="17" t="n">
        <v>11692992</v>
      </c>
      <c r="C184" s="18" t="n">
        <v>31</v>
      </c>
      <c r="D184" s="18" t="n">
        <v>786</v>
      </c>
      <c r="E184" s="18" t="n">
        <v>11</v>
      </c>
      <c r="F184" s="10">
        <f>IF($B184&gt;=Analysis!$P$1,IF($E184&lt;=Analysis!$P$2,"VIP","At risk"),IF($E184&lt;=Analysis!$P$2,"Loyal","Dormant"))</f>
        <v/>
      </c>
    </row>
    <row r="185">
      <c r="A185" s="10" t="inlineStr">
        <is>
          <t>C3183</t>
        </is>
      </c>
      <c r="B185" s="17" t="n">
        <v>3446862</v>
      </c>
      <c r="C185" s="18" t="n">
        <v>11</v>
      </c>
      <c r="D185" s="18" t="n">
        <v>393</v>
      </c>
      <c r="E185" s="18" t="n">
        <v>35</v>
      </c>
      <c r="F185" s="10">
        <f>IF($B185&gt;=Analysis!$P$1,IF($E185&lt;=Analysis!$P$2,"VIP","At risk"),IF($E185&lt;=Analysis!$P$2,"Loyal","Dormant"))</f>
        <v/>
      </c>
    </row>
    <row r="186">
      <c r="A186" s="10" t="inlineStr">
        <is>
          <t>C3184</t>
        </is>
      </c>
      <c r="B186" s="17" t="n">
        <v>3168315</v>
      </c>
      <c r="C186" s="18" t="n">
        <v>10</v>
      </c>
      <c r="D186" s="18" t="n">
        <v>298</v>
      </c>
      <c r="E186" s="18" t="n">
        <v>15</v>
      </c>
      <c r="F186" s="10">
        <f>IF($B186&gt;=Analysis!$P$1,IF($E186&lt;=Analysis!$P$2,"VIP","At risk"),IF($E186&lt;=Analysis!$P$2,"Loyal","Dormant"))</f>
        <v/>
      </c>
    </row>
    <row r="187">
      <c r="A187" s="10" t="inlineStr">
        <is>
          <t>C3185</t>
        </is>
      </c>
      <c r="B187" s="17" t="n">
        <v>891990</v>
      </c>
      <c r="C187" s="18" t="n">
        <v>2</v>
      </c>
      <c r="D187" s="18" t="n">
        <v>534</v>
      </c>
      <c r="E187" s="18" t="n">
        <v>81</v>
      </c>
      <c r="F187" s="10">
        <f>IF($B187&gt;=Analysis!$P$1,IF($E187&lt;=Analysis!$P$2,"VIP","At risk"),IF($E187&lt;=Analysis!$P$2,"Loyal","Dormant"))</f>
        <v/>
      </c>
    </row>
    <row r="188">
      <c r="A188" s="10" t="inlineStr">
        <is>
          <t>C3186</t>
        </is>
      </c>
      <c r="B188" s="17" t="n">
        <v>3059770</v>
      </c>
      <c r="C188" s="18" t="n">
        <v>17</v>
      </c>
      <c r="D188" s="18" t="n">
        <v>343</v>
      </c>
      <c r="E188" s="18" t="n">
        <v>18</v>
      </c>
      <c r="F188" s="10">
        <f>IF($B188&gt;=Analysis!$P$1,IF($E188&lt;=Analysis!$P$2,"VIP","At risk"),IF($E188&lt;=Analysis!$P$2,"Loyal","Dormant"))</f>
        <v/>
      </c>
    </row>
    <row r="189">
      <c r="A189" s="10" t="inlineStr">
        <is>
          <t>C3187</t>
        </is>
      </c>
      <c r="B189" s="17" t="n">
        <v>2888241</v>
      </c>
      <c r="C189" s="18" t="n">
        <v>21</v>
      </c>
      <c r="D189" s="18" t="n">
        <v>355</v>
      </c>
      <c r="E189" s="18" t="n">
        <v>14</v>
      </c>
      <c r="F189" s="10">
        <f>IF($B189&gt;=Analysis!$P$1,IF($E189&lt;=Analysis!$P$2,"VIP","At risk"),IF($E189&lt;=Analysis!$P$2,"Loyal","Dormant"))</f>
        <v/>
      </c>
    </row>
    <row r="190">
      <c r="A190" s="10" t="inlineStr">
        <is>
          <t>C3188</t>
        </is>
      </c>
      <c r="B190" s="17" t="n">
        <v>740187</v>
      </c>
      <c r="C190" s="18" t="n">
        <v>2</v>
      </c>
      <c r="D190" s="18" t="n">
        <v>477</v>
      </c>
      <c r="E190" s="18" t="n">
        <v>23</v>
      </c>
      <c r="F190" s="10">
        <f>IF($B190&gt;=Analysis!$P$1,IF($E190&lt;=Analysis!$P$2,"VIP","At risk"),IF($E190&lt;=Analysis!$P$2,"Loyal","Dormant"))</f>
        <v/>
      </c>
    </row>
    <row r="191">
      <c r="A191" s="10" t="inlineStr">
        <is>
          <t>C3189</t>
        </is>
      </c>
      <c r="B191" s="17" t="n">
        <v>2869061</v>
      </c>
      <c r="C191" s="18" t="n">
        <v>10</v>
      </c>
      <c r="D191" s="18" t="n">
        <v>625</v>
      </c>
      <c r="E191" s="18" t="n">
        <v>31</v>
      </c>
      <c r="F191" s="10">
        <f>IF($B191&gt;=Analysis!$P$1,IF($E191&lt;=Analysis!$P$2,"VIP","At risk"),IF($E191&lt;=Analysis!$P$2,"Loyal","Dormant"))</f>
        <v/>
      </c>
    </row>
    <row r="192">
      <c r="A192" s="10" t="inlineStr">
        <is>
          <t>C3190</t>
        </is>
      </c>
      <c r="B192" s="17" t="n">
        <v>529049</v>
      </c>
      <c r="C192" s="18" t="n">
        <v>9</v>
      </c>
      <c r="D192" s="18" t="n">
        <v>165</v>
      </c>
      <c r="E192" s="18" t="n">
        <v>124</v>
      </c>
      <c r="F192" s="10">
        <f>IF($B192&gt;=Analysis!$P$1,IF($E192&lt;=Analysis!$P$2,"VIP","At risk"),IF($E192&lt;=Analysis!$P$2,"Loyal","Dormant"))</f>
        <v/>
      </c>
    </row>
    <row r="193">
      <c r="A193" s="10" t="inlineStr">
        <is>
          <t>C3191</t>
        </is>
      </c>
      <c r="B193" s="17" t="n">
        <v>3881652</v>
      </c>
      <c r="C193" s="18" t="n">
        <v>11</v>
      </c>
      <c r="D193" s="18" t="n">
        <v>427</v>
      </c>
      <c r="E193" s="18" t="n">
        <v>32</v>
      </c>
      <c r="F193" s="10">
        <f>IF($B193&gt;=Analysis!$P$1,IF($E193&lt;=Analysis!$P$2,"VIP","At risk"),IF($E193&lt;=Analysis!$P$2,"Loyal","Dormant"))</f>
        <v/>
      </c>
    </row>
    <row r="194">
      <c r="A194" s="10" t="inlineStr">
        <is>
          <t>C3192</t>
        </is>
      </c>
      <c r="B194" s="17" t="n">
        <v>2368581</v>
      </c>
      <c r="C194" s="18" t="n">
        <v>15</v>
      </c>
      <c r="D194" s="18" t="n">
        <v>209</v>
      </c>
      <c r="E194" s="18" t="n">
        <v>20</v>
      </c>
      <c r="F194" s="10">
        <f>IF($B194&gt;=Analysis!$P$1,IF($E194&lt;=Analysis!$P$2,"VIP","At risk"),IF($E194&lt;=Analysis!$P$2,"Loyal","Dormant"))</f>
        <v/>
      </c>
    </row>
    <row r="195">
      <c r="A195" s="10" t="inlineStr">
        <is>
          <t>C3193</t>
        </is>
      </c>
      <c r="B195" s="17" t="n">
        <v>5223940</v>
      </c>
      <c r="C195" s="18" t="n">
        <v>17</v>
      </c>
      <c r="D195" s="18" t="n">
        <v>691</v>
      </c>
      <c r="E195" s="18" t="n">
        <v>52</v>
      </c>
      <c r="F195" s="10">
        <f>IF($B195&gt;=Analysis!$P$1,IF($E195&lt;=Analysis!$P$2,"VIP","At risk"),IF($E195&lt;=Analysis!$P$2,"Loyal","Dormant"))</f>
        <v/>
      </c>
    </row>
    <row r="196">
      <c r="A196" s="10" t="inlineStr">
        <is>
          <t>C3194</t>
        </is>
      </c>
      <c r="B196" s="17" t="n">
        <v>693236</v>
      </c>
      <c r="C196" s="18" t="n">
        <v>5</v>
      </c>
      <c r="D196" s="18" t="n">
        <v>662</v>
      </c>
      <c r="E196" s="18" t="n">
        <v>29</v>
      </c>
      <c r="F196" s="10">
        <f>IF($B196&gt;=Analysis!$P$1,IF($E196&lt;=Analysis!$P$2,"VIP","At risk"),IF($E196&lt;=Analysis!$P$2,"Loyal","Dormant"))</f>
        <v/>
      </c>
    </row>
    <row r="197">
      <c r="A197" s="10" t="inlineStr">
        <is>
          <t>C3195</t>
        </is>
      </c>
      <c r="B197" s="17" t="n">
        <v>10654099</v>
      </c>
      <c r="C197" s="18" t="n">
        <v>30</v>
      </c>
      <c r="D197" s="18" t="n">
        <v>745</v>
      </c>
      <c r="E197" s="18" t="n">
        <v>19</v>
      </c>
      <c r="F197" s="10">
        <f>IF($B197&gt;=Analysis!$P$1,IF($E197&lt;=Analysis!$P$2,"VIP","At risk"),IF($E197&lt;=Analysis!$P$2,"Loyal","Dormant"))</f>
        <v/>
      </c>
    </row>
    <row r="198">
      <c r="A198" s="10" t="inlineStr">
        <is>
          <t>C3196</t>
        </is>
      </c>
      <c r="B198" s="17" t="n">
        <v>811754</v>
      </c>
      <c r="C198" s="18" t="n">
        <v>1</v>
      </c>
      <c r="D198" s="18" t="n">
        <v>336</v>
      </c>
      <c r="E198" s="18" t="n">
        <v>37</v>
      </c>
      <c r="F198" s="10">
        <f>IF($B198&gt;=Analysis!$P$1,IF($E198&lt;=Analysis!$P$2,"VIP","At risk"),IF($E198&lt;=Analysis!$P$2,"Loyal","Dormant"))</f>
        <v/>
      </c>
    </row>
    <row r="199">
      <c r="A199" s="10" t="inlineStr">
        <is>
          <t>C3197</t>
        </is>
      </c>
      <c r="B199" s="17" t="n">
        <v>831796</v>
      </c>
      <c r="C199" s="18" t="n">
        <v>7</v>
      </c>
      <c r="D199" s="18" t="n">
        <v>200</v>
      </c>
      <c r="E199" s="18" t="n">
        <v>57</v>
      </c>
      <c r="F199" s="10">
        <f>IF($B199&gt;=Analysis!$P$1,IF($E199&lt;=Analysis!$P$2,"VIP","At risk"),IF($E199&lt;=Analysis!$P$2,"Loyal","Dormant"))</f>
        <v/>
      </c>
    </row>
    <row r="200">
      <c r="A200" s="10" t="inlineStr">
        <is>
          <t>C3198</t>
        </is>
      </c>
      <c r="B200" s="17" t="n">
        <v>3146778</v>
      </c>
      <c r="C200" s="18" t="n">
        <v>15</v>
      </c>
      <c r="D200" s="18" t="n">
        <v>464</v>
      </c>
      <c r="E200" s="18" t="n">
        <v>11</v>
      </c>
      <c r="F200" s="10">
        <f>IF($B200&gt;=Analysis!$P$1,IF($E200&lt;=Analysis!$P$2,"VIP","At risk"),IF($E200&lt;=Analysis!$P$2,"Loyal","Dormant"))</f>
        <v/>
      </c>
    </row>
    <row r="201">
      <c r="A201" s="10" t="inlineStr">
        <is>
          <t>C3199</t>
        </is>
      </c>
      <c r="B201" s="17" t="n">
        <v>357571</v>
      </c>
      <c r="C201" s="18" t="n">
        <v>2</v>
      </c>
      <c r="D201" s="18" t="n">
        <v>293</v>
      </c>
      <c r="E201" s="18" t="n">
        <v>64</v>
      </c>
      <c r="F201" s="10">
        <f>IF($B201&gt;=Analysis!$P$1,IF($E201&lt;=Analysis!$P$2,"VIP","At risk"),IF($E201&lt;=Analysis!$P$2,"Loyal","Dormant"))</f>
        <v/>
      </c>
    </row>
    <row r="202">
      <c r="A202" s="10" t="inlineStr">
        <is>
          <t>C3200</t>
        </is>
      </c>
      <c r="B202" s="17" t="n">
        <v>449648</v>
      </c>
      <c r="C202" s="18" t="n">
        <v>3</v>
      </c>
      <c r="D202" s="18" t="n">
        <v>74</v>
      </c>
      <c r="E202" s="18" t="n">
        <v>16</v>
      </c>
      <c r="F202" s="10">
        <f>IF($B202&gt;=Analysis!$P$1,IF($E202&lt;=Analysis!$P$2,"VIP","At risk"),IF($E202&lt;=Analysis!$P$2,"Loyal","Dormant"))</f>
        <v/>
      </c>
    </row>
    <row r="203">
      <c r="A203" s="10" t="inlineStr">
        <is>
          <t>C3201</t>
        </is>
      </c>
      <c r="B203" s="17" t="n">
        <v>2433558</v>
      </c>
      <c r="C203" s="18" t="n">
        <v>10</v>
      </c>
      <c r="D203" s="18" t="n">
        <v>181</v>
      </c>
      <c r="E203" s="18" t="n">
        <v>31</v>
      </c>
      <c r="F203" s="10">
        <f>IF($B203&gt;=Analysis!$P$1,IF($E203&lt;=Analysis!$P$2,"VIP","At risk"),IF($E203&lt;=Analysis!$P$2,"Loyal","Dormant"))</f>
        <v/>
      </c>
    </row>
    <row r="204">
      <c r="A204" s="10" t="inlineStr">
        <is>
          <t>C3202</t>
        </is>
      </c>
      <c r="B204" s="17" t="n">
        <v>1275398</v>
      </c>
      <c r="C204" s="18" t="n">
        <v>2</v>
      </c>
      <c r="D204" s="18" t="n">
        <v>191</v>
      </c>
      <c r="E204" s="18" t="n">
        <v>28</v>
      </c>
      <c r="F204" s="10">
        <f>IF($B204&gt;=Analysis!$P$1,IF($E204&lt;=Analysis!$P$2,"VIP","At risk"),IF($E204&lt;=Analysis!$P$2,"Loyal","Dormant"))</f>
        <v/>
      </c>
    </row>
    <row r="205">
      <c r="A205" s="10" t="inlineStr">
        <is>
          <t>C3203</t>
        </is>
      </c>
      <c r="B205" s="17" t="n">
        <v>4904993</v>
      </c>
      <c r="C205" s="18" t="n">
        <v>8</v>
      </c>
      <c r="D205" s="18" t="n">
        <v>294</v>
      </c>
      <c r="E205" s="18" t="n">
        <v>33</v>
      </c>
      <c r="F205" s="10">
        <f>IF($B205&gt;=Analysis!$P$1,IF($E205&lt;=Analysis!$P$2,"VIP","At risk"),IF($E205&lt;=Analysis!$P$2,"Loyal","Dormant"))</f>
        <v/>
      </c>
    </row>
    <row r="206">
      <c r="A206" s="10" t="inlineStr">
        <is>
          <t>C3204</t>
        </is>
      </c>
      <c r="B206" s="17" t="n">
        <v>3961629</v>
      </c>
      <c r="C206" s="18" t="n">
        <v>16</v>
      </c>
      <c r="D206" s="18" t="n">
        <v>181</v>
      </c>
      <c r="E206" s="18" t="n">
        <v>18</v>
      </c>
      <c r="F206" s="10">
        <f>IF($B206&gt;=Analysis!$P$1,IF($E206&lt;=Analysis!$P$2,"VIP","At risk"),IF($E206&lt;=Analysis!$P$2,"Loyal","Dormant"))</f>
        <v/>
      </c>
    </row>
    <row r="207">
      <c r="A207" s="10" t="inlineStr">
        <is>
          <t>C3205</t>
        </is>
      </c>
      <c r="B207" s="17" t="n">
        <v>3548455</v>
      </c>
      <c r="C207" s="18" t="n">
        <v>27</v>
      </c>
      <c r="D207" s="18" t="n">
        <v>479</v>
      </c>
      <c r="E207" s="18" t="n">
        <v>13</v>
      </c>
      <c r="F207" s="10">
        <f>IF($B207&gt;=Analysis!$P$1,IF($E207&lt;=Analysis!$P$2,"VIP","At risk"),IF($E207&lt;=Analysis!$P$2,"Loyal","Dormant"))</f>
        <v/>
      </c>
    </row>
    <row r="208">
      <c r="A208" s="10" t="inlineStr">
        <is>
          <t>C3206</t>
        </is>
      </c>
      <c r="B208" s="17" t="n">
        <v>309346</v>
      </c>
      <c r="C208" s="18" t="n">
        <v>4</v>
      </c>
      <c r="D208" s="18" t="n">
        <v>222</v>
      </c>
      <c r="E208" s="18" t="n">
        <v>85</v>
      </c>
      <c r="F208" s="10">
        <f>IF($B208&gt;=Analysis!$P$1,IF($E208&lt;=Analysis!$P$2,"VIP","At risk"),IF($E208&lt;=Analysis!$P$2,"Loyal","Dormant"))</f>
        <v/>
      </c>
    </row>
    <row r="209">
      <c r="A209" s="10" t="inlineStr">
        <is>
          <t>C3207</t>
        </is>
      </c>
      <c r="B209" s="17" t="n">
        <v>4370409</v>
      </c>
      <c r="C209" s="18" t="n">
        <v>15</v>
      </c>
      <c r="D209" s="18" t="n">
        <v>386</v>
      </c>
      <c r="E209" s="18" t="n">
        <v>9</v>
      </c>
      <c r="F209" s="10">
        <f>IF($B209&gt;=Analysis!$P$1,IF($E209&lt;=Analysis!$P$2,"VIP","At risk"),IF($E209&lt;=Analysis!$P$2,"Loyal","Dormant"))</f>
        <v/>
      </c>
    </row>
    <row r="210">
      <c r="A210" s="10" t="inlineStr">
        <is>
          <t>C3208</t>
        </is>
      </c>
      <c r="B210" s="17" t="n">
        <v>1098832</v>
      </c>
      <c r="C210" s="18" t="n">
        <v>3</v>
      </c>
      <c r="D210" s="18" t="n">
        <v>483</v>
      </c>
      <c r="E210" s="18" t="n">
        <v>57</v>
      </c>
      <c r="F210" s="10">
        <f>IF($B210&gt;=Analysis!$P$1,IF($E210&lt;=Analysis!$P$2,"VIP","At risk"),IF($E210&lt;=Analysis!$P$2,"Loyal","Dormant"))</f>
        <v/>
      </c>
    </row>
    <row r="211">
      <c r="A211" s="10" t="inlineStr">
        <is>
          <t>C3209</t>
        </is>
      </c>
      <c r="B211" s="17" t="n">
        <v>1656038</v>
      </c>
      <c r="C211" s="18" t="n">
        <v>6</v>
      </c>
      <c r="D211" s="18" t="n">
        <v>68</v>
      </c>
      <c r="E211" s="18" t="n">
        <v>29</v>
      </c>
      <c r="F211" s="10">
        <f>IF($B211&gt;=Analysis!$P$1,IF($E211&lt;=Analysis!$P$2,"VIP","At risk"),IF($E211&lt;=Analysis!$P$2,"Loyal","Dormant"))</f>
        <v/>
      </c>
    </row>
    <row r="212">
      <c r="A212" s="10" t="inlineStr">
        <is>
          <t>C3210</t>
        </is>
      </c>
      <c r="B212" s="17" t="n">
        <v>1674741</v>
      </c>
      <c r="C212" s="18" t="n">
        <v>6</v>
      </c>
      <c r="D212" s="18" t="n">
        <v>13</v>
      </c>
      <c r="E212" s="18" t="n">
        <v>21</v>
      </c>
      <c r="F212" s="10">
        <f>IF($B212&gt;=Analysis!$P$1,IF($E212&lt;=Analysis!$P$2,"VIP","At risk"),IF($E212&lt;=Analysis!$P$2,"Loyal","Dormant"))</f>
        <v/>
      </c>
    </row>
    <row r="213">
      <c r="A213" s="10" t="inlineStr">
        <is>
          <t>C3211</t>
        </is>
      </c>
      <c r="B213" s="17" t="n">
        <v>677180</v>
      </c>
      <c r="C213" s="18" t="n">
        <v>9</v>
      </c>
      <c r="D213" s="18" t="n">
        <v>254</v>
      </c>
      <c r="E213" s="18" t="n">
        <v>58</v>
      </c>
      <c r="F213" s="10">
        <f>IF($B213&gt;=Analysis!$P$1,IF($E213&lt;=Analysis!$P$2,"VIP","At risk"),IF($E213&lt;=Analysis!$P$2,"Loyal","Dormant"))</f>
        <v/>
      </c>
    </row>
    <row r="214">
      <c r="A214" s="10" t="inlineStr">
        <is>
          <t>C3212</t>
        </is>
      </c>
      <c r="B214" s="17" t="n">
        <v>1232539</v>
      </c>
      <c r="C214" s="18" t="n">
        <v>7</v>
      </c>
      <c r="D214" s="18" t="n">
        <v>225</v>
      </c>
      <c r="E214" s="18" t="n">
        <v>56</v>
      </c>
      <c r="F214" s="10">
        <f>IF($B214&gt;=Analysis!$P$1,IF($E214&lt;=Analysis!$P$2,"VIP","At risk"),IF($E214&lt;=Analysis!$P$2,"Loyal","Dormant"))</f>
        <v/>
      </c>
    </row>
    <row r="215">
      <c r="A215" s="10" t="inlineStr">
        <is>
          <t>C3213</t>
        </is>
      </c>
      <c r="B215" s="17" t="n">
        <v>720912</v>
      </c>
      <c r="C215" s="18" t="n">
        <v>2</v>
      </c>
      <c r="D215" s="18" t="n">
        <v>485</v>
      </c>
      <c r="E215" s="18" t="n">
        <v>79</v>
      </c>
      <c r="F215" s="10">
        <f>IF($B215&gt;=Analysis!$P$1,IF($E215&lt;=Analysis!$P$2,"VIP","At risk"),IF($E215&lt;=Analysis!$P$2,"Loyal","Dormant"))</f>
        <v/>
      </c>
    </row>
    <row r="216">
      <c r="A216" s="10" t="inlineStr">
        <is>
          <t>C3214</t>
        </is>
      </c>
      <c r="B216" s="17" t="n">
        <v>666598</v>
      </c>
      <c r="C216" s="18" t="n">
        <v>4</v>
      </c>
      <c r="D216" s="18" t="n">
        <v>48</v>
      </c>
      <c r="E216" s="18" t="n">
        <v>76</v>
      </c>
      <c r="F216" s="10">
        <f>IF($B216&gt;=Analysis!$P$1,IF($E216&lt;=Analysis!$P$2,"VIP","At risk"),IF($E216&lt;=Analysis!$P$2,"Loyal","Dormant"))</f>
        <v/>
      </c>
    </row>
    <row r="217">
      <c r="A217" s="10" t="inlineStr">
        <is>
          <t>C3215</t>
        </is>
      </c>
      <c r="B217" s="17" t="n">
        <v>2317871</v>
      </c>
      <c r="C217" s="18" t="n">
        <v>14</v>
      </c>
      <c r="D217" s="18" t="n">
        <v>159</v>
      </c>
      <c r="E217" s="18" t="n">
        <v>25</v>
      </c>
      <c r="F217" s="10">
        <f>IF($B217&gt;=Analysis!$P$1,IF($E217&lt;=Analysis!$P$2,"VIP","At risk"),IF($E217&lt;=Analysis!$P$2,"Loyal","Dormant"))</f>
        <v/>
      </c>
    </row>
    <row r="218">
      <c r="A218" s="10" t="inlineStr">
        <is>
          <t>C3216</t>
        </is>
      </c>
      <c r="B218" s="17" t="n">
        <v>1640728</v>
      </c>
      <c r="C218" s="18" t="n">
        <v>5</v>
      </c>
      <c r="D218" s="18" t="n">
        <v>405</v>
      </c>
      <c r="E218" s="18" t="n">
        <v>41</v>
      </c>
      <c r="F218" s="10">
        <f>IF($B218&gt;=Analysis!$P$1,IF($E218&lt;=Analysis!$P$2,"VIP","At risk"),IF($E218&lt;=Analysis!$P$2,"Loyal","Dormant"))</f>
        <v/>
      </c>
    </row>
    <row r="219">
      <c r="A219" s="10" t="inlineStr">
        <is>
          <t>C3217</t>
        </is>
      </c>
      <c r="B219" s="17" t="n">
        <v>163418</v>
      </c>
      <c r="C219" s="18" t="n">
        <v>3</v>
      </c>
      <c r="D219" s="18" t="n">
        <v>521</v>
      </c>
      <c r="E219" s="18" t="n">
        <v>4</v>
      </c>
      <c r="F219" s="10">
        <f>IF($B219&gt;=Analysis!$P$1,IF($E219&lt;=Analysis!$P$2,"VIP","At risk"),IF($E219&lt;=Analysis!$P$2,"Loyal","Dormant"))</f>
        <v/>
      </c>
    </row>
    <row r="220">
      <c r="A220" s="10" t="inlineStr">
        <is>
          <t>C3218</t>
        </is>
      </c>
      <c r="B220" s="17" t="n">
        <v>388408</v>
      </c>
      <c r="C220" s="18" t="n">
        <v>6</v>
      </c>
      <c r="D220" s="18" t="n">
        <v>310</v>
      </c>
      <c r="E220" s="18" t="n">
        <v>95</v>
      </c>
      <c r="F220" s="10">
        <f>IF($B220&gt;=Analysis!$P$1,IF($E220&lt;=Analysis!$P$2,"VIP","At risk"),IF($E220&lt;=Analysis!$P$2,"Loyal","Dormant"))</f>
        <v/>
      </c>
    </row>
    <row r="221">
      <c r="A221" s="10" t="inlineStr">
        <is>
          <t>C3219</t>
        </is>
      </c>
      <c r="B221" s="17" t="n">
        <v>692113</v>
      </c>
      <c r="C221" s="18" t="n">
        <v>1</v>
      </c>
      <c r="D221" s="18" t="n">
        <v>29</v>
      </c>
      <c r="E221" s="18" t="n">
        <v>4</v>
      </c>
      <c r="F221" s="10">
        <f>IF($B221&gt;=Analysis!$P$1,IF($E221&lt;=Analysis!$P$2,"VIP","At risk"),IF($E221&lt;=Analysis!$P$2,"Loyal","Dormant"))</f>
        <v/>
      </c>
    </row>
    <row r="222">
      <c r="A222" s="10" t="inlineStr">
        <is>
          <t>C3220</t>
        </is>
      </c>
      <c r="B222" s="17" t="n">
        <v>4438130</v>
      </c>
      <c r="C222" s="18" t="n">
        <v>13</v>
      </c>
      <c r="D222" s="18" t="n">
        <v>558</v>
      </c>
      <c r="E222" s="18" t="n">
        <v>10</v>
      </c>
      <c r="F222" s="10">
        <f>IF($B222&gt;=Analysis!$P$1,IF($E222&lt;=Analysis!$P$2,"VIP","At risk"),IF($E222&lt;=Analysis!$P$2,"Loyal","Dormant"))</f>
        <v/>
      </c>
    </row>
    <row r="223">
      <c r="A223" s="10" t="inlineStr">
        <is>
          <t>C3221</t>
        </is>
      </c>
      <c r="B223" s="17" t="n">
        <v>3069111</v>
      </c>
      <c r="C223" s="18" t="n">
        <v>9</v>
      </c>
      <c r="D223" s="18" t="n">
        <v>367</v>
      </c>
      <c r="E223" s="18" t="n">
        <v>40</v>
      </c>
      <c r="F223" s="10">
        <f>IF($B223&gt;=Analysis!$P$1,IF($E223&lt;=Analysis!$P$2,"VIP","At risk"),IF($E223&lt;=Analysis!$P$2,"Loyal","Dormant"))</f>
        <v/>
      </c>
    </row>
    <row r="224">
      <c r="A224" s="10" t="inlineStr">
        <is>
          <t>C3222</t>
        </is>
      </c>
      <c r="B224" s="17" t="n">
        <v>3656580</v>
      </c>
      <c r="C224" s="18" t="n">
        <v>16</v>
      </c>
      <c r="D224" s="18" t="n">
        <v>367</v>
      </c>
      <c r="E224" s="18" t="n">
        <v>10</v>
      </c>
      <c r="F224" s="10">
        <f>IF($B224&gt;=Analysis!$P$1,IF($E224&lt;=Analysis!$P$2,"VIP","At risk"),IF($E224&lt;=Analysis!$P$2,"Loyal","Dormant"))</f>
        <v/>
      </c>
    </row>
    <row r="225">
      <c r="A225" s="10" t="inlineStr">
        <is>
          <t>C3223</t>
        </is>
      </c>
      <c r="B225" s="17" t="n">
        <v>935434</v>
      </c>
      <c r="C225" s="18" t="n">
        <v>3</v>
      </c>
      <c r="D225" s="18" t="n">
        <v>323</v>
      </c>
      <c r="E225" s="18" t="n">
        <v>63</v>
      </c>
      <c r="F225" s="10">
        <f>IF($B225&gt;=Analysis!$P$1,IF($E225&lt;=Analysis!$P$2,"VIP","At risk"),IF($E225&lt;=Analysis!$P$2,"Loyal","Dormant"))</f>
        <v/>
      </c>
    </row>
    <row r="226">
      <c r="A226" s="10" t="inlineStr">
        <is>
          <t>C3224</t>
        </is>
      </c>
      <c r="B226" s="17" t="n">
        <v>3697736</v>
      </c>
      <c r="C226" s="18" t="n">
        <v>18</v>
      </c>
      <c r="D226" s="18" t="n">
        <v>342</v>
      </c>
      <c r="E226" s="18" t="n">
        <v>37</v>
      </c>
      <c r="F226" s="10">
        <f>IF($B226&gt;=Analysis!$P$1,IF($E226&lt;=Analysis!$P$2,"VIP","At risk"),IF($E226&lt;=Analysis!$P$2,"Loyal","Dormant"))</f>
        <v/>
      </c>
    </row>
    <row r="227">
      <c r="A227" s="10" t="inlineStr">
        <is>
          <t>C3225</t>
        </is>
      </c>
      <c r="B227" s="17" t="n">
        <v>4853566</v>
      </c>
      <c r="C227" s="18" t="n">
        <v>16</v>
      </c>
      <c r="D227" s="18" t="n">
        <v>333</v>
      </c>
      <c r="E227" s="18" t="n">
        <v>32</v>
      </c>
      <c r="F227" s="10">
        <f>IF($B227&gt;=Analysis!$P$1,IF($E227&lt;=Analysis!$P$2,"VIP","At risk"),IF($E227&lt;=Analysis!$P$2,"Loyal","Dormant"))</f>
        <v/>
      </c>
    </row>
    <row r="228">
      <c r="A228" s="10" t="inlineStr">
        <is>
          <t>C3226</t>
        </is>
      </c>
      <c r="B228" s="17" t="n">
        <v>3778068</v>
      </c>
      <c r="C228" s="18" t="n">
        <v>17</v>
      </c>
      <c r="D228" s="18" t="n">
        <v>276</v>
      </c>
      <c r="E228" s="18" t="n">
        <v>29</v>
      </c>
      <c r="F228" s="10">
        <f>IF($B228&gt;=Analysis!$P$1,IF($E228&lt;=Analysis!$P$2,"VIP","At risk"),IF($E228&lt;=Analysis!$P$2,"Loyal","Dormant"))</f>
        <v/>
      </c>
    </row>
    <row r="229">
      <c r="A229" s="10" t="inlineStr">
        <is>
          <t>C3227</t>
        </is>
      </c>
      <c r="B229" s="17" t="n">
        <v>1486516</v>
      </c>
      <c r="C229" s="18" t="n">
        <v>4</v>
      </c>
      <c r="D229" s="18" t="n">
        <v>48</v>
      </c>
      <c r="E229" s="18" t="n">
        <v>55</v>
      </c>
      <c r="F229" s="10">
        <f>IF($B229&gt;=Analysis!$P$1,IF($E229&lt;=Analysis!$P$2,"VIP","At risk"),IF($E229&lt;=Analysis!$P$2,"Loyal","Dormant"))</f>
        <v/>
      </c>
    </row>
    <row r="230">
      <c r="A230" s="10" t="inlineStr">
        <is>
          <t>C3228</t>
        </is>
      </c>
      <c r="B230" s="17" t="n">
        <v>1213949</v>
      </c>
      <c r="C230" s="18" t="n">
        <v>4</v>
      </c>
      <c r="D230" s="18" t="n">
        <v>56</v>
      </c>
      <c r="E230" s="18" t="n">
        <v>19</v>
      </c>
      <c r="F230" s="10">
        <f>IF($B230&gt;=Analysis!$P$1,IF($E230&lt;=Analysis!$P$2,"VIP","At risk"),IF($E230&lt;=Analysis!$P$2,"Loyal","Dormant"))</f>
        <v/>
      </c>
    </row>
    <row r="231">
      <c r="A231" s="10" t="inlineStr">
        <is>
          <t>C3229</t>
        </is>
      </c>
      <c r="B231" s="17" t="n">
        <v>9782507</v>
      </c>
      <c r="C231" s="18" t="n">
        <v>23</v>
      </c>
      <c r="D231" s="18" t="n">
        <v>440</v>
      </c>
      <c r="E231" s="18" t="n">
        <v>1</v>
      </c>
      <c r="F231" s="10">
        <f>IF($B231&gt;=Analysis!$P$1,IF($E231&lt;=Analysis!$P$2,"VIP","At risk"),IF($E231&lt;=Analysis!$P$2,"Loyal","Dormant"))</f>
        <v/>
      </c>
    </row>
    <row r="232">
      <c r="A232" s="10" t="inlineStr">
        <is>
          <t>C3230</t>
        </is>
      </c>
      <c r="B232" s="17" t="n">
        <v>1076876</v>
      </c>
      <c r="C232" s="18" t="n">
        <v>3</v>
      </c>
      <c r="D232" s="18" t="n">
        <v>315</v>
      </c>
      <c r="E232" s="18" t="n">
        <v>13</v>
      </c>
      <c r="F232" s="10">
        <f>IF($B232&gt;=Analysis!$P$1,IF($E232&lt;=Analysis!$P$2,"VIP","At risk"),IF($E232&lt;=Analysis!$P$2,"Loyal","Dormant"))</f>
        <v/>
      </c>
    </row>
    <row r="233">
      <c r="A233" s="10" t="inlineStr">
        <is>
          <t>C3231</t>
        </is>
      </c>
      <c r="B233" s="17" t="n">
        <v>1085307</v>
      </c>
      <c r="C233" s="18" t="n">
        <v>3</v>
      </c>
      <c r="D233" s="18" t="n">
        <v>350</v>
      </c>
      <c r="E233" s="18" t="n">
        <v>30</v>
      </c>
      <c r="F233" s="10">
        <f>IF($B233&gt;=Analysis!$P$1,IF($E233&lt;=Analysis!$P$2,"VIP","At risk"),IF($E233&lt;=Analysis!$P$2,"Loyal","Dormant"))</f>
        <v/>
      </c>
    </row>
    <row r="234">
      <c r="A234" s="10" t="inlineStr">
        <is>
          <t>C3232</t>
        </is>
      </c>
      <c r="B234" s="17" t="n">
        <v>7809679</v>
      </c>
      <c r="C234" s="18" t="n">
        <v>30</v>
      </c>
      <c r="D234" s="18" t="n">
        <v>676</v>
      </c>
      <c r="E234" s="18" t="n">
        <v>7</v>
      </c>
      <c r="F234" s="10">
        <f>IF($B234&gt;=Analysis!$P$1,IF($E234&lt;=Analysis!$P$2,"VIP","At risk"),IF($E234&lt;=Analysis!$P$2,"Loyal","Dormant"))</f>
        <v/>
      </c>
    </row>
    <row r="235">
      <c r="A235" s="10" t="inlineStr">
        <is>
          <t>C3233</t>
        </is>
      </c>
      <c r="B235" s="17" t="n">
        <v>4020169</v>
      </c>
      <c r="C235" s="18" t="n">
        <v>18</v>
      </c>
      <c r="D235" s="18" t="n">
        <v>498</v>
      </c>
      <c r="E235" s="18" t="n">
        <v>18</v>
      </c>
      <c r="F235" s="10">
        <f>IF($B235&gt;=Analysis!$P$1,IF($E235&lt;=Analysis!$P$2,"VIP","At risk"),IF($E235&lt;=Analysis!$P$2,"Loyal","Dormant"))</f>
        <v/>
      </c>
    </row>
    <row r="236">
      <c r="A236" s="10" t="inlineStr">
        <is>
          <t>C3234</t>
        </is>
      </c>
      <c r="B236" s="17" t="n">
        <v>1065513</v>
      </c>
      <c r="C236" s="18" t="n">
        <v>4</v>
      </c>
      <c r="D236" s="18" t="n">
        <v>285</v>
      </c>
      <c r="E236" s="18" t="n">
        <v>45</v>
      </c>
      <c r="F236" s="10">
        <f>IF($B236&gt;=Analysis!$P$1,IF($E236&lt;=Analysis!$P$2,"VIP","At risk"),IF($E236&lt;=Analysis!$P$2,"Loyal","Dormant"))</f>
        <v/>
      </c>
    </row>
    <row r="237">
      <c r="A237" s="10" t="inlineStr">
        <is>
          <t>C3235</t>
        </is>
      </c>
      <c r="B237" s="17" t="n">
        <v>4764089</v>
      </c>
      <c r="C237" s="18" t="n">
        <v>12</v>
      </c>
      <c r="D237" s="18" t="n">
        <v>420</v>
      </c>
      <c r="E237" s="18" t="n">
        <v>24</v>
      </c>
      <c r="F237" s="10">
        <f>IF($B237&gt;=Analysis!$P$1,IF($E237&lt;=Analysis!$P$2,"VIP","At risk"),IF($E237&lt;=Analysis!$P$2,"Loyal","Dormant"))</f>
        <v/>
      </c>
    </row>
    <row r="238">
      <c r="A238" s="10" t="inlineStr">
        <is>
          <t>C3236</t>
        </is>
      </c>
      <c r="B238" s="17" t="n">
        <v>4293229</v>
      </c>
      <c r="C238" s="18" t="n">
        <v>17</v>
      </c>
      <c r="D238" s="18" t="n">
        <v>247</v>
      </c>
      <c r="E238" s="18" t="n">
        <v>35</v>
      </c>
      <c r="F238" s="10">
        <f>IF($B238&gt;=Analysis!$P$1,IF($E238&lt;=Analysis!$P$2,"VIP","At risk"),IF($E238&lt;=Analysis!$P$2,"Loyal","Dormant"))</f>
        <v/>
      </c>
    </row>
    <row r="239">
      <c r="A239" s="10" t="inlineStr">
        <is>
          <t>C3237</t>
        </is>
      </c>
      <c r="B239" s="17" t="n">
        <v>560012</v>
      </c>
      <c r="C239" s="18" t="n">
        <v>4</v>
      </c>
      <c r="D239" s="18" t="n">
        <v>104</v>
      </c>
      <c r="E239" s="18" t="n">
        <v>119</v>
      </c>
      <c r="F239" s="10">
        <f>IF($B239&gt;=Analysis!$P$1,IF($E239&lt;=Analysis!$P$2,"VIP","At risk"),IF($E239&lt;=Analysis!$P$2,"Loyal","Dormant"))</f>
        <v/>
      </c>
    </row>
    <row r="240">
      <c r="A240" s="10" t="inlineStr">
        <is>
          <t>C3238</t>
        </is>
      </c>
      <c r="B240" s="17" t="n">
        <v>921898</v>
      </c>
      <c r="C240" s="18" t="n">
        <v>4</v>
      </c>
      <c r="D240" s="18" t="n">
        <v>375</v>
      </c>
      <c r="E240" s="18" t="n">
        <v>64</v>
      </c>
      <c r="F240" s="10">
        <f>IF($B240&gt;=Analysis!$P$1,IF($E240&lt;=Analysis!$P$2,"VIP","At risk"),IF($E240&lt;=Analysis!$P$2,"Loyal","Dormant"))</f>
        <v/>
      </c>
    </row>
    <row r="241">
      <c r="A241" s="10" t="inlineStr">
        <is>
          <t>C3239</t>
        </is>
      </c>
      <c r="B241" s="17" t="n">
        <v>863024</v>
      </c>
      <c r="C241" s="18" t="n">
        <v>2</v>
      </c>
      <c r="D241" s="18" t="n">
        <v>228</v>
      </c>
      <c r="E241" s="18" t="n">
        <v>34</v>
      </c>
      <c r="F241" s="10">
        <f>IF($B241&gt;=Analysis!$P$1,IF($E241&lt;=Analysis!$P$2,"VIP","At risk"),IF($E241&lt;=Analysis!$P$2,"Loyal","Dormant"))</f>
        <v/>
      </c>
    </row>
    <row r="242">
      <c r="A242" s="10" t="inlineStr">
        <is>
          <t>C3240</t>
        </is>
      </c>
      <c r="B242" s="17" t="n">
        <v>517528</v>
      </c>
      <c r="C242" s="18" t="n">
        <v>3</v>
      </c>
      <c r="D242" s="18" t="n">
        <v>341</v>
      </c>
      <c r="E242" s="18" t="n">
        <v>61</v>
      </c>
      <c r="F242" s="10">
        <f>IF($B242&gt;=Analysis!$P$1,IF($E242&lt;=Analysis!$P$2,"VIP","At risk"),IF($E242&lt;=Analysis!$P$2,"Loyal","Dormant"))</f>
        <v/>
      </c>
    </row>
    <row r="243">
      <c r="A243" s="10" t="inlineStr">
        <is>
          <t>C3241</t>
        </is>
      </c>
      <c r="B243" s="17" t="n">
        <v>3785890</v>
      </c>
      <c r="C243" s="18" t="n">
        <v>17</v>
      </c>
      <c r="D243" s="18" t="n">
        <v>408</v>
      </c>
      <c r="E243" s="18" t="n">
        <v>30</v>
      </c>
      <c r="F243" s="10">
        <f>IF($B243&gt;=Analysis!$P$1,IF($E243&lt;=Analysis!$P$2,"VIP","At risk"),IF($E243&lt;=Analysis!$P$2,"Loyal","Dormant"))</f>
        <v/>
      </c>
    </row>
    <row r="244">
      <c r="A244" s="10" t="inlineStr">
        <is>
          <t>C3242</t>
        </is>
      </c>
      <c r="B244" s="17" t="n">
        <v>6105967</v>
      </c>
      <c r="C244" s="18" t="n">
        <v>19</v>
      </c>
      <c r="D244" s="18" t="n">
        <v>365</v>
      </c>
      <c r="E244" s="18" t="n">
        <v>20</v>
      </c>
      <c r="F244" s="10">
        <f>IF($B244&gt;=Analysis!$P$1,IF($E244&lt;=Analysis!$P$2,"VIP","At risk"),IF($E244&lt;=Analysis!$P$2,"Loyal","Dormant"))</f>
        <v/>
      </c>
    </row>
    <row r="245">
      <c r="A245" s="10" t="inlineStr">
        <is>
          <t>C3243</t>
        </is>
      </c>
      <c r="B245" s="17" t="n">
        <v>0</v>
      </c>
      <c r="C245" s="18" t="n">
        <v>5</v>
      </c>
      <c r="D245" s="18" t="n">
        <v>319</v>
      </c>
      <c r="E245" s="18" t="n">
        <v>138</v>
      </c>
      <c r="F245" s="10">
        <f>IF($B245&gt;=Analysis!$P$1,IF($E245&lt;=Analysis!$P$2,"VIP","At risk"),IF($E245&lt;=Analysis!$P$2,"Loyal","Dormant"))</f>
        <v/>
      </c>
    </row>
    <row r="246">
      <c r="A246" s="10" t="inlineStr">
        <is>
          <t>C3244</t>
        </is>
      </c>
      <c r="B246" s="17" t="n">
        <v>10208209</v>
      </c>
      <c r="C246" s="18" t="n">
        <v>33</v>
      </c>
      <c r="D246" s="18" t="n">
        <v>571</v>
      </c>
      <c r="E246" s="18" t="n">
        <v>14</v>
      </c>
      <c r="F246" s="10">
        <f>IF($B246&gt;=Analysis!$P$1,IF($E246&lt;=Analysis!$P$2,"VIP","At risk"),IF($E246&lt;=Analysis!$P$2,"Loyal","Dormant"))</f>
        <v/>
      </c>
    </row>
    <row r="247">
      <c r="A247" s="10" t="inlineStr">
        <is>
          <t>C3245</t>
        </is>
      </c>
      <c r="B247" s="17" t="n">
        <v>247620</v>
      </c>
      <c r="C247" s="18" t="n">
        <v>9</v>
      </c>
      <c r="D247" s="18" t="n">
        <v>139</v>
      </c>
      <c r="E247" s="18" t="n">
        <v>76</v>
      </c>
      <c r="F247" s="10">
        <f>IF($B247&gt;=Analysis!$P$1,IF($E247&lt;=Analysis!$P$2,"VIP","At risk"),IF($E247&lt;=Analysis!$P$2,"Loyal","Dormant"))</f>
        <v/>
      </c>
    </row>
    <row r="248">
      <c r="A248" s="10" t="inlineStr">
        <is>
          <t>C3246</t>
        </is>
      </c>
      <c r="B248" s="17" t="n">
        <v>1676897</v>
      </c>
      <c r="C248" s="18" t="n">
        <v>5</v>
      </c>
      <c r="D248" s="18" t="n">
        <v>329</v>
      </c>
      <c r="E248" s="18" t="n">
        <v>104</v>
      </c>
      <c r="F248" s="10">
        <f>IF($B248&gt;=Analysis!$P$1,IF($E248&lt;=Analysis!$P$2,"VIP","At risk"),IF($E248&lt;=Analysis!$P$2,"Loyal","Dormant"))</f>
        <v/>
      </c>
    </row>
    <row r="249">
      <c r="A249" s="10" t="inlineStr">
        <is>
          <t>C3247</t>
        </is>
      </c>
      <c r="B249" s="17" t="n">
        <v>1701158</v>
      </c>
      <c r="C249" s="18" t="n">
        <v>4</v>
      </c>
      <c r="D249" s="18" t="n">
        <v>127</v>
      </c>
      <c r="E249" s="18" t="n">
        <v>26</v>
      </c>
      <c r="F249" s="10">
        <f>IF($B249&gt;=Analysis!$P$1,IF($E249&lt;=Analysis!$P$2,"VIP","At risk"),IF($E249&lt;=Analysis!$P$2,"Loyal","Dormant"))</f>
        <v/>
      </c>
    </row>
    <row r="250">
      <c r="A250" s="10" t="inlineStr">
        <is>
          <t>C3248</t>
        </is>
      </c>
      <c r="B250" s="17" t="n">
        <v>1272168</v>
      </c>
      <c r="C250" s="18" t="n">
        <v>6</v>
      </c>
      <c r="D250" s="18" t="n">
        <v>217</v>
      </c>
      <c r="E250" s="18" t="n">
        <v>133</v>
      </c>
      <c r="F250" s="10">
        <f>IF($B250&gt;=Analysis!$P$1,IF($E250&lt;=Analysis!$P$2,"VIP","At risk"),IF($E250&lt;=Analysis!$P$2,"Loyal","Dormant"))</f>
        <v/>
      </c>
    </row>
    <row r="251">
      <c r="A251" s="10" t="inlineStr">
        <is>
          <t>C3249</t>
        </is>
      </c>
      <c r="B251" s="17" t="n">
        <v>3858484</v>
      </c>
      <c r="C251" s="18" t="n">
        <v>9</v>
      </c>
      <c r="D251" s="18" t="n">
        <v>519</v>
      </c>
      <c r="E251" s="18" t="n">
        <v>20</v>
      </c>
      <c r="F251" s="10">
        <f>IF($B251&gt;=Analysis!$P$1,IF($E251&lt;=Analysis!$P$2,"VIP","At risk"),IF($E251&lt;=Analysis!$P$2,"Loyal","Dormant"))</f>
        <v/>
      </c>
    </row>
    <row r="252">
      <c r="A252" s="10" t="inlineStr">
        <is>
          <t>C3250</t>
        </is>
      </c>
      <c r="B252" s="17" t="n">
        <v>105627</v>
      </c>
      <c r="C252" s="18" t="n">
        <v>7</v>
      </c>
      <c r="D252" s="18" t="n">
        <v>544</v>
      </c>
      <c r="E252" s="18" t="n">
        <v>37</v>
      </c>
      <c r="F252" s="10">
        <f>IF($B252&gt;=Analysis!$P$1,IF($E252&lt;=Analysis!$P$2,"VIP","At risk"),IF($E252&lt;=Analysis!$P$2,"Loyal","Dormant"))</f>
        <v/>
      </c>
    </row>
    <row r="253">
      <c r="A253" s="10" t="inlineStr">
        <is>
          <t>C3251</t>
        </is>
      </c>
      <c r="B253" s="17" t="n">
        <v>2715648</v>
      </c>
      <c r="C253" s="18" t="n">
        <v>14</v>
      </c>
      <c r="D253" s="18" t="n">
        <v>228</v>
      </c>
      <c r="E253" s="18" t="n">
        <v>15</v>
      </c>
      <c r="F253" s="10">
        <f>IF($B253&gt;=Analysis!$P$1,IF($E253&lt;=Analysis!$P$2,"VIP","At risk"),IF($E253&lt;=Analysis!$P$2,"Loyal","Dormant"))</f>
        <v/>
      </c>
    </row>
    <row r="254">
      <c r="A254" s="10" t="inlineStr">
        <is>
          <t>C3252</t>
        </is>
      </c>
      <c r="B254" s="17" t="n">
        <v>3204675</v>
      </c>
      <c r="C254" s="18" t="n">
        <v>12</v>
      </c>
      <c r="D254" s="18" t="n">
        <v>478</v>
      </c>
      <c r="E254" s="18" t="n">
        <v>12</v>
      </c>
      <c r="F254" s="10">
        <f>IF($B254&gt;=Analysis!$P$1,IF($E254&lt;=Analysis!$P$2,"VIP","At risk"),IF($E254&lt;=Analysis!$P$2,"Loyal","Dormant"))</f>
        <v/>
      </c>
    </row>
    <row r="255">
      <c r="A255" s="10" t="inlineStr">
        <is>
          <t>C3253</t>
        </is>
      </c>
      <c r="B255" s="17" t="n">
        <v>767233</v>
      </c>
      <c r="C255" s="18" t="n">
        <v>6</v>
      </c>
      <c r="D255" s="18" t="n">
        <v>377</v>
      </c>
      <c r="E255" s="18" t="n">
        <v>119</v>
      </c>
      <c r="F255" s="10">
        <f>IF($B255&gt;=Analysis!$P$1,IF($E255&lt;=Analysis!$P$2,"VIP","At risk"),IF($E255&lt;=Analysis!$P$2,"Loyal","Dormant"))</f>
        <v/>
      </c>
    </row>
    <row r="256">
      <c r="A256" s="10" t="inlineStr">
        <is>
          <t>C3254</t>
        </is>
      </c>
      <c r="B256" s="17" t="n">
        <v>5010033</v>
      </c>
      <c r="C256" s="18" t="n">
        <v>30</v>
      </c>
      <c r="D256" s="18" t="n">
        <v>627</v>
      </c>
      <c r="E256" s="18" t="n">
        <v>8</v>
      </c>
      <c r="F256" s="10">
        <f>IF($B256&gt;=Analysis!$P$1,IF($E256&lt;=Analysis!$P$2,"VIP","At risk"),IF($E256&lt;=Analysis!$P$2,"Loyal","Dormant"))</f>
        <v/>
      </c>
    </row>
    <row r="257">
      <c r="A257" s="10" t="inlineStr">
        <is>
          <t>C3255</t>
        </is>
      </c>
      <c r="B257" s="17" t="n">
        <v>8874165</v>
      </c>
      <c r="C257" s="18" t="n">
        <v>39</v>
      </c>
      <c r="D257" s="18" t="n">
        <v>759</v>
      </c>
      <c r="E257" s="18" t="n">
        <v>7</v>
      </c>
      <c r="F257" s="10">
        <f>IF($B257&gt;=Analysis!$P$1,IF($E257&lt;=Analysis!$P$2,"VIP","At risk"),IF($E257&lt;=Analysis!$P$2,"Loyal","Dormant"))</f>
        <v/>
      </c>
    </row>
    <row r="258">
      <c r="A258" s="10" t="inlineStr">
        <is>
          <t>C3256</t>
        </is>
      </c>
      <c r="B258" s="17" t="n">
        <v>1225853</v>
      </c>
      <c r="C258" s="18" t="n">
        <v>1</v>
      </c>
      <c r="D258" s="18" t="n">
        <v>55</v>
      </c>
      <c r="E258" s="18" t="n">
        <v>20</v>
      </c>
      <c r="F258" s="10">
        <f>IF($B258&gt;=Analysis!$P$1,IF($E258&lt;=Analysis!$P$2,"VIP","At risk"),IF($E258&lt;=Analysis!$P$2,"Loyal","Dormant"))</f>
        <v/>
      </c>
    </row>
    <row r="259">
      <c r="A259" s="10" t="inlineStr">
        <is>
          <t>C3257</t>
        </is>
      </c>
      <c r="B259" s="17" t="n">
        <v>1821828</v>
      </c>
      <c r="C259" s="18" t="n">
        <v>1</v>
      </c>
      <c r="D259" s="18" t="n">
        <v>67</v>
      </c>
      <c r="E259" s="18" t="n">
        <v>45</v>
      </c>
      <c r="F259" s="10">
        <f>IF($B259&gt;=Analysis!$P$1,IF($E259&lt;=Analysis!$P$2,"VIP","At risk"),IF($E259&lt;=Analysis!$P$2,"Loyal","Dormant"))</f>
        <v/>
      </c>
    </row>
    <row r="260">
      <c r="A260" s="10" t="inlineStr">
        <is>
          <t>C3258</t>
        </is>
      </c>
      <c r="B260" s="17" t="n">
        <v>367303</v>
      </c>
      <c r="C260" s="18" t="n">
        <v>5</v>
      </c>
      <c r="D260" s="18" t="n">
        <v>439</v>
      </c>
      <c r="E260" s="18" t="n">
        <v>125</v>
      </c>
      <c r="F260" s="10">
        <f>IF($B260&gt;=Analysis!$P$1,IF($E260&lt;=Analysis!$P$2,"VIP","At risk"),IF($E260&lt;=Analysis!$P$2,"Loyal","Dormant"))</f>
        <v/>
      </c>
    </row>
    <row r="261">
      <c r="A261" s="10" t="inlineStr">
        <is>
          <t>C3259</t>
        </is>
      </c>
      <c r="B261" s="17" t="n">
        <v>838250</v>
      </c>
      <c r="C261" s="18" t="n">
        <v>7</v>
      </c>
      <c r="D261" s="18" t="n">
        <v>217</v>
      </c>
      <c r="E261" s="18" t="n">
        <v>87</v>
      </c>
      <c r="F261" s="10">
        <f>IF($B261&gt;=Analysis!$P$1,IF($E261&lt;=Analysis!$P$2,"VIP","At risk"),IF($E261&lt;=Analysis!$P$2,"Loyal","Dormant"))</f>
        <v/>
      </c>
    </row>
    <row r="262">
      <c r="A262" s="10" t="inlineStr">
        <is>
          <t>C3260</t>
        </is>
      </c>
      <c r="B262" s="17" t="n">
        <v>722515</v>
      </c>
      <c r="C262" s="18" t="n">
        <v>5</v>
      </c>
      <c r="D262" s="18" t="n">
        <v>499</v>
      </c>
      <c r="E262" s="18" t="n">
        <v>36</v>
      </c>
      <c r="F262" s="10">
        <f>IF($B262&gt;=Analysis!$P$1,IF($E262&lt;=Analysis!$P$2,"VIP","At risk"),IF($E262&lt;=Analysis!$P$2,"Loyal","Dormant"))</f>
        <v/>
      </c>
    </row>
    <row r="263">
      <c r="A263" s="10" t="inlineStr">
        <is>
          <t>C3261</t>
        </is>
      </c>
      <c r="B263" s="17" t="n">
        <v>1373757</v>
      </c>
      <c r="C263" s="18" t="n">
        <v>6</v>
      </c>
      <c r="D263" s="18" t="n">
        <v>153</v>
      </c>
      <c r="E263" s="18" t="n">
        <v>12</v>
      </c>
      <c r="F263" s="10">
        <f>IF($B263&gt;=Analysis!$P$1,IF($E263&lt;=Analysis!$P$2,"VIP","At risk"),IF($E263&lt;=Analysis!$P$2,"Loyal","Dormant"))</f>
        <v/>
      </c>
    </row>
    <row r="264">
      <c r="A264" s="10" t="inlineStr">
        <is>
          <t>C3262</t>
        </is>
      </c>
      <c r="B264" s="17" t="n">
        <v>4835554</v>
      </c>
      <c r="C264" s="18" t="n">
        <v>13</v>
      </c>
      <c r="D264" s="18" t="n">
        <v>453</v>
      </c>
      <c r="E264" s="18" t="n">
        <v>25</v>
      </c>
      <c r="F264" s="10">
        <f>IF($B264&gt;=Analysis!$P$1,IF($E264&lt;=Analysis!$P$2,"VIP","At risk"),IF($E264&lt;=Analysis!$P$2,"Loyal","Dormant"))</f>
        <v/>
      </c>
    </row>
    <row r="265">
      <c r="A265" s="10" t="inlineStr">
        <is>
          <t>C3263</t>
        </is>
      </c>
      <c r="B265" s="17" t="n">
        <v>1342316</v>
      </c>
      <c r="C265" s="18" t="n">
        <v>1</v>
      </c>
      <c r="D265" s="18" t="n">
        <v>292</v>
      </c>
      <c r="E265" s="18" t="n">
        <v>43</v>
      </c>
      <c r="F265" s="10">
        <f>IF($B265&gt;=Analysis!$P$1,IF($E265&lt;=Analysis!$P$2,"VIP","At risk"),IF($E265&lt;=Analysis!$P$2,"Loyal","Dormant"))</f>
        <v/>
      </c>
    </row>
    <row r="266">
      <c r="A266" s="10" t="inlineStr">
        <is>
          <t>C3264</t>
        </is>
      </c>
      <c r="B266" s="17" t="n">
        <v>12146188</v>
      </c>
      <c r="C266" s="18" t="n">
        <v>33</v>
      </c>
      <c r="D266" s="18" t="n">
        <v>489</v>
      </c>
      <c r="E266" s="18" t="n">
        <v>3</v>
      </c>
      <c r="F266" s="10">
        <f>IF($B266&gt;=Analysis!$P$1,IF($E266&lt;=Analysis!$P$2,"VIP","At risk"),IF($E266&lt;=Analysis!$P$2,"Loyal","Dormant"))</f>
        <v/>
      </c>
    </row>
    <row r="267">
      <c r="A267" s="10" t="inlineStr">
        <is>
          <t>C3265</t>
        </is>
      </c>
      <c r="B267" s="17" t="n">
        <v>1246251</v>
      </c>
      <c r="C267" s="18" t="n">
        <v>2</v>
      </c>
      <c r="D267" s="18" t="n">
        <v>419</v>
      </c>
      <c r="E267" s="18" t="n">
        <v>51</v>
      </c>
      <c r="F267" s="10">
        <f>IF($B267&gt;=Analysis!$P$1,IF($E267&lt;=Analysis!$P$2,"VIP","At risk"),IF($E267&lt;=Analysis!$P$2,"Loyal","Dormant"))</f>
        <v/>
      </c>
    </row>
    <row r="268">
      <c r="A268" s="10" t="inlineStr">
        <is>
          <t>C3266</t>
        </is>
      </c>
      <c r="B268" s="17" t="n">
        <v>3871243</v>
      </c>
      <c r="C268" s="18" t="n">
        <v>15</v>
      </c>
      <c r="D268" s="18" t="n">
        <v>437</v>
      </c>
      <c r="E268" s="18" t="n">
        <v>45</v>
      </c>
      <c r="F268" s="10">
        <f>IF($B268&gt;=Analysis!$P$1,IF($E268&lt;=Analysis!$P$2,"VIP","At risk"),IF($E268&lt;=Analysis!$P$2,"Loyal","Dormant"))</f>
        <v/>
      </c>
    </row>
    <row r="269">
      <c r="A269" s="10" t="inlineStr">
        <is>
          <t>C3267</t>
        </is>
      </c>
      <c r="B269" s="17" t="n">
        <v>1173108</v>
      </c>
      <c r="C269" s="18" t="n">
        <v>12</v>
      </c>
      <c r="D269" s="18" t="n">
        <v>508</v>
      </c>
      <c r="E269" s="18" t="n">
        <v>15</v>
      </c>
      <c r="F269" s="10">
        <f>IF($B269&gt;=Analysis!$P$1,IF($E269&lt;=Analysis!$P$2,"VIP","At risk"),IF($E269&lt;=Analysis!$P$2,"Loyal","Dormant"))</f>
        <v/>
      </c>
    </row>
    <row r="270">
      <c r="A270" s="10" t="inlineStr">
        <is>
          <t>C3268</t>
        </is>
      </c>
      <c r="B270" s="17" t="n">
        <v>9519455</v>
      </c>
      <c r="C270" s="18" t="n">
        <v>33</v>
      </c>
      <c r="D270" s="18" t="n">
        <v>778</v>
      </c>
      <c r="E270" s="18" t="n">
        <v>12</v>
      </c>
      <c r="F270" s="10">
        <f>IF($B270&gt;=Analysis!$P$1,IF($E270&lt;=Analysis!$P$2,"VIP","At risk"),IF($E270&lt;=Analysis!$P$2,"Loyal","Dormant"))</f>
        <v/>
      </c>
    </row>
    <row r="271">
      <c r="A271" s="10" t="inlineStr">
        <is>
          <t>C3269</t>
        </is>
      </c>
      <c r="B271" s="17" t="n">
        <v>713924</v>
      </c>
      <c r="C271" s="18" t="n">
        <v>2</v>
      </c>
      <c r="D271" s="18" t="n">
        <v>429</v>
      </c>
      <c r="E271" s="18" t="n">
        <v>53</v>
      </c>
      <c r="F271" s="10">
        <f>IF($B271&gt;=Analysis!$P$1,IF($E271&lt;=Analysis!$P$2,"VIP","At risk"),IF($E271&lt;=Analysis!$P$2,"Loyal","Dormant"))</f>
        <v/>
      </c>
    </row>
    <row r="272">
      <c r="A272" s="10" t="inlineStr">
        <is>
          <t>C3270</t>
        </is>
      </c>
      <c r="B272" s="17" t="n">
        <v>78205</v>
      </c>
      <c r="C272" s="18" t="n">
        <v>5</v>
      </c>
      <c r="D272" s="18" t="n">
        <v>87</v>
      </c>
      <c r="E272" s="18" t="n">
        <v>7</v>
      </c>
      <c r="F272" s="10">
        <f>IF($B272&gt;=Analysis!$P$1,IF($E272&lt;=Analysis!$P$2,"VIP","At risk"),IF($E272&lt;=Analysis!$P$2,"Loyal","Dormant"))</f>
        <v/>
      </c>
    </row>
    <row r="273">
      <c r="A273" s="10" t="inlineStr">
        <is>
          <t>C3271</t>
        </is>
      </c>
      <c r="B273" s="17" t="n">
        <v>9311232</v>
      </c>
      <c r="C273" s="18" t="n">
        <v>24</v>
      </c>
      <c r="D273" s="18" t="n">
        <v>334</v>
      </c>
      <c r="E273" s="18" t="n">
        <v>11</v>
      </c>
      <c r="F273" s="10">
        <f>IF($B273&gt;=Analysis!$P$1,IF($E273&lt;=Analysis!$P$2,"VIP","At risk"),IF($E273&lt;=Analysis!$P$2,"Loyal","Dormant"))</f>
        <v/>
      </c>
    </row>
    <row r="274">
      <c r="A274" s="10" t="inlineStr">
        <is>
          <t>C3272</t>
        </is>
      </c>
      <c r="B274" s="17" t="n">
        <v>3187848</v>
      </c>
      <c r="C274" s="18" t="n">
        <v>12</v>
      </c>
      <c r="D274" s="18" t="n">
        <v>459</v>
      </c>
      <c r="E274" s="18" t="n">
        <v>35</v>
      </c>
      <c r="F274" s="10">
        <f>IF($B274&gt;=Analysis!$P$1,IF($E274&lt;=Analysis!$P$2,"VIP","At risk"),IF($E274&lt;=Analysis!$P$2,"Loyal","Dormant"))</f>
        <v/>
      </c>
    </row>
    <row r="275">
      <c r="A275" s="10" t="inlineStr">
        <is>
          <t>C3273</t>
        </is>
      </c>
      <c r="B275" s="17" t="n">
        <v>2901113</v>
      </c>
      <c r="C275" s="18" t="n">
        <v>24</v>
      </c>
      <c r="D275" s="18" t="n">
        <v>327</v>
      </c>
      <c r="E275" s="18" t="n">
        <v>17</v>
      </c>
      <c r="F275" s="10">
        <f>IF($B275&gt;=Analysis!$P$1,IF($E275&lt;=Analysis!$P$2,"VIP","At risk"),IF($E275&lt;=Analysis!$P$2,"Loyal","Dormant"))</f>
        <v/>
      </c>
    </row>
    <row r="276">
      <c r="A276" s="10" t="inlineStr">
        <is>
          <t>C3274</t>
        </is>
      </c>
      <c r="B276" s="17" t="n">
        <v>2476835</v>
      </c>
      <c r="C276" s="18" t="n">
        <v>17</v>
      </c>
      <c r="D276" s="18" t="n">
        <v>372</v>
      </c>
      <c r="E276" s="18" t="n">
        <v>20</v>
      </c>
      <c r="F276" s="10">
        <f>IF($B276&gt;=Analysis!$P$1,IF($E276&lt;=Analysis!$P$2,"VIP","At risk"),IF($E276&lt;=Analysis!$P$2,"Loyal","Dormant"))</f>
        <v/>
      </c>
    </row>
    <row r="277">
      <c r="A277" s="10" t="inlineStr">
        <is>
          <t>C3275</t>
        </is>
      </c>
      <c r="B277" s="17" t="n">
        <v>2022432</v>
      </c>
      <c r="C277" s="18" t="n">
        <v>9</v>
      </c>
      <c r="D277" s="18" t="n">
        <v>190</v>
      </c>
      <c r="E277" s="18" t="n">
        <v>15</v>
      </c>
      <c r="F277" s="10">
        <f>IF($B277&gt;=Analysis!$P$1,IF($E277&lt;=Analysis!$P$2,"VIP","At risk"),IF($E277&lt;=Analysis!$P$2,"Loyal","Dormant"))</f>
        <v/>
      </c>
    </row>
    <row r="278">
      <c r="A278" s="10" t="inlineStr">
        <is>
          <t>C3276</t>
        </is>
      </c>
      <c r="B278" s="17" t="n">
        <v>2878154</v>
      </c>
      <c r="C278" s="18" t="n">
        <v>10</v>
      </c>
      <c r="D278" s="18" t="n">
        <v>266</v>
      </c>
      <c r="E278" s="18" t="n">
        <v>25</v>
      </c>
      <c r="F278" s="10">
        <f>IF($B278&gt;=Analysis!$P$1,IF($E278&lt;=Analysis!$P$2,"VIP","At risk"),IF($E278&lt;=Analysis!$P$2,"Loyal","Dormant"))</f>
        <v/>
      </c>
    </row>
    <row r="279">
      <c r="A279" s="10" t="inlineStr">
        <is>
          <t>C3277</t>
        </is>
      </c>
      <c r="B279" s="17" t="n">
        <v>1251462</v>
      </c>
      <c r="C279" s="18" t="n">
        <v>3</v>
      </c>
      <c r="D279" s="18" t="n">
        <v>170</v>
      </c>
      <c r="E279" s="18" t="n">
        <v>50</v>
      </c>
      <c r="F279" s="10">
        <f>IF($B279&gt;=Analysis!$P$1,IF($E279&lt;=Analysis!$P$2,"VIP","At risk"),IF($E279&lt;=Analysis!$P$2,"Loyal","Dormant"))</f>
        <v/>
      </c>
    </row>
    <row r="280">
      <c r="A280" s="10" t="inlineStr">
        <is>
          <t>C3278</t>
        </is>
      </c>
      <c r="B280" s="17" t="n">
        <v>994060</v>
      </c>
      <c r="C280" s="18" t="n">
        <v>6</v>
      </c>
      <c r="D280" s="18" t="n">
        <v>327</v>
      </c>
      <c r="E280" s="18" t="n">
        <v>87</v>
      </c>
      <c r="F280" s="10">
        <f>IF($B280&gt;=Analysis!$P$1,IF($E280&lt;=Analysis!$P$2,"VIP","At risk"),IF($E280&lt;=Analysis!$P$2,"Loyal","Dormant"))</f>
        <v/>
      </c>
    </row>
    <row r="281">
      <c r="A281" s="10" t="inlineStr">
        <is>
          <t>C3279</t>
        </is>
      </c>
      <c r="B281" s="17" t="n">
        <v>775652</v>
      </c>
      <c r="C281" s="18" t="n">
        <v>4</v>
      </c>
      <c r="D281" s="18" t="n">
        <v>5</v>
      </c>
      <c r="E281" s="18" t="n">
        <v>56</v>
      </c>
      <c r="F281" s="10">
        <f>IF($B281&gt;=Analysis!$P$1,IF($E281&lt;=Analysis!$P$2,"VIP","At risk"),IF($E281&lt;=Analysis!$P$2,"Loyal","Dormant"))</f>
        <v/>
      </c>
    </row>
    <row r="282">
      <c r="A282" s="10" t="inlineStr">
        <is>
          <t>C3280</t>
        </is>
      </c>
      <c r="B282" s="17" t="n">
        <v>1379462</v>
      </c>
      <c r="C282" s="18" t="n">
        <v>2</v>
      </c>
      <c r="D282" s="18" t="n">
        <v>173</v>
      </c>
      <c r="E282" s="18" t="n">
        <v>2</v>
      </c>
      <c r="F282" s="10">
        <f>IF($B282&gt;=Analysis!$P$1,IF($E282&lt;=Analysis!$P$2,"VIP","At risk"),IF($E282&lt;=Analysis!$P$2,"Loyal","Dormant"))</f>
        <v/>
      </c>
    </row>
    <row r="283">
      <c r="A283" s="10" t="inlineStr">
        <is>
          <t>C3281</t>
        </is>
      </c>
      <c r="B283" s="17" t="n">
        <v>1292752</v>
      </c>
      <c r="C283" s="18" t="n">
        <v>2</v>
      </c>
      <c r="D283" s="18" t="n">
        <v>471</v>
      </c>
      <c r="E283" s="18" t="n">
        <v>122</v>
      </c>
      <c r="F283" s="10">
        <f>IF($B283&gt;=Analysis!$P$1,IF($E283&lt;=Analysis!$P$2,"VIP","At risk"),IF($E283&lt;=Analysis!$P$2,"Loyal","Dormant"))</f>
        <v/>
      </c>
    </row>
    <row r="284">
      <c r="A284" s="10" t="inlineStr">
        <is>
          <t>C3282</t>
        </is>
      </c>
      <c r="B284" s="17" t="n">
        <v>1487002</v>
      </c>
      <c r="C284" s="18" t="n">
        <v>2</v>
      </c>
      <c r="D284" s="18" t="n">
        <v>255</v>
      </c>
      <c r="E284" s="18" t="n">
        <v>48</v>
      </c>
      <c r="F284" s="10">
        <f>IF($B284&gt;=Analysis!$P$1,IF($E284&lt;=Analysis!$P$2,"VIP","At risk"),IF($E284&lt;=Analysis!$P$2,"Loyal","Dormant"))</f>
        <v/>
      </c>
    </row>
    <row r="285">
      <c r="A285" s="10" t="inlineStr">
        <is>
          <t>C3283</t>
        </is>
      </c>
      <c r="B285" s="17" t="n">
        <v>4311780</v>
      </c>
      <c r="C285" s="18" t="n">
        <v>17</v>
      </c>
      <c r="D285" s="18" t="n">
        <v>466</v>
      </c>
      <c r="E285" s="18" t="n">
        <v>42</v>
      </c>
      <c r="F285" s="10">
        <f>IF($B285&gt;=Analysis!$P$1,IF($E285&lt;=Analysis!$P$2,"VIP","At risk"),IF($E285&lt;=Analysis!$P$2,"Loyal","Dormant"))</f>
        <v/>
      </c>
    </row>
    <row r="286">
      <c r="A286" s="10" t="inlineStr">
        <is>
          <t>C3284</t>
        </is>
      </c>
      <c r="B286" s="17" t="n">
        <v>1146398</v>
      </c>
      <c r="C286" s="18" t="n">
        <v>5</v>
      </c>
      <c r="D286" s="18" t="n">
        <v>299</v>
      </c>
      <c r="E286" s="18" t="n">
        <v>68</v>
      </c>
      <c r="F286" s="10">
        <f>IF($B286&gt;=Analysis!$P$1,IF($E286&lt;=Analysis!$P$2,"VIP","At risk"),IF($E286&lt;=Analysis!$P$2,"Loyal","Dormant"))</f>
        <v/>
      </c>
    </row>
    <row r="287">
      <c r="A287" s="10" t="inlineStr">
        <is>
          <t>C3285</t>
        </is>
      </c>
      <c r="B287" s="17" t="n">
        <v>4232665</v>
      </c>
      <c r="C287" s="18" t="n">
        <v>23</v>
      </c>
      <c r="D287" s="18" t="n">
        <v>402</v>
      </c>
      <c r="E287" s="18" t="n">
        <v>19</v>
      </c>
      <c r="F287" s="10">
        <f>IF($B287&gt;=Analysis!$P$1,IF($E287&lt;=Analysis!$P$2,"VIP","At risk"),IF($E287&lt;=Analysis!$P$2,"Loyal","Dormant"))</f>
        <v/>
      </c>
    </row>
    <row r="288">
      <c r="A288" s="10" t="inlineStr">
        <is>
          <t>C3286</t>
        </is>
      </c>
      <c r="B288" s="17" t="n">
        <v>538649</v>
      </c>
      <c r="C288" s="18" t="n">
        <v>4</v>
      </c>
      <c r="D288" s="18" t="n">
        <v>14</v>
      </c>
      <c r="E288" s="18" t="n">
        <v>131</v>
      </c>
      <c r="F288" s="10">
        <f>IF($B288&gt;=Analysis!$P$1,IF($E288&lt;=Analysis!$P$2,"VIP","At risk"),IF($E288&lt;=Analysis!$P$2,"Loyal","Dormant"))</f>
        <v/>
      </c>
    </row>
    <row r="289">
      <c r="A289" s="10" t="inlineStr">
        <is>
          <t>C3287</t>
        </is>
      </c>
      <c r="B289" s="17" t="n">
        <v>762919</v>
      </c>
      <c r="C289" s="18" t="n">
        <v>4</v>
      </c>
      <c r="D289" s="18" t="n">
        <v>480</v>
      </c>
      <c r="E289" s="18" t="n">
        <v>80</v>
      </c>
      <c r="F289" s="10">
        <f>IF($B289&gt;=Analysis!$P$1,IF($E289&lt;=Analysis!$P$2,"VIP","At risk"),IF($E289&lt;=Analysis!$P$2,"Loyal","Dormant"))</f>
        <v/>
      </c>
    </row>
    <row r="290">
      <c r="A290" s="10" t="inlineStr">
        <is>
          <t>C3288</t>
        </is>
      </c>
      <c r="B290" s="17" t="n">
        <v>1891659</v>
      </c>
      <c r="C290" s="18" t="n">
        <v>1</v>
      </c>
      <c r="D290" s="18" t="n">
        <v>59</v>
      </c>
      <c r="E290" s="18" t="n">
        <v>23</v>
      </c>
      <c r="F290" s="10">
        <f>IF($B290&gt;=Analysis!$P$1,IF($E290&lt;=Analysis!$P$2,"VIP","At risk"),IF($E290&lt;=Analysis!$P$2,"Loyal","Dormant"))</f>
        <v/>
      </c>
    </row>
    <row r="291">
      <c r="A291" s="10" t="inlineStr">
        <is>
          <t>C3289</t>
        </is>
      </c>
      <c r="B291" s="17" t="n">
        <v>1517039</v>
      </c>
      <c r="C291" s="18" t="n">
        <v>5</v>
      </c>
      <c r="D291" s="18" t="n">
        <v>62</v>
      </c>
      <c r="E291" s="18" t="n">
        <v>1</v>
      </c>
      <c r="F291" s="10">
        <f>IF($B291&gt;=Analysis!$P$1,IF($E291&lt;=Analysis!$P$2,"VIP","At risk"),IF($E291&lt;=Analysis!$P$2,"Loyal","Dormant"))</f>
        <v/>
      </c>
    </row>
    <row r="292">
      <c r="A292" s="10" t="inlineStr">
        <is>
          <t>C3290</t>
        </is>
      </c>
      <c r="B292" s="17" t="n">
        <v>1583571</v>
      </c>
      <c r="C292" s="18" t="n">
        <v>2</v>
      </c>
      <c r="D292" s="18" t="n">
        <v>112</v>
      </c>
      <c r="E292" s="18" t="n">
        <v>19</v>
      </c>
      <c r="F292" s="10">
        <f>IF($B292&gt;=Analysis!$P$1,IF($E292&lt;=Analysis!$P$2,"VIP","At risk"),IF($E292&lt;=Analysis!$P$2,"Loyal","Dormant"))</f>
        <v/>
      </c>
    </row>
    <row r="293">
      <c r="A293" s="10" t="inlineStr">
        <is>
          <t>C3291</t>
        </is>
      </c>
      <c r="B293" s="17" t="n">
        <v>1179963</v>
      </c>
      <c r="C293" s="18" t="n">
        <v>4</v>
      </c>
      <c r="D293" s="18" t="n">
        <v>393</v>
      </c>
      <c r="E293" s="18" t="n">
        <v>26</v>
      </c>
      <c r="F293" s="10">
        <f>IF($B293&gt;=Analysis!$P$1,IF($E293&lt;=Analysis!$P$2,"VIP","At risk"),IF($E293&lt;=Analysis!$P$2,"Loyal","Dormant"))</f>
        <v/>
      </c>
    </row>
    <row r="294">
      <c r="A294" s="10" t="inlineStr">
        <is>
          <t>C3292</t>
        </is>
      </c>
      <c r="B294" s="17" t="n">
        <v>1105115</v>
      </c>
      <c r="C294" s="18" t="n">
        <v>5</v>
      </c>
      <c r="D294" s="18" t="n">
        <v>46</v>
      </c>
      <c r="E294" s="18" t="n">
        <v>23</v>
      </c>
      <c r="F294" s="10">
        <f>IF($B294&gt;=Analysis!$P$1,IF($E294&lt;=Analysis!$P$2,"VIP","At risk"),IF($E294&lt;=Analysis!$P$2,"Loyal","Dormant"))</f>
        <v/>
      </c>
    </row>
    <row r="295">
      <c r="A295" s="10" t="inlineStr">
        <is>
          <t>C3293</t>
        </is>
      </c>
      <c r="B295" s="17" t="n">
        <v>1546650</v>
      </c>
      <c r="C295" s="18" t="n">
        <v>7</v>
      </c>
      <c r="D295" s="18" t="n">
        <v>536</v>
      </c>
      <c r="E295" s="18" t="n">
        <v>90</v>
      </c>
      <c r="F295" s="10">
        <f>IF($B295&gt;=Analysis!$P$1,IF($E295&lt;=Analysis!$P$2,"VIP","At risk"),IF($E295&lt;=Analysis!$P$2,"Loyal","Dormant"))</f>
        <v/>
      </c>
    </row>
    <row r="296">
      <c r="A296" s="10" t="inlineStr">
        <is>
          <t>C3294</t>
        </is>
      </c>
      <c r="B296" s="17" t="n">
        <v>780622</v>
      </c>
      <c r="C296" s="18" t="n">
        <v>4</v>
      </c>
      <c r="D296" s="18" t="n">
        <v>520</v>
      </c>
      <c r="E296" s="18" t="n">
        <v>24</v>
      </c>
      <c r="F296" s="10">
        <f>IF($B296&gt;=Analysis!$P$1,IF($E296&lt;=Analysis!$P$2,"VIP","At risk"),IF($E296&lt;=Analysis!$P$2,"Loyal","Dormant"))</f>
        <v/>
      </c>
    </row>
    <row r="297">
      <c r="A297" s="10" t="inlineStr">
        <is>
          <t>C3295</t>
        </is>
      </c>
      <c r="B297" s="17" t="n">
        <v>1106495</v>
      </c>
      <c r="C297" s="18" t="n">
        <v>2</v>
      </c>
      <c r="D297" s="18" t="n">
        <v>98</v>
      </c>
      <c r="E297" s="18" t="n">
        <v>33</v>
      </c>
      <c r="F297" s="10">
        <f>IF($B297&gt;=Analysis!$P$1,IF($E297&lt;=Analysis!$P$2,"VIP","At risk"),IF($E297&lt;=Analysis!$P$2,"Loyal","Dormant"))</f>
        <v/>
      </c>
    </row>
    <row r="298">
      <c r="A298" s="10" t="inlineStr">
        <is>
          <t>C3296</t>
        </is>
      </c>
      <c r="B298" s="17" t="n">
        <v>978479</v>
      </c>
      <c r="C298" s="18" t="n">
        <v>1</v>
      </c>
      <c r="D298" s="18" t="n">
        <v>166</v>
      </c>
      <c r="E298" s="18" t="n">
        <v>19</v>
      </c>
      <c r="F298" s="10">
        <f>IF($B298&gt;=Analysis!$P$1,IF($E298&lt;=Analysis!$P$2,"VIP","At risk"),IF($E298&lt;=Analysis!$P$2,"Loyal","Dormant"))</f>
        <v/>
      </c>
    </row>
    <row r="299">
      <c r="A299" s="10" t="inlineStr">
        <is>
          <t>C3297</t>
        </is>
      </c>
      <c r="B299" s="17" t="n">
        <v>1784842</v>
      </c>
      <c r="C299" s="18" t="n">
        <v>2</v>
      </c>
      <c r="D299" s="18" t="n">
        <v>165</v>
      </c>
      <c r="E299" s="18" t="n">
        <v>45</v>
      </c>
      <c r="F299" s="10">
        <f>IF($B299&gt;=Analysis!$P$1,IF($E299&lt;=Analysis!$P$2,"VIP","At risk"),IF($E299&lt;=Analysis!$P$2,"Loyal","Dormant"))</f>
        <v/>
      </c>
    </row>
    <row r="300">
      <c r="A300" s="10" t="inlineStr">
        <is>
          <t>C3298</t>
        </is>
      </c>
      <c r="B300" s="17" t="n">
        <v>3407147</v>
      </c>
      <c r="C300" s="18" t="n">
        <v>10</v>
      </c>
      <c r="D300" s="18" t="n">
        <v>369</v>
      </c>
      <c r="E300" s="18" t="n">
        <v>35</v>
      </c>
      <c r="F300" s="10">
        <f>IF($B300&gt;=Analysis!$P$1,IF($E300&lt;=Analysis!$P$2,"VIP","At risk"),IF($E300&lt;=Analysis!$P$2,"Loyal","Dormant"))</f>
        <v/>
      </c>
    </row>
    <row r="301">
      <c r="A301" s="10" t="inlineStr">
        <is>
          <t>C3299</t>
        </is>
      </c>
      <c r="B301" s="17" t="n">
        <v>4384353</v>
      </c>
      <c r="C301" s="18" t="n">
        <v>12</v>
      </c>
      <c r="D301" s="18" t="n">
        <v>381</v>
      </c>
      <c r="E301" s="18" t="n">
        <v>26</v>
      </c>
      <c r="F301" s="10">
        <f>IF($B301&gt;=Analysis!$P$1,IF($E301&lt;=Analysis!$P$2,"VIP","At risk"),IF($E301&lt;=Analysis!$P$2,"Loyal","Dormant"))</f>
        <v/>
      </c>
    </row>
    <row r="302">
      <c r="A302" s="10" t="inlineStr">
        <is>
          <t>C3300</t>
        </is>
      </c>
      <c r="B302" s="17" t="n">
        <v>876344</v>
      </c>
      <c r="C302" s="18" t="n">
        <v>5</v>
      </c>
      <c r="D302" s="18" t="n">
        <v>43</v>
      </c>
      <c r="E302" s="18" t="n">
        <v>36</v>
      </c>
      <c r="F302" s="10">
        <f>IF($B302&gt;=Analysis!$P$1,IF($E302&lt;=Analysis!$P$2,"VIP","At risk"),IF($E302&lt;=Analysis!$P$2,"Loyal","Dormant"))</f>
        <v/>
      </c>
    </row>
    <row r="303">
      <c r="A303" s="10" t="inlineStr">
        <is>
          <t>C3301</t>
        </is>
      </c>
      <c r="B303" s="17" t="n">
        <v>3361525</v>
      </c>
      <c r="C303" s="18" t="n">
        <v>9</v>
      </c>
      <c r="D303" s="18" t="n">
        <v>400</v>
      </c>
      <c r="E303" s="18" t="n">
        <v>4</v>
      </c>
      <c r="F303" s="10">
        <f>IF($B303&gt;=Analysis!$P$1,IF($E303&lt;=Analysis!$P$2,"VIP","At risk"),IF($E303&lt;=Analysis!$P$2,"Loyal","Dormant"))</f>
        <v/>
      </c>
    </row>
    <row r="304">
      <c r="A304" s="10" t="inlineStr">
        <is>
          <t>C3302</t>
        </is>
      </c>
      <c r="B304" s="17" t="n">
        <v>2267331</v>
      </c>
      <c r="C304" s="18" t="n">
        <v>4</v>
      </c>
      <c r="D304" s="18" t="n">
        <v>126</v>
      </c>
      <c r="E304" s="18" t="n">
        <v>1</v>
      </c>
      <c r="F304" s="10">
        <f>IF($B304&gt;=Analysis!$P$1,IF($E304&lt;=Analysis!$P$2,"VIP","At risk"),IF($E304&lt;=Analysis!$P$2,"Loyal","Dormant"))</f>
        <v/>
      </c>
    </row>
    <row r="305">
      <c r="A305" s="10" t="inlineStr">
        <is>
          <t>C3303</t>
        </is>
      </c>
      <c r="B305" s="17" t="n">
        <v>4317719</v>
      </c>
      <c r="C305" s="18" t="n">
        <v>11</v>
      </c>
      <c r="D305" s="18" t="n">
        <v>477</v>
      </c>
      <c r="E305" s="18" t="n">
        <v>35</v>
      </c>
      <c r="F305" s="10">
        <f>IF($B305&gt;=Analysis!$P$1,IF($E305&lt;=Analysis!$P$2,"VIP","At risk"),IF($E305&lt;=Analysis!$P$2,"Loyal","Dormant"))</f>
        <v/>
      </c>
    </row>
    <row r="306">
      <c r="A306" s="10" t="inlineStr">
        <is>
          <t>C3304</t>
        </is>
      </c>
      <c r="B306" s="17" t="n">
        <v>569072</v>
      </c>
      <c r="C306" s="18" t="n">
        <v>1</v>
      </c>
      <c r="D306" s="18" t="n">
        <v>175</v>
      </c>
      <c r="E306" s="18" t="n">
        <v>43</v>
      </c>
      <c r="F306" s="10">
        <f>IF($B306&gt;=Analysis!$P$1,IF($E306&lt;=Analysis!$P$2,"VIP","At risk"),IF($E306&lt;=Analysis!$P$2,"Loyal","Dormant"))</f>
        <v/>
      </c>
    </row>
    <row r="307">
      <c r="A307" s="10" t="inlineStr">
        <is>
          <t>C3305</t>
        </is>
      </c>
      <c r="B307" s="17" t="n">
        <v>2661178</v>
      </c>
      <c r="C307" s="18" t="n">
        <v>1</v>
      </c>
      <c r="D307" s="18" t="n">
        <v>77</v>
      </c>
      <c r="E307" s="18" t="n">
        <v>38</v>
      </c>
      <c r="F307" s="10">
        <f>IF($B307&gt;=Analysis!$P$1,IF($E307&lt;=Analysis!$P$2,"VIP","At risk"),IF($E307&lt;=Analysis!$P$2,"Loyal","Dormant"))</f>
        <v/>
      </c>
    </row>
    <row r="308">
      <c r="A308" s="10" t="inlineStr">
        <is>
          <t>C3306</t>
        </is>
      </c>
      <c r="B308" s="17" t="n">
        <v>1031964</v>
      </c>
      <c r="C308" s="18" t="n">
        <v>1</v>
      </c>
      <c r="D308" s="18" t="n">
        <v>61</v>
      </c>
      <c r="E308" s="18" t="n">
        <v>24</v>
      </c>
      <c r="F308" s="10">
        <f>IF($B308&gt;=Analysis!$P$1,IF($E308&lt;=Analysis!$P$2,"VIP","At risk"),IF($E308&lt;=Analysis!$P$2,"Loyal","Dormant"))</f>
        <v/>
      </c>
    </row>
    <row r="309">
      <c r="A309" s="10" t="inlineStr">
        <is>
          <t>C3307</t>
        </is>
      </c>
      <c r="B309" s="17" t="n">
        <v>878208</v>
      </c>
      <c r="C309" s="18" t="n">
        <v>4</v>
      </c>
      <c r="D309" s="18" t="n">
        <v>34</v>
      </c>
      <c r="E309" s="18" t="n">
        <v>30</v>
      </c>
      <c r="F309" s="10">
        <f>IF($B309&gt;=Analysis!$P$1,IF($E309&lt;=Analysis!$P$2,"VIP","At risk"),IF($E309&lt;=Analysis!$P$2,"Loyal","Dormant"))</f>
        <v/>
      </c>
    </row>
    <row r="310">
      <c r="A310" s="10" t="inlineStr">
        <is>
          <t>C3308</t>
        </is>
      </c>
      <c r="B310" s="17" t="n">
        <v>3296100</v>
      </c>
      <c r="C310" s="18" t="n">
        <v>9</v>
      </c>
      <c r="D310" s="18" t="n">
        <v>346</v>
      </c>
      <c r="E310" s="18" t="n">
        <v>22</v>
      </c>
      <c r="F310" s="10">
        <f>IF($B310&gt;=Analysis!$P$1,IF($E310&lt;=Analysis!$P$2,"VIP","At risk"),IF($E310&lt;=Analysis!$P$2,"Loyal","Dormant"))</f>
        <v/>
      </c>
    </row>
    <row r="311">
      <c r="A311" s="10" t="inlineStr">
        <is>
          <t>C3309</t>
        </is>
      </c>
      <c r="B311" s="17" t="n">
        <v>2605940</v>
      </c>
      <c r="C311" s="18" t="n">
        <v>13</v>
      </c>
      <c r="D311" s="18" t="n">
        <v>304</v>
      </c>
      <c r="E311" s="18" t="n">
        <v>12</v>
      </c>
      <c r="F311" s="10">
        <f>IF($B311&gt;=Analysis!$P$1,IF($E311&lt;=Analysis!$P$2,"VIP","At risk"),IF($E311&lt;=Analysis!$P$2,"Loyal","Dormant"))</f>
        <v/>
      </c>
    </row>
    <row r="312">
      <c r="A312" s="10" t="inlineStr">
        <is>
          <t>C3310</t>
        </is>
      </c>
      <c r="B312" s="17" t="n">
        <v>2390772</v>
      </c>
      <c r="C312" s="18" t="n">
        <v>2</v>
      </c>
      <c r="D312" s="18" t="n">
        <v>80</v>
      </c>
      <c r="E312" s="18" t="n">
        <v>3</v>
      </c>
      <c r="F312" s="10">
        <f>IF($B312&gt;=Analysis!$P$1,IF($E312&lt;=Analysis!$P$2,"VIP","At risk"),IF($E312&lt;=Analysis!$P$2,"Loyal","Dormant"))</f>
        <v/>
      </c>
    </row>
    <row r="313">
      <c r="A313" s="10" t="inlineStr">
        <is>
          <t>C3311</t>
        </is>
      </c>
      <c r="B313" s="17" t="n">
        <v>1502348</v>
      </c>
      <c r="C313" s="18" t="n">
        <v>7</v>
      </c>
      <c r="D313" s="18" t="n">
        <v>397</v>
      </c>
      <c r="E313" s="18" t="n">
        <v>45</v>
      </c>
      <c r="F313" s="10">
        <f>IF($B313&gt;=Analysis!$P$1,IF($E313&lt;=Analysis!$P$2,"VIP","At risk"),IF($E313&lt;=Analysis!$P$2,"Loyal","Dormant"))</f>
        <v/>
      </c>
    </row>
    <row r="314">
      <c r="A314" s="10" t="inlineStr">
        <is>
          <t>C3312</t>
        </is>
      </c>
      <c r="B314" s="17" t="n">
        <v>4114613</v>
      </c>
      <c r="C314" s="18" t="n">
        <v>13</v>
      </c>
      <c r="D314" s="18" t="n">
        <v>450</v>
      </c>
      <c r="E314" s="18" t="n">
        <v>14</v>
      </c>
      <c r="F314" s="10">
        <f>IF($B314&gt;=Analysis!$P$1,IF($E314&lt;=Analysis!$P$2,"VIP","At risk"),IF($E314&lt;=Analysis!$P$2,"Loyal","Dormant"))</f>
        <v/>
      </c>
    </row>
    <row r="315">
      <c r="A315" s="10" t="inlineStr">
        <is>
          <t>C3313</t>
        </is>
      </c>
      <c r="B315" s="17" t="n">
        <v>1230708</v>
      </c>
      <c r="C315" s="18" t="n">
        <v>1</v>
      </c>
      <c r="D315" s="18" t="n">
        <v>219</v>
      </c>
      <c r="E315" s="18" t="n">
        <v>103</v>
      </c>
      <c r="F315" s="10">
        <f>IF($B315&gt;=Analysis!$P$1,IF($E315&lt;=Analysis!$P$2,"VIP","At risk"),IF($E315&lt;=Analysis!$P$2,"Loyal","Dormant"))</f>
        <v/>
      </c>
    </row>
    <row r="316">
      <c r="A316" s="10" t="inlineStr">
        <is>
          <t>C3314</t>
        </is>
      </c>
      <c r="B316" s="17" t="n">
        <v>3628942</v>
      </c>
      <c r="C316" s="18" t="n">
        <v>17</v>
      </c>
      <c r="D316" s="18" t="n">
        <v>637</v>
      </c>
      <c r="E316" s="18" t="n">
        <v>5</v>
      </c>
      <c r="F316" s="10">
        <f>IF($B316&gt;=Analysis!$P$1,IF($E316&lt;=Analysis!$P$2,"VIP","At risk"),IF($E316&lt;=Analysis!$P$2,"Loyal","Dormant"))</f>
        <v/>
      </c>
    </row>
    <row r="317">
      <c r="A317" s="10" t="inlineStr">
        <is>
          <t>C3315</t>
        </is>
      </c>
      <c r="B317" s="17" t="n">
        <v>327897</v>
      </c>
      <c r="C317" s="18" t="n">
        <v>2</v>
      </c>
      <c r="D317" s="18" t="n">
        <v>260</v>
      </c>
      <c r="E317" s="18" t="n">
        <v>34</v>
      </c>
      <c r="F317" s="10">
        <f>IF($B317&gt;=Analysis!$P$1,IF($E317&lt;=Analysis!$P$2,"VIP","At risk"),IF($E317&lt;=Analysis!$P$2,"Loyal","Dormant"))</f>
        <v/>
      </c>
    </row>
    <row r="318">
      <c r="A318" s="10" t="inlineStr">
        <is>
          <t>C3316</t>
        </is>
      </c>
      <c r="B318" s="17" t="n">
        <v>3400496</v>
      </c>
      <c r="C318" s="18" t="n">
        <v>10</v>
      </c>
      <c r="D318" s="18" t="n">
        <v>439</v>
      </c>
      <c r="E318" s="18" t="n">
        <v>23</v>
      </c>
      <c r="F318" s="10">
        <f>IF($B318&gt;=Analysis!$P$1,IF($E318&lt;=Analysis!$P$2,"VIP","At risk"),IF($E318&lt;=Analysis!$P$2,"Loyal","Dormant"))</f>
        <v/>
      </c>
    </row>
    <row r="319">
      <c r="A319" s="10" t="inlineStr">
        <is>
          <t>C3317</t>
        </is>
      </c>
      <c r="B319" s="17" t="n">
        <v>1527415</v>
      </c>
      <c r="C319" s="18" t="n">
        <v>8</v>
      </c>
      <c r="D319" s="18" t="n">
        <v>280</v>
      </c>
      <c r="E319" s="18" t="n">
        <v>113</v>
      </c>
      <c r="F319" s="10">
        <f>IF($B319&gt;=Analysis!$P$1,IF($E319&lt;=Analysis!$P$2,"VIP","At risk"),IF($E319&lt;=Analysis!$P$2,"Loyal","Dormant"))</f>
        <v/>
      </c>
    </row>
    <row r="320">
      <c r="A320" s="10" t="inlineStr">
        <is>
          <t>C3318</t>
        </is>
      </c>
      <c r="B320" s="17" t="n">
        <v>3978112</v>
      </c>
      <c r="C320" s="18" t="n">
        <v>11</v>
      </c>
      <c r="D320" s="18" t="n">
        <v>303</v>
      </c>
      <c r="E320" s="18" t="n">
        <v>6</v>
      </c>
      <c r="F320" s="10">
        <f>IF($B320&gt;=Analysis!$P$1,IF($E320&lt;=Analysis!$P$2,"VIP","At risk"),IF($E320&lt;=Analysis!$P$2,"Loyal","Dormant"))</f>
        <v/>
      </c>
    </row>
    <row r="321">
      <c r="A321" s="10" t="inlineStr">
        <is>
          <t>C3319</t>
        </is>
      </c>
      <c r="B321" s="17" t="n">
        <v>506723</v>
      </c>
      <c r="C321" s="18" t="n">
        <v>4</v>
      </c>
      <c r="D321" s="18" t="n">
        <v>328</v>
      </c>
      <c r="E321" s="18" t="n">
        <v>123</v>
      </c>
      <c r="F321" s="10">
        <f>IF($B321&gt;=Analysis!$P$1,IF($E321&lt;=Analysis!$P$2,"VIP","At risk"),IF($E321&lt;=Analysis!$P$2,"Loyal","Dormant"))</f>
        <v/>
      </c>
    </row>
    <row r="322">
      <c r="A322" s="10" t="inlineStr">
        <is>
          <t>C3320</t>
        </is>
      </c>
      <c r="B322" s="17" t="n">
        <v>1545857</v>
      </c>
      <c r="C322" s="18" t="n">
        <v>4</v>
      </c>
      <c r="D322" s="18" t="n">
        <v>410</v>
      </c>
      <c r="E322" s="18" t="n">
        <v>122</v>
      </c>
      <c r="F322" s="10">
        <f>IF($B322&gt;=Analysis!$P$1,IF($E322&lt;=Analysis!$P$2,"VIP","At risk"),IF($E322&lt;=Analysis!$P$2,"Loyal","Dormant"))</f>
        <v/>
      </c>
    </row>
    <row r="323">
      <c r="A323" s="10" t="inlineStr">
        <is>
          <t>C3321</t>
        </is>
      </c>
      <c r="B323" s="17" t="n">
        <v>1099631</v>
      </c>
      <c r="C323" s="18" t="n">
        <v>2</v>
      </c>
      <c r="D323" s="18" t="n">
        <v>49</v>
      </c>
      <c r="E323" s="18" t="n">
        <v>33</v>
      </c>
      <c r="F323" s="10">
        <f>IF($B323&gt;=Analysis!$P$1,IF($E323&lt;=Analysis!$P$2,"VIP","At risk"),IF($E323&lt;=Analysis!$P$2,"Loyal","Dormant"))</f>
        <v/>
      </c>
    </row>
    <row r="324">
      <c r="A324" s="10" t="inlineStr">
        <is>
          <t>C3322</t>
        </is>
      </c>
      <c r="B324" s="17" t="n">
        <v>747213</v>
      </c>
      <c r="C324" s="18" t="n">
        <v>5</v>
      </c>
      <c r="D324" s="18" t="n">
        <v>403</v>
      </c>
      <c r="E324" s="18" t="n">
        <v>87</v>
      </c>
      <c r="F324" s="10">
        <f>IF($B324&gt;=Analysis!$P$1,IF($E324&lt;=Analysis!$P$2,"VIP","At risk"),IF($E324&lt;=Analysis!$P$2,"Loyal","Dormant"))</f>
        <v/>
      </c>
    </row>
    <row r="325">
      <c r="A325" s="10" t="inlineStr">
        <is>
          <t>C3323</t>
        </is>
      </c>
      <c r="B325" s="17" t="n">
        <v>1377832</v>
      </c>
      <c r="C325" s="18" t="n">
        <v>5</v>
      </c>
      <c r="D325" s="18" t="n">
        <v>291</v>
      </c>
      <c r="E325" s="18" t="n">
        <v>53</v>
      </c>
      <c r="F325" s="10">
        <f>IF($B325&gt;=Analysis!$P$1,IF($E325&lt;=Analysis!$P$2,"VIP","At risk"),IF($E325&lt;=Analysis!$P$2,"Loyal","Dormant"))</f>
        <v/>
      </c>
    </row>
    <row r="326">
      <c r="A326" s="10" t="inlineStr">
        <is>
          <t>C3324</t>
        </is>
      </c>
      <c r="B326" s="17" t="n">
        <v>601518</v>
      </c>
      <c r="C326" s="18" t="n">
        <v>3</v>
      </c>
      <c r="D326" s="18" t="n">
        <v>462</v>
      </c>
      <c r="E326" s="18" t="n">
        <v>12</v>
      </c>
      <c r="F326" s="10">
        <f>IF($B326&gt;=Analysis!$P$1,IF($E326&lt;=Analysis!$P$2,"VIP","At risk"),IF($E326&lt;=Analysis!$P$2,"Loyal","Dormant"))</f>
        <v/>
      </c>
    </row>
    <row r="327">
      <c r="A327" s="10" t="inlineStr">
        <is>
          <t>C3325</t>
        </is>
      </c>
      <c r="B327" s="17" t="n">
        <v>1612195</v>
      </c>
      <c r="C327" s="18" t="n">
        <v>1</v>
      </c>
      <c r="D327" s="18" t="n">
        <v>25</v>
      </c>
      <c r="E327" s="18" t="n">
        <v>1</v>
      </c>
      <c r="F327" s="10">
        <f>IF($B327&gt;=Analysis!$P$1,IF($E327&lt;=Analysis!$P$2,"VIP","At risk"),IF($E327&lt;=Analysis!$P$2,"Loyal","Dormant"))</f>
        <v/>
      </c>
    </row>
    <row r="328">
      <c r="A328" s="10" t="inlineStr">
        <is>
          <t>C3326</t>
        </is>
      </c>
      <c r="B328" s="17" t="n">
        <v>1628248</v>
      </c>
      <c r="C328" s="18" t="n">
        <v>1</v>
      </c>
      <c r="D328" s="18" t="n">
        <v>86</v>
      </c>
      <c r="E328" s="18" t="n">
        <v>29</v>
      </c>
      <c r="F328" s="10">
        <f>IF($B328&gt;=Analysis!$P$1,IF($E328&lt;=Analysis!$P$2,"VIP","At risk"),IF($E328&lt;=Analysis!$P$2,"Loyal","Dormant"))</f>
        <v/>
      </c>
    </row>
    <row r="329">
      <c r="A329" s="10" t="inlineStr">
        <is>
          <t>C3327</t>
        </is>
      </c>
      <c r="B329" s="17" t="n">
        <v>1062237</v>
      </c>
      <c r="C329" s="18" t="n">
        <v>3</v>
      </c>
      <c r="D329" s="18" t="n">
        <v>476</v>
      </c>
      <c r="E329" s="18" t="n">
        <v>81</v>
      </c>
      <c r="F329" s="10">
        <f>IF($B329&gt;=Analysis!$P$1,IF($E329&lt;=Analysis!$P$2,"VIP","At risk"),IF($E329&lt;=Analysis!$P$2,"Loyal","Dormant"))</f>
        <v/>
      </c>
    </row>
    <row r="330">
      <c r="A330" s="10" t="inlineStr">
        <is>
          <t>C3328</t>
        </is>
      </c>
      <c r="B330" s="17" t="n">
        <v>6527520</v>
      </c>
      <c r="C330" s="18" t="n">
        <v>37</v>
      </c>
      <c r="D330" s="18" t="n">
        <v>465</v>
      </c>
      <c r="E330" s="18" t="n">
        <v>12</v>
      </c>
      <c r="F330" s="10">
        <f>IF($B330&gt;=Analysis!$P$1,IF($E330&lt;=Analysis!$P$2,"VIP","At risk"),IF($E330&lt;=Analysis!$P$2,"Loyal","Dormant"))</f>
        <v/>
      </c>
    </row>
    <row r="331">
      <c r="A331" s="10" t="inlineStr">
        <is>
          <t>C3329</t>
        </is>
      </c>
      <c r="B331" s="17" t="n">
        <v>1313639</v>
      </c>
      <c r="C331" s="18" t="n">
        <v>1</v>
      </c>
      <c r="D331" s="18" t="n">
        <v>365</v>
      </c>
      <c r="E331" s="18" t="n">
        <v>57</v>
      </c>
      <c r="F331" s="10">
        <f>IF($B331&gt;=Analysis!$P$1,IF($E331&lt;=Analysis!$P$2,"VIP","At risk"),IF($E331&lt;=Analysis!$P$2,"Loyal","Dormant"))</f>
        <v/>
      </c>
    </row>
    <row r="332">
      <c r="A332" s="10" t="inlineStr">
        <is>
          <t>C3330</t>
        </is>
      </c>
      <c r="B332" s="17" t="n">
        <v>782038</v>
      </c>
      <c r="C332" s="18" t="n">
        <v>4</v>
      </c>
      <c r="D332" s="18" t="n">
        <v>68</v>
      </c>
      <c r="E332" s="18" t="n">
        <v>6</v>
      </c>
      <c r="F332" s="10">
        <f>IF($B332&gt;=Analysis!$P$1,IF($E332&lt;=Analysis!$P$2,"VIP","At risk"),IF($E332&lt;=Analysis!$P$2,"Loyal","Dormant"))</f>
        <v/>
      </c>
    </row>
    <row r="333">
      <c r="A333" s="10" t="inlineStr">
        <is>
          <t>C3331</t>
        </is>
      </c>
      <c r="B333" s="17" t="n">
        <v>3155589</v>
      </c>
      <c r="C333" s="18" t="n">
        <v>12</v>
      </c>
      <c r="D333" s="18" t="n">
        <v>230</v>
      </c>
      <c r="E333" s="18" t="n">
        <v>29</v>
      </c>
      <c r="F333" s="10">
        <f>IF($B333&gt;=Analysis!$P$1,IF($E333&lt;=Analysis!$P$2,"VIP","At risk"),IF($E333&lt;=Analysis!$P$2,"Loyal","Dormant"))</f>
        <v/>
      </c>
    </row>
    <row r="334">
      <c r="A334" s="10" t="inlineStr">
        <is>
          <t>C3332</t>
        </is>
      </c>
      <c r="B334" s="17" t="n">
        <v>997116</v>
      </c>
      <c r="C334" s="18" t="n">
        <v>1</v>
      </c>
      <c r="D334" s="18" t="n">
        <v>26</v>
      </c>
      <c r="E334" s="18" t="n">
        <v>22</v>
      </c>
      <c r="F334" s="10">
        <f>IF($B334&gt;=Analysis!$P$1,IF($E334&lt;=Analysis!$P$2,"VIP","At risk"),IF($E334&lt;=Analysis!$P$2,"Loyal","Dormant"))</f>
        <v/>
      </c>
    </row>
    <row r="335">
      <c r="A335" s="10" t="inlineStr">
        <is>
          <t>C3333</t>
        </is>
      </c>
      <c r="B335" s="17" t="n">
        <v>7742297</v>
      </c>
      <c r="C335" s="18" t="n">
        <v>29</v>
      </c>
      <c r="D335" s="18" t="n">
        <v>544</v>
      </c>
      <c r="E335" s="18" t="n">
        <v>22</v>
      </c>
      <c r="F335" s="10">
        <f>IF($B335&gt;=Analysis!$P$1,IF($E335&lt;=Analysis!$P$2,"VIP","At risk"),IF($E335&lt;=Analysis!$P$2,"Loyal","Dormant"))</f>
        <v/>
      </c>
    </row>
    <row r="336">
      <c r="A336" s="10" t="inlineStr">
        <is>
          <t>C3334</t>
        </is>
      </c>
      <c r="B336" s="17" t="n">
        <v>2860931</v>
      </c>
      <c r="C336" s="18" t="n">
        <v>1</v>
      </c>
      <c r="D336" s="18" t="n">
        <v>104</v>
      </c>
      <c r="E336" s="18" t="n">
        <v>8</v>
      </c>
      <c r="F336" s="10">
        <f>IF($B336&gt;=Analysis!$P$1,IF($E336&lt;=Analysis!$P$2,"VIP","At risk"),IF($E336&lt;=Analysis!$P$2,"Loyal","Dormant"))</f>
        <v/>
      </c>
    </row>
    <row r="337">
      <c r="A337" s="10" t="inlineStr">
        <is>
          <t>C3335</t>
        </is>
      </c>
      <c r="B337" s="17" t="n">
        <v>1820613</v>
      </c>
      <c r="C337" s="18" t="n">
        <v>4</v>
      </c>
      <c r="D337" s="18" t="n">
        <v>203</v>
      </c>
      <c r="E337" s="18" t="n">
        <v>25</v>
      </c>
      <c r="F337" s="10">
        <f>IF($B337&gt;=Analysis!$P$1,IF($E337&lt;=Analysis!$P$2,"VIP","At risk"),IF($E337&lt;=Analysis!$P$2,"Loyal","Dormant"))</f>
        <v/>
      </c>
    </row>
    <row r="338">
      <c r="A338" s="10" t="inlineStr">
        <is>
          <t>C3336</t>
        </is>
      </c>
      <c r="B338" s="17" t="n">
        <v>7389593</v>
      </c>
      <c r="C338" s="18" t="n">
        <v>38</v>
      </c>
      <c r="D338" s="18" t="n">
        <v>690</v>
      </c>
      <c r="E338" s="18" t="n">
        <v>23</v>
      </c>
      <c r="F338" s="10">
        <f>IF($B338&gt;=Analysis!$P$1,IF($E338&lt;=Analysis!$P$2,"VIP","At risk"),IF($E338&lt;=Analysis!$P$2,"Loyal","Dormant"))</f>
        <v/>
      </c>
    </row>
    <row r="339">
      <c r="A339" s="10" t="inlineStr">
        <is>
          <t>C3337</t>
        </is>
      </c>
      <c r="B339" s="17" t="n">
        <v>1160737</v>
      </c>
      <c r="C339" s="18" t="n">
        <v>4</v>
      </c>
      <c r="D339" s="18" t="n">
        <v>420</v>
      </c>
      <c r="E339" s="18" t="n">
        <v>85</v>
      </c>
      <c r="F339" s="10">
        <f>IF($B339&gt;=Analysis!$P$1,IF($E339&lt;=Analysis!$P$2,"VIP","At risk"),IF($E339&lt;=Analysis!$P$2,"Loyal","Dormant"))</f>
        <v/>
      </c>
    </row>
    <row r="340">
      <c r="A340" s="10" t="inlineStr">
        <is>
          <t>C3338</t>
        </is>
      </c>
      <c r="B340" s="17" t="n">
        <v>0</v>
      </c>
      <c r="C340" s="18" t="n">
        <v>6</v>
      </c>
      <c r="D340" s="18" t="n">
        <v>319</v>
      </c>
      <c r="E340" s="18" t="n">
        <v>108</v>
      </c>
      <c r="F340" s="10">
        <f>IF($B340&gt;=Analysis!$P$1,IF($E340&lt;=Analysis!$P$2,"VIP","At risk"),IF($E340&lt;=Analysis!$P$2,"Loyal","Dormant"))</f>
        <v/>
      </c>
    </row>
    <row r="341">
      <c r="A341" s="10" t="inlineStr">
        <is>
          <t>C3339</t>
        </is>
      </c>
      <c r="B341" s="17" t="n">
        <v>5023258</v>
      </c>
      <c r="C341" s="18" t="n">
        <v>15</v>
      </c>
      <c r="D341" s="18" t="n">
        <v>415</v>
      </c>
      <c r="E341" s="18" t="n">
        <v>10</v>
      </c>
      <c r="F341" s="10">
        <f>IF($B341&gt;=Analysis!$P$1,IF($E341&lt;=Analysis!$P$2,"VIP","At risk"),IF($E341&lt;=Analysis!$P$2,"Loyal","Dormant"))</f>
        <v/>
      </c>
    </row>
    <row r="342">
      <c r="A342" s="10" t="inlineStr">
        <is>
          <t>C3340</t>
        </is>
      </c>
      <c r="B342" s="17" t="n">
        <v>1552153</v>
      </c>
      <c r="C342" s="18" t="n">
        <v>2</v>
      </c>
      <c r="D342" s="18" t="n">
        <v>67</v>
      </c>
      <c r="E342" s="18" t="n">
        <v>2</v>
      </c>
      <c r="F342" s="10">
        <f>IF($B342&gt;=Analysis!$P$1,IF($E342&lt;=Analysis!$P$2,"VIP","At risk"),IF($E342&lt;=Analysis!$P$2,"Loyal","Dormant"))</f>
        <v/>
      </c>
    </row>
    <row r="343">
      <c r="A343" s="10" t="inlineStr">
        <is>
          <t>C3341</t>
        </is>
      </c>
      <c r="B343" s="17" t="n">
        <v>531096</v>
      </c>
      <c r="C343" s="18" t="n">
        <v>13</v>
      </c>
      <c r="D343" s="18" t="n">
        <v>374</v>
      </c>
      <c r="E343" s="18" t="n">
        <v>22</v>
      </c>
      <c r="F343" s="10">
        <f>IF($B343&gt;=Analysis!$P$1,IF($E343&lt;=Analysis!$P$2,"VIP","At risk"),IF($E343&lt;=Analysis!$P$2,"Loyal","Dormant"))</f>
        <v/>
      </c>
    </row>
    <row r="344">
      <c r="A344" s="10" t="inlineStr">
        <is>
          <t>C3342</t>
        </is>
      </c>
      <c r="B344" s="17" t="n">
        <v>1489131</v>
      </c>
      <c r="C344" s="18" t="n">
        <v>4</v>
      </c>
      <c r="D344" s="18" t="n">
        <v>35</v>
      </c>
      <c r="E344" s="18" t="n">
        <v>20</v>
      </c>
      <c r="F344" s="10">
        <f>IF($B344&gt;=Analysis!$P$1,IF($E344&lt;=Analysis!$P$2,"VIP","At risk"),IF($E344&lt;=Analysis!$P$2,"Loyal","Dormant"))</f>
        <v/>
      </c>
    </row>
    <row r="345">
      <c r="A345" s="10" t="inlineStr">
        <is>
          <t>C3343</t>
        </is>
      </c>
      <c r="B345" s="17" t="n">
        <v>617755</v>
      </c>
      <c r="C345" s="18" t="n">
        <v>2</v>
      </c>
      <c r="D345" s="18" t="n">
        <v>73</v>
      </c>
      <c r="E345" s="18" t="n">
        <v>27</v>
      </c>
      <c r="F345" s="10">
        <f>IF($B345&gt;=Analysis!$P$1,IF($E345&lt;=Analysis!$P$2,"VIP","At risk"),IF($E345&lt;=Analysis!$P$2,"Loyal","Dormant"))</f>
        <v/>
      </c>
    </row>
    <row r="346">
      <c r="A346" s="10" t="inlineStr">
        <is>
          <t>C3344</t>
        </is>
      </c>
      <c r="B346" s="17" t="n">
        <v>1046614</v>
      </c>
      <c r="C346" s="18" t="n">
        <v>5</v>
      </c>
      <c r="D346" s="18" t="n">
        <v>266</v>
      </c>
      <c r="E346" s="18" t="n">
        <v>66</v>
      </c>
      <c r="F346" s="10">
        <f>IF($B346&gt;=Analysis!$P$1,IF($E346&lt;=Analysis!$P$2,"VIP","At risk"),IF($E346&lt;=Analysis!$P$2,"Loyal","Dormant"))</f>
        <v/>
      </c>
    </row>
    <row r="347">
      <c r="A347" s="10" t="inlineStr">
        <is>
          <t>C3345</t>
        </is>
      </c>
      <c r="B347" s="17" t="n">
        <v>3340365</v>
      </c>
      <c r="C347" s="18" t="n">
        <v>15</v>
      </c>
      <c r="D347" s="18" t="n">
        <v>410</v>
      </c>
      <c r="E347" s="18" t="n">
        <v>7</v>
      </c>
      <c r="F347" s="10">
        <f>IF($B347&gt;=Analysis!$P$1,IF($E347&lt;=Analysis!$P$2,"VIP","At risk"),IF($E347&lt;=Analysis!$P$2,"Loyal","Dormant"))</f>
        <v/>
      </c>
    </row>
    <row r="348">
      <c r="A348" s="10" t="inlineStr">
        <is>
          <t>C3346</t>
        </is>
      </c>
      <c r="B348" s="17" t="n">
        <v>3567489</v>
      </c>
      <c r="C348" s="18" t="n">
        <v>13</v>
      </c>
      <c r="D348" s="18" t="n">
        <v>420</v>
      </c>
      <c r="E348" s="18" t="n">
        <v>40</v>
      </c>
      <c r="F348" s="10">
        <f>IF($B348&gt;=Analysis!$P$1,IF($E348&lt;=Analysis!$P$2,"VIP","At risk"),IF($E348&lt;=Analysis!$P$2,"Loyal","Dormant"))</f>
        <v/>
      </c>
    </row>
    <row r="349">
      <c r="A349" s="10" t="inlineStr">
        <is>
          <t>C3347</t>
        </is>
      </c>
      <c r="B349" s="17" t="n">
        <v>5014686</v>
      </c>
      <c r="C349" s="18" t="n">
        <v>14</v>
      </c>
      <c r="D349" s="18" t="n">
        <v>456</v>
      </c>
      <c r="E349" s="18" t="n">
        <v>55</v>
      </c>
      <c r="F349" s="10">
        <f>IF($B349&gt;=Analysis!$P$1,IF($E349&lt;=Analysis!$P$2,"VIP","At risk"),IF($E349&lt;=Analysis!$P$2,"Loyal","Dormant"))</f>
        <v/>
      </c>
    </row>
    <row r="350">
      <c r="A350" s="10" t="inlineStr">
        <is>
          <t>C3348</t>
        </is>
      </c>
      <c r="B350" s="17" t="n">
        <v>7626903</v>
      </c>
      <c r="C350" s="18" t="n">
        <v>17</v>
      </c>
      <c r="D350" s="18" t="n">
        <v>700</v>
      </c>
      <c r="E350" s="18" t="n">
        <v>3</v>
      </c>
      <c r="F350" s="10">
        <f>IF($B350&gt;=Analysis!$P$1,IF($E350&lt;=Analysis!$P$2,"VIP","At risk"),IF($E350&lt;=Analysis!$P$2,"Loyal","Dormant"))</f>
        <v/>
      </c>
    </row>
    <row r="351">
      <c r="A351" s="10" t="inlineStr">
        <is>
          <t>C3349</t>
        </is>
      </c>
      <c r="B351" s="17" t="n">
        <v>3109553</v>
      </c>
      <c r="C351" s="18" t="n">
        <v>18</v>
      </c>
      <c r="D351" s="18" t="n">
        <v>168</v>
      </c>
      <c r="E351" s="18" t="n">
        <v>34</v>
      </c>
      <c r="F351" s="10">
        <f>IF($B351&gt;=Analysis!$P$1,IF($E351&lt;=Analysis!$P$2,"VIP","At risk"),IF($E351&lt;=Analysis!$P$2,"Loyal","Dormant"))</f>
        <v/>
      </c>
    </row>
    <row r="352">
      <c r="A352" s="10" t="inlineStr">
        <is>
          <t>C3350</t>
        </is>
      </c>
      <c r="B352" s="17" t="n">
        <v>9754474</v>
      </c>
      <c r="C352" s="18" t="n">
        <v>31</v>
      </c>
      <c r="D352" s="18" t="n">
        <v>353</v>
      </c>
      <c r="E352" s="18" t="n">
        <v>7</v>
      </c>
      <c r="F352" s="10">
        <f>IF($B352&gt;=Analysis!$P$1,IF($E352&lt;=Analysis!$P$2,"VIP","At risk"),IF($E352&lt;=Analysis!$P$2,"Loyal","Dormant"))</f>
        <v/>
      </c>
    </row>
    <row r="353">
      <c r="A353" s="10" t="inlineStr">
        <is>
          <t>C3351</t>
        </is>
      </c>
      <c r="B353" s="17" t="n">
        <v>1534664</v>
      </c>
      <c r="C353" s="18" t="n">
        <v>5</v>
      </c>
      <c r="D353" s="18" t="n">
        <v>56</v>
      </c>
      <c r="E353" s="18" t="n">
        <v>29</v>
      </c>
      <c r="F353" s="10">
        <f>IF($B353&gt;=Analysis!$P$1,IF($E353&lt;=Analysis!$P$2,"VIP","At risk"),IF($E353&lt;=Analysis!$P$2,"Loyal","Dormant"))</f>
        <v/>
      </c>
    </row>
    <row r="354">
      <c r="A354" s="10" t="inlineStr">
        <is>
          <t>C3352</t>
        </is>
      </c>
      <c r="B354" s="17" t="n">
        <v>1119944</v>
      </c>
      <c r="C354" s="18" t="n">
        <v>1</v>
      </c>
      <c r="D354" s="18" t="n">
        <v>273</v>
      </c>
      <c r="E354" s="18" t="n">
        <v>94</v>
      </c>
      <c r="F354" s="10">
        <f>IF($B354&gt;=Analysis!$P$1,IF($E354&lt;=Analysis!$P$2,"VIP","At risk"),IF($E354&lt;=Analysis!$P$2,"Loyal","Dormant"))</f>
        <v/>
      </c>
    </row>
    <row r="355">
      <c r="A355" s="10" t="inlineStr">
        <is>
          <t>C3353</t>
        </is>
      </c>
      <c r="B355" s="17" t="n">
        <v>4478258</v>
      </c>
      <c r="C355" s="18" t="n">
        <v>19</v>
      </c>
      <c r="D355" s="18" t="n">
        <v>546</v>
      </c>
      <c r="E355" s="18" t="n">
        <v>30</v>
      </c>
      <c r="F355" s="10">
        <f>IF($B355&gt;=Analysis!$P$1,IF($E355&lt;=Analysis!$P$2,"VIP","At risk"),IF($E355&lt;=Analysis!$P$2,"Loyal","Dormant"))</f>
        <v/>
      </c>
    </row>
    <row r="356">
      <c r="A356" s="10" t="inlineStr">
        <is>
          <t>C3354</t>
        </is>
      </c>
      <c r="B356" s="17" t="n">
        <v>1061775</v>
      </c>
      <c r="C356" s="18" t="n">
        <v>4</v>
      </c>
      <c r="D356" s="18" t="n">
        <v>36</v>
      </c>
      <c r="E356" s="18" t="n">
        <v>18</v>
      </c>
      <c r="F356" s="10">
        <f>IF($B356&gt;=Analysis!$P$1,IF($E356&lt;=Analysis!$P$2,"VIP","At risk"),IF($E356&lt;=Analysis!$P$2,"Loyal","Dormant"))</f>
        <v/>
      </c>
    </row>
    <row r="357">
      <c r="A357" s="10" t="inlineStr">
        <is>
          <t>C3355</t>
        </is>
      </c>
      <c r="B357" s="17" t="n">
        <v>349773</v>
      </c>
      <c r="C357" s="18" t="n">
        <v>8</v>
      </c>
      <c r="D357" s="18" t="n">
        <v>292</v>
      </c>
      <c r="E357" s="18" t="n">
        <v>34</v>
      </c>
      <c r="F357" s="10">
        <f>IF($B357&gt;=Analysis!$P$1,IF($E357&lt;=Analysis!$P$2,"VIP","At risk"),IF($E357&lt;=Analysis!$P$2,"Loyal","Dormant"))</f>
        <v/>
      </c>
    </row>
    <row r="358">
      <c r="A358" s="10" t="inlineStr">
        <is>
          <t>C3356</t>
        </is>
      </c>
      <c r="B358" s="17" t="n">
        <v>3361355</v>
      </c>
      <c r="C358" s="18" t="n">
        <v>13</v>
      </c>
      <c r="D358" s="18" t="n">
        <v>228</v>
      </c>
      <c r="E358" s="18" t="n">
        <v>6</v>
      </c>
      <c r="F358" s="10">
        <f>IF($B358&gt;=Analysis!$P$1,IF($E358&lt;=Analysis!$P$2,"VIP","At risk"),IF($E358&lt;=Analysis!$P$2,"Loyal","Dormant"))</f>
        <v/>
      </c>
    </row>
    <row r="359">
      <c r="A359" s="10" t="inlineStr">
        <is>
          <t>C3357</t>
        </is>
      </c>
      <c r="B359" s="17" t="n">
        <v>1033253</v>
      </c>
      <c r="C359" s="18" t="n">
        <v>2</v>
      </c>
      <c r="D359" s="18" t="n">
        <v>358</v>
      </c>
      <c r="E359" s="18" t="n">
        <v>122</v>
      </c>
      <c r="F359" s="10">
        <f>IF($B359&gt;=Analysis!$P$1,IF($E359&lt;=Analysis!$P$2,"VIP","At risk"),IF($E359&lt;=Analysis!$P$2,"Loyal","Dormant"))</f>
        <v/>
      </c>
    </row>
    <row r="360">
      <c r="A360" s="10" t="inlineStr">
        <is>
          <t>C3358</t>
        </is>
      </c>
      <c r="B360" s="17" t="n">
        <v>9808832</v>
      </c>
      <c r="C360" s="18" t="n">
        <v>24</v>
      </c>
      <c r="D360" s="18" t="n">
        <v>763</v>
      </c>
      <c r="E360" s="18" t="n">
        <v>10</v>
      </c>
      <c r="F360" s="10">
        <f>IF($B360&gt;=Analysis!$P$1,IF($E360&lt;=Analysis!$P$2,"VIP","At risk"),IF($E360&lt;=Analysis!$P$2,"Loyal","Dormant"))</f>
        <v/>
      </c>
    </row>
    <row r="361">
      <c r="A361" s="10" t="inlineStr">
        <is>
          <t>C3359</t>
        </is>
      </c>
      <c r="B361" s="17" t="n">
        <v>536700</v>
      </c>
      <c r="C361" s="18" t="n">
        <v>2</v>
      </c>
      <c r="D361" s="18" t="n">
        <v>5</v>
      </c>
      <c r="E361" s="18" t="n">
        <v>21</v>
      </c>
      <c r="F361" s="10">
        <f>IF($B361&gt;=Analysis!$P$1,IF($E361&lt;=Analysis!$P$2,"VIP","At risk"),IF($E361&lt;=Analysis!$P$2,"Loyal","Dormant"))</f>
        <v/>
      </c>
    </row>
    <row r="362">
      <c r="A362" s="10" t="inlineStr">
        <is>
          <t>C3360</t>
        </is>
      </c>
      <c r="B362" s="17" t="n">
        <v>2088824</v>
      </c>
      <c r="C362" s="18" t="n">
        <v>17</v>
      </c>
      <c r="D362" s="18" t="n">
        <v>553</v>
      </c>
      <c r="E362" s="18" t="n">
        <v>33</v>
      </c>
      <c r="F362" s="10">
        <f>IF($B362&gt;=Analysis!$P$1,IF($E362&lt;=Analysis!$P$2,"VIP","At risk"),IF($E362&lt;=Analysis!$P$2,"Loyal","Dormant"))</f>
        <v/>
      </c>
    </row>
    <row r="363">
      <c r="A363" s="10" t="inlineStr">
        <is>
          <t>C3361</t>
        </is>
      </c>
      <c r="B363" s="17" t="n">
        <v>1394122</v>
      </c>
      <c r="C363" s="18" t="n">
        <v>2</v>
      </c>
      <c r="D363" s="18" t="n">
        <v>72</v>
      </c>
      <c r="E363" s="18" t="n">
        <v>17</v>
      </c>
      <c r="F363" s="10">
        <f>IF($B363&gt;=Analysis!$P$1,IF($E363&lt;=Analysis!$P$2,"VIP","At risk"),IF($E363&lt;=Analysis!$P$2,"Loyal","Dormant"))</f>
        <v/>
      </c>
    </row>
    <row r="364">
      <c r="A364" s="10" t="inlineStr">
        <is>
          <t>C3362</t>
        </is>
      </c>
      <c r="B364" s="17" t="n">
        <v>842617</v>
      </c>
      <c r="C364" s="18" t="n">
        <v>8</v>
      </c>
      <c r="D364" s="18" t="n">
        <v>246</v>
      </c>
      <c r="E364" s="18" t="n">
        <v>41</v>
      </c>
      <c r="F364" s="10">
        <f>IF($B364&gt;=Analysis!$P$1,IF($E364&lt;=Analysis!$P$2,"VIP","At risk"),IF($E364&lt;=Analysis!$P$2,"Loyal","Dormant"))</f>
        <v/>
      </c>
    </row>
    <row r="365">
      <c r="A365" s="10" t="inlineStr">
        <is>
          <t>C3363</t>
        </is>
      </c>
      <c r="B365" s="17" t="n">
        <v>499808</v>
      </c>
      <c r="C365" s="18" t="n">
        <v>3</v>
      </c>
      <c r="D365" s="18" t="n">
        <v>287</v>
      </c>
      <c r="E365" s="18" t="n">
        <v>96</v>
      </c>
      <c r="F365" s="10">
        <f>IF($B365&gt;=Analysis!$P$1,IF($E365&lt;=Analysis!$P$2,"VIP","At risk"),IF($E365&lt;=Analysis!$P$2,"Loyal","Dormant"))</f>
        <v/>
      </c>
    </row>
    <row r="366">
      <c r="A366" s="10" t="inlineStr">
        <is>
          <t>C3364</t>
        </is>
      </c>
      <c r="B366" s="17" t="n">
        <v>678965</v>
      </c>
      <c r="C366" s="18" t="n">
        <v>4</v>
      </c>
      <c r="D366" s="18" t="n">
        <v>367</v>
      </c>
      <c r="E366" s="18" t="n">
        <v>57</v>
      </c>
      <c r="F366" s="10">
        <f>IF($B366&gt;=Analysis!$P$1,IF($E366&lt;=Analysis!$P$2,"VIP","At risk"),IF($E366&lt;=Analysis!$P$2,"Loyal","Dormant"))</f>
        <v/>
      </c>
    </row>
    <row r="367">
      <c r="A367" s="10" t="inlineStr">
        <is>
          <t>C3365</t>
        </is>
      </c>
      <c r="B367" s="17" t="n">
        <v>1712920</v>
      </c>
      <c r="C367" s="18" t="n">
        <v>15</v>
      </c>
      <c r="D367" s="18" t="n">
        <v>270</v>
      </c>
      <c r="E367" s="18" t="n">
        <v>23</v>
      </c>
      <c r="F367" s="10">
        <f>IF($B367&gt;=Analysis!$P$1,IF($E367&lt;=Analysis!$P$2,"VIP","At risk"),IF($E367&lt;=Analysis!$P$2,"Loyal","Dormant"))</f>
        <v/>
      </c>
    </row>
    <row r="368">
      <c r="A368" s="10" t="inlineStr">
        <is>
          <t>C3366</t>
        </is>
      </c>
      <c r="B368" s="17" t="n">
        <v>1141767</v>
      </c>
      <c r="C368" s="18" t="n">
        <v>2</v>
      </c>
      <c r="D368" s="18" t="n">
        <v>437</v>
      </c>
      <c r="E368" s="18" t="n">
        <v>77</v>
      </c>
      <c r="F368" s="10">
        <f>IF($B368&gt;=Analysis!$P$1,IF($E368&lt;=Analysis!$P$2,"VIP","At risk"),IF($E368&lt;=Analysis!$P$2,"Loyal","Dormant"))</f>
        <v/>
      </c>
    </row>
    <row r="369">
      <c r="A369" s="10" t="inlineStr">
        <is>
          <t>C3367</t>
        </is>
      </c>
      <c r="B369" s="17" t="n">
        <v>1001647</v>
      </c>
      <c r="C369" s="18" t="n">
        <v>3</v>
      </c>
      <c r="D369" s="18" t="n">
        <v>292</v>
      </c>
      <c r="E369" s="18" t="n">
        <v>38</v>
      </c>
      <c r="F369" s="10">
        <f>IF($B369&gt;=Analysis!$P$1,IF($E369&lt;=Analysis!$P$2,"VIP","At risk"),IF($E369&lt;=Analysis!$P$2,"Loyal","Dormant"))</f>
        <v/>
      </c>
    </row>
    <row r="370">
      <c r="A370" s="10" t="inlineStr">
        <is>
          <t>C3368</t>
        </is>
      </c>
      <c r="B370" s="17" t="n">
        <v>7195943</v>
      </c>
      <c r="C370" s="18" t="n">
        <v>35</v>
      </c>
      <c r="D370" s="18" t="n">
        <v>326</v>
      </c>
      <c r="E370" s="18" t="n">
        <v>4</v>
      </c>
      <c r="F370" s="10">
        <f>IF($B370&gt;=Analysis!$P$1,IF($E370&lt;=Analysis!$P$2,"VIP","At risk"),IF($E370&lt;=Analysis!$P$2,"Loyal","Dormant"))</f>
        <v/>
      </c>
    </row>
    <row r="371">
      <c r="A371" s="10" t="inlineStr">
        <is>
          <t>C3369</t>
        </is>
      </c>
      <c r="B371" s="17" t="n">
        <v>1258501</v>
      </c>
      <c r="C371" s="18" t="n">
        <v>17</v>
      </c>
      <c r="D371" s="18" t="n">
        <v>439</v>
      </c>
      <c r="E371" s="18" t="n">
        <v>9</v>
      </c>
      <c r="F371" s="10">
        <f>IF($B371&gt;=Analysis!$P$1,IF($E371&lt;=Analysis!$P$2,"VIP","At risk"),IF($E371&lt;=Analysis!$P$2,"Loyal","Dormant"))</f>
        <v/>
      </c>
    </row>
    <row r="372">
      <c r="A372" s="10" t="inlineStr">
        <is>
          <t>C3370</t>
        </is>
      </c>
      <c r="B372" s="17" t="n">
        <v>892567</v>
      </c>
      <c r="C372" s="18" t="n">
        <v>4</v>
      </c>
      <c r="D372" s="18" t="n">
        <v>130</v>
      </c>
      <c r="E372" s="18" t="n">
        <v>46</v>
      </c>
      <c r="F372" s="10">
        <f>IF($B372&gt;=Analysis!$P$1,IF($E372&lt;=Analysis!$P$2,"VIP","At risk"),IF($E372&lt;=Analysis!$P$2,"Loyal","Dormant"))</f>
        <v/>
      </c>
    </row>
    <row r="373">
      <c r="A373" s="10" t="inlineStr">
        <is>
          <t>C3371</t>
        </is>
      </c>
      <c r="B373" s="17" t="n">
        <v>1113968</v>
      </c>
      <c r="C373" s="18" t="n">
        <v>1</v>
      </c>
      <c r="D373" s="18" t="n">
        <v>109</v>
      </c>
      <c r="E373" s="18" t="n">
        <v>11</v>
      </c>
      <c r="F373" s="10">
        <f>IF($B373&gt;=Analysis!$P$1,IF($E373&lt;=Analysis!$P$2,"VIP","At risk"),IF($E373&lt;=Analysis!$P$2,"Loyal","Dormant"))</f>
        <v/>
      </c>
    </row>
    <row r="374">
      <c r="A374" s="10" t="inlineStr">
        <is>
          <t>C3372</t>
        </is>
      </c>
      <c r="B374" s="17" t="n">
        <v>405584</v>
      </c>
      <c r="C374" s="18" t="n">
        <v>1</v>
      </c>
      <c r="D374" s="18" t="n">
        <v>406</v>
      </c>
      <c r="E374" s="18" t="n">
        <v>76</v>
      </c>
      <c r="F374" s="10">
        <f>IF($B374&gt;=Analysis!$P$1,IF($E374&lt;=Analysis!$P$2,"VIP","At risk"),IF($E374&lt;=Analysis!$P$2,"Loyal","Dormant"))</f>
        <v/>
      </c>
    </row>
    <row r="375">
      <c r="A375" s="10" t="inlineStr">
        <is>
          <t>C3373</t>
        </is>
      </c>
      <c r="B375" s="17" t="n">
        <v>2637114</v>
      </c>
      <c r="C375" s="18" t="n">
        <v>10</v>
      </c>
      <c r="D375" s="18" t="n">
        <v>317</v>
      </c>
      <c r="E375" s="18" t="n">
        <v>16</v>
      </c>
      <c r="F375" s="10">
        <f>IF($B375&gt;=Analysis!$P$1,IF($E375&lt;=Analysis!$P$2,"VIP","At risk"),IF($E375&lt;=Analysis!$P$2,"Loyal","Dormant"))</f>
        <v/>
      </c>
    </row>
    <row r="376">
      <c r="A376" s="10" t="inlineStr">
        <is>
          <t>C3374</t>
        </is>
      </c>
      <c r="B376" s="17" t="n">
        <v>781384</v>
      </c>
      <c r="C376" s="18" t="n">
        <v>4</v>
      </c>
      <c r="D376" s="18" t="n">
        <v>333</v>
      </c>
      <c r="E376" s="18" t="n">
        <v>53</v>
      </c>
      <c r="F376" s="10">
        <f>IF($B376&gt;=Analysis!$P$1,IF($E376&lt;=Analysis!$P$2,"VIP","At risk"),IF($E376&lt;=Analysis!$P$2,"Loyal","Dormant"))</f>
        <v/>
      </c>
    </row>
    <row r="377">
      <c r="A377" s="10" t="inlineStr">
        <is>
          <t>C3375</t>
        </is>
      </c>
      <c r="B377" s="17" t="n">
        <v>617753</v>
      </c>
      <c r="C377" s="18" t="n">
        <v>2</v>
      </c>
      <c r="D377" s="18" t="n">
        <v>124</v>
      </c>
      <c r="E377" s="18" t="n">
        <v>35</v>
      </c>
      <c r="F377" s="10">
        <f>IF($B377&gt;=Analysis!$P$1,IF($E377&lt;=Analysis!$P$2,"VIP","At risk"),IF($E377&lt;=Analysis!$P$2,"Loyal","Dormant"))</f>
        <v/>
      </c>
    </row>
    <row r="378">
      <c r="A378" s="10" t="inlineStr">
        <is>
          <t>C3376</t>
        </is>
      </c>
      <c r="B378" s="17" t="n">
        <v>1118096</v>
      </c>
      <c r="C378" s="18" t="n">
        <v>6</v>
      </c>
      <c r="D378" s="18" t="n">
        <v>109</v>
      </c>
      <c r="E378" s="18" t="n">
        <v>109</v>
      </c>
      <c r="F378" s="10">
        <f>IF($B378&gt;=Analysis!$P$1,IF($E378&lt;=Analysis!$P$2,"VIP","At risk"),IF($E378&lt;=Analysis!$P$2,"Loyal","Dormant"))</f>
        <v/>
      </c>
    </row>
    <row r="379">
      <c r="A379" s="10" t="inlineStr">
        <is>
          <t>C3377</t>
        </is>
      </c>
      <c r="B379" s="17" t="n">
        <v>923318</v>
      </c>
      <c r="C379" s="18" t="n">
        <v>6</v>
      </c>
      <c r="D379" s="18" t="n">
        <v>90</v>
      </c>
      <c r="E379" s="18" t="n">
        <v>17</v>
      </c>
      <c r="F379" s="10">
        <f>IF($B379&gt;=Analysis!$P$1,IF($E379&lt;=Analysis!$P$2,"VIP","At risk"),IF($E379&lt;=Analysis!$P$2,"Loyal","Dormant"))</f>
        <v/>
      </c>
    </row>
    <row r="380">
      <c r="A380" s="10" t="inlineStr">
        <is>
          <t>C3378</t>
        </is>
      </c>
      <c r="B380" s="17" t="n">
        <v>1231389</v>
      </c>
      <c r="C380" s="18" t="n">
        <v>3</v>
      </c>
      <c r="D380" s="18" t="n">
        <v>32</v>
      </c>
      <c r="E380" s="18" t="n">
        <v>1</v>
      </c>
      <c r="F380" s="10">
        <f>IF($B380&gt;=Analysis!$P$1,IF($E380&lt;=Analysis!$P$2,"VIP","At risk"),IF($E380&lt;=Analysis!$P$2,"Loyal","Dormant"))</f>
        <v/>
      </c>
    </row>
    <row r="381">
      <c r="A381" s="10" t="inlineStr">
        <is>
          <t>C3379</t>
        </is>
      </c>
      <c r="B381" s="17" t="n">
        <v>4556155</v>
      </c>
      <c r="C381" s="18" t="n">
        <v>16</v>
      </c>
      <c r="D381" s="18" t="n">
        <v>323</v>
      </c>
      <c r="E381" s="18" t="n">
        <v>34</v>
      </c>
      <c r="F381" s="10">
        <f>IF($B381&gt;=Analysis!$P$1,IF($E381&lt;=Analysis!$P$2,"VIP","At risk"),IF($E381&lt;=Analysis!$P$2,"Loyal","Dormant"))</f>
        <v/>
      </c>
    </row>
    <row r="382">
      <c r="A382" s="10" t="inlineStr">
        <is>
          <t>C3380</t>
        </is>
      </c>
      <c r="B382" s="17" t="n">
        <v>7357422</v>
      </c>
      <c r="C382" s="18" t="n">
        <v>22</v>
      </c>
      <c r="D382" s="18" t="n">
        <v>399</v>
      </c>
      <c r="E382" s="18" t="n">
        <v>8</v>
      </c>
      <c r="F382" s="10">
        <f>IF($B382&gt;=Analysis!$P$1,IF($E382&lt;=Analysis!$P$2,"VIP","At risk"),IF($E382&lt;=Analysis!$P$2,"Loyal","Dormant"))</f>
        <v/>
      </c>
    </row>
    <row r="383">
      <c r="A383" s="10" t="inlineStr">
        <is>
          <t>C3381</t>
        </is>
      </c>
      <c r="B383" s="17" t="n">
        <v>0</v>
      </c>
      <c r="C383" s="18" t="n">
        <v>1</v>
      </c>
      <c r="D383" s="18" t="n">
        <v>56</v>
      </c>
      <c r="E383" s="18" t="n">
        <v>20</v>
      </c>
      <c r="F383" s="10">
        <f>IF($B383&gt;=Analysis!$P$1,IF($E383&lt;=Analysis!$P$2,"VIP","At risk"),IF($E383&lt;=Analysis!$P$2,"Loyal","Dormant"))</f>
        <v/>
      </c>
    </row>
    <row r="384">
      <c r="A384" s="10" t="inlineStr">
        <is>
          <t>C3382</t>
        </is>
      </c>
      <c r="B384" s="17" t="n">
        <v>1349820</v>
      </c>
      <c r="C384" s="18" t="n">
        <v>4</v>
      </c>
      <c r="D384" s="18" t="n">
        <v>387</v>
      </c>
      <c r="E384" s="18" t="n">
        <v>86</v>
      </c>
      <c r="F384" s="10">
        <f>IF($B384&gt;=Analysis!$P$1,IF($E384&lt;=Analysis!$P$2,"VIP","At risk"),IF($E384&lt;=Analysis!$P$2,"Loyal","Dormant"))</f>
        <v/>
      </c>
    </row>
    <row r="385">
      <c r="A385" s="10" t="inlineStr">
        <is>
          <t>C3383</t>
        </is>
      </c>
      <c r="B385" s="17" t="n">
        <v>1166223</v>
      </c>
      <c r="C385" s="18" t="n">
        <v>2</v>
      </c>
      <c r="D385" s="18" t="n">
        <v>62</v>
      </c>
      <c r="E385" s="18" t="n">
        <v>38</v>
      </c>
      <c r="F385" s="10">
        <f>IF($B385&gt;=Analysis!$P$1,IF($E385&lt;=Analysis!$P$2,"VIP","At risk"),IF($E385&lt;=Analysis!$P$2,"Loyal","Dormant"))</f>
        <v/>
      </c>
    </row>
    <row r="386">
      <c r="A386" s="10" t="inlineStr">
        <is>
          <t>C3384</t>
        </is>
      </c>
      <c r="B386" s="17" t="n">
        <v>8740270</v>
      </c>
      <c r="C386" s="18" t="n">
        <v>35</v>
      </c>
      <c r="D386" s="18" t="n">
        <v>691</v>
      </c>
      <c r="E386" s="18" t="n">
        <v>12</v>
      </c>
      <c r="F386" s="10">
        <f>IF($B386&gt;=Analysis!$P$1,IF($E386&lt;=Analysis!$P$2,"VIP","At risk"),IF($E386&lt;=Analysis!$P$2,"Loyal","Dormant"))</f>
        <v/>
      </c>
    </row>
    <row r="387">
      <c r="A387" s="10" t="inlineStr">
        <is>
          <t>C3385</t>
        </is>
      </c>
      <c r="B387" s="17" t="n">
        <v>918283</v>
      </c>
      <c r="C387" s="18" t="n">
        <v>5</v>
      </c>
      <c r="D387" s="18" t="n">
        <v>313</v>
      </c>
      <c r="E387" s="18" t="n">
        <v>99</v>
      </c>
      <c r="F387" s="10">
        <f>IF($B387&gt;=Analysis!$P$1,IF($E387&lt;=Analysis!$P$2,"VIP","At risk"),IF($E387&lt;=Analysis!$P$2,"Loyal","Dormant"))</f>
        <v/>
      </c>
    </row>
    <row r="388">
      <c r="A388" s="10" t="inlineStr">
        <is>
          <t>C3386</t>
        </is>
      </c>
      <c r="B388" s="17" t="n">
        <v>2845153</v>
      </c>
      <c r="C388" s="18" t="n">
        <v>14</v>
      </c>
      <c r="D388" s="18" t="n">
        <v>381</v>
      </c>
      <c r="E388" s="18" t="n">
        <v>42</v>
      </c>
      <c r="F388" s="10">
        <f>IF($B388&gt;=Analysis!$P$1,IF($E388&lt;=Analysis!$P$2,"VIP","At risk"),IF($E388&lt;=Analysis!$P$2,"Loyal","Dormant"))</f>
        <v/>
      </c>
    </row>
    <row r="389">
      <c r="A389" s="10" t="inlineStr">
        <is>
          <t>C3387</t>
        </is>
      </c>
      <c r="B389" s="17" t="n">
        <v>0</v>
      </c>
      <c r="C389" s="18" t="n">
        <v>1</v>
      </c>
      <c r="D389" s="18" t="n">
        <v>17</v>
      </c>
      <c r="E389" s="18" t="n">
        <v>11</v>
      </c>
      <c r="F389" s="10">
        <f>IF($B389&gt;=Analysis!$P$1,IF($E389&lt;=Analysis!$P$2,"VIP","At risk"),IF($E389&lt;=Analysis!$P$2,"Loyal","Dormant"))</f>
        <v/>
      </c>
    </row>
    <row r="390">
      <c r="A390" s="10" t="inlineStr">
        <is>
          <t>C3388</t>
        </is>
      </c>
      <c r="B390" s="17" t="n">
        <v>571555</v>
      </c>
      <c r="C390" s="18" t="n">
        <v>8</v>
      </c>
      <c r="D390" s="18" t="n">
        <v>63</v>
      </c>
      <c r="E390" s="18" t="n">
        <v>23</v>
      </c>
      <c r="F390" s="10">
        <f>IF($B390&gt;=Analysis!$P$1,IF($E390&lt;=Analysis!$P$2,"VIP","At risk"),IF($E390&lt;=Analysis!$P$2,"Loyal","Dormant"))</f>
        <v/>
      </c>
    </row>
    <row r="391">
      <c r="A391" s="10" t="inlineStr">
        <is>
          <t>C3389</t>
        </is>
      </c>
      <c r="B391" s="17" t="n">
        <v>2824669</v>
      </c>
      <c r="C391" s="18" t="n">
        <v>5</v>
      </c>
      <c r="D391" s="18" t="n">
        <v>421</v>
      </c>
      <c r="E391" s="18" t="n">
        <v>36</v>
      </c>
      <c r="F391" s="10">
        <f>IF($B391&gt;=Analysis!$P$1,IF($E391&lt;=Analysis!$P$2,"VIP","At risk"),IF($E391&lt;=Analysis!$P$2,"Loyal","Dormant"))</f>
        <v/>
      </c>
    </row>
    <row r="392">
      <c r="A392" s="10" t="inlineStr">
        <is>
          <t>C3390</t>
        </is>
      </c>
      <c r="B392" s="17" t="n">
        <v>6109303</v>
      </c>
      <c r="C392" s="18" t="n">
        <v>19</v>
      </c>
      <c r="D392" s="18" t="n">
        <v>497</v>
      </c>
      <c r="E392" s="18" t="n">
        <v>31</v>
      </c>
      <c r="F392" s="10">
        <f>IF($B392&gt;=Analysis!$P$1,IF($E392&lt;=Analysis!$P$2,"VIP","At risk"),IF($E392&lt;=Analysis!$P$2,"Loyal","Dormant"))</f>
        <v/>
      </c>
    </row>
    <row r="393">
      <c r="A393" s="10" t="inlineStr">
        <is>
          <t>C3391</t>
        </is>
      </c>
      <c r="B393" s="17" t="n">
        <v>261747</v>
      </c>
      <c r="C393" s="18" t="n">
        <v>2</v>
      </c>
      <c r="D393" s="18" t="n">
        <v>149</v>
      </c>
      <c r="E393" s="18" t="n">
        <v>71</v>
      </c>
      <c r="F393" s="10">
        <f>IF($B393&gt;=Analysis!$P$1,IF($E393&lt;=Analysis!$P$2,"VIP","At risk"),IF($E393&lt;=Analysis!$P$2,"Loyal","Dormant"))</f>
        <v/>
      </c>
    </row>
    <row r="394">
      <c r="A394" s="10" t="inlineStr">
        <is>
          <t>C3392</t>
        </is>
      </c>
      <c r="B394" s="17" t="n">
        <v>990252</v>
      </c>
      <c r="C394" s="18" t="n">
        <v>1</v>
      </c>
      <c r="D394" s="18" t="n">
        <v>85</v>
      </c>
      <c r="E394" s="18" t="n">
        <v>23</v>
      </c>
      <c r="F394" s="10">
        <f>IF($B394&gt;=Analysis!$P$1,IF($E394&lt;=Analysis!$P$2,"VIP","At risk"),IF($E394&lt;=Analysis!$P$2,"Loyal","Dormant"))</f>
        <v/>
      </c>
    </row>
    <row r="395">
      <c r="A395" s="10" t="inlineStr">
        <is>
          <t>C3393</t>
        </is>
      </c>
      <c r="B395" s="17" t="n">
        <v>897874</v>
      </c>
      <c r="C395" s="18" t="n">
        <v>7</v>
      </c>
      <c r="D395" s="18" t="n">
        <v>337</v>
      </c>
      <c r="E395" s="18" t="n">
        <v>81</v>
      </c>
      <c r="F395" s="10">
        <f>IF($B395&gt;=Analysis!$P$1,IF($E395&lt;=Analysis!$P$2,"VIP","At risk"),IF($E395&lt;=Analysis!$P$2,"Loyal","Dormant"))</f>
        <v/>
      </c>
    </row>
    <row r="396">
      <c r="A396" s="10" t="inlineStr">
        <is>
          <t>C3394</t>
        </is>
      </c>
      <c r="B396" s="17" t="n">
        <v>1413162</v>
      </c>
      <c r="C396" s="18" t="n">
        <v>3</v>
      </c>
      <c r="D396" s="18" t="n">
        <v>432</v>
      </c>
      <c r="E396" s="18" t="n">
        <v>64</v>
      </c>
      <c r="F396" s="10">
        <f>IF($B396&gt;=Analysis!$P$1,IF($E396&lt;=Analysis!$P$2,"VIP","At risk"),IF($E396&lt;=Analysis!$P$2,"Loyal","Dormant"))</f>
        <v/>
      </c>
    </row>
    <row r="397">
      <c r="A397" s="10" t="inlineStr">
        <is>
          <t>C3395</t>
        </is>
      </c>
      <c r="B397" s="17" t="n">
        <v>1018292</v>
      </c>
      <c r="C397" s="18" t="n">
        <v>4</v>
      </c>
      <c r="D397" s="18" t="n">
        <v>202</v>
      </c>
      <c r="E397" s="18" t="n">
        <v>40</v>
      </c>
      <c r="F397" s="10">
        <f>IF($B397&gt;=Analysis!$P$1,IF($E397&lt;=Analysis!$P$2,"VIP","At risk"),IF($E397&lt;=Analysis!$P$2,"Loyal","Dormant"))</f>
        <v/>
      </c>
    </row>
    <row r="398">
      <c r="A398" s="10" t="inlineStr">
        <is>
          <t>C3396</t>
        </is>
      </c>
      <c r="B398" s="17" t="n">
        <v>1062507</v>
      </c>
      <c r="C398" s="18" t="n">
        <v>1</v>
      </c>
      <c r="D398" s="18" t="n">
        <v>69</v>
      </c>
      <c r="E398" s="18" t="n">
        <v>23</v>
      </c>
      <c r="F398" s="10">
        <f>IF($B398&gt;=Analysis!$P$1,IF($E398&lt;=Analysis!$P$2,"VIP","At risk"),IF($E398&lt;=Analysis!$P$2,"Loyal","Dormant"))</f>
        <v/>
      </c>
    </row>
    <row r="399">
      <c r="A399" s="10" t="inlineStr">
        <is>
          <t>C3397</t>
        </is>
      </c>
      <c r="B399" s="17" t="n">
        <v>1062698</v>
      </c>
      <c r="C399" s="18" t="n">
        <v>2</v>
      </c>
      <c r="D399" s="18" t="n">
        <v>5</v>
      </c>
      <c r="E399" s="18" t="n">
        <v>25</v>
      </c>
      <c r="F399" s="10">
        <f>IF($B399&gt;=Analysis!$P$1,IF($E399&lt;=Analysis!$P$2,"VIP","At risk"),IF($E399&lt;=Analysis!$P$2,"Loyal","Dormant"))</f>
        <v/>
      </c>
    </row>
    <row r="400">
      <c r="A400" s="10" t="inlineStr">
        <is>
          <t>C3398</t>
        </is>
      </c>
      <c r="B400" s="17" t="n">
        <v>4516431</v>
      </c>
      <c r="C400" s="18" t="n">
        <v>13</v>
      </c>
      <c r="D400" s="18" t="n">
        <v>510</v>
      </c>
      <c r="E400" s="18" t="n">
        <v>3</v>
      </c>
      <c r="F400" s="10">
        <f>IF($B400&gt;=Analysis!$P$1,IF($E400&lt;=Analysis!$P$2,"VIP","At risk"),IF($E400&lt;=Analysis!$P$2,"Loyal","Dormant"))</f>
        <v/>
      </c>
    </row>
    <row r="401">
      <c r="A401" s="10" t="inlineStr">
        <is>
          <t>C3399</t>
        </is>
      </c>
      <c r="B401" s="17" t="n">
        <v>856036</v>
      </c>
      <c r="C401" s="18" t="n">
        <v>5</v>
      </c>
      <c r="D401" s="18" t="n">
        <v>279</v>
      </c>
      <c r="E401" s="18" t="n">
        <v>111</v>
      </c>
      <c r="F401" s="10">
        <f>IF($B401&gt;=Analysis!$P$1,IF($E401&lt;=Analysis!$P$2,"VIP","At risk"),IF($E401&lt;=Analysis!$P$2,"Loyal","Dormant"))</f>
        <v/>
      </c>
    </row>
    <row r="402">
      <c r="A402" s="10" t="inlineStr">
        <is>
          <t>C3400</t>
        </is>
      </c>
      <c r="B402" s="17" t="n">
        <v>716480</v>
      </c>
      <c r="C402" s="18" t="n">
        <v>3</v>
      </c>
      <c r="D402" s="18" t="n">
        <v>75</v>
      </c>
      <c r="E402" s="18" t="n">
        <v>117</v>
      </c>
      <c r="F402" s="10">
        <f>IF($B402&gt;=Analysis!$P$1,IF($E402&lt;=Analysis!$P$2,"VIP","At risk"),IF($E402&lt;=Analysis!$P$2,"Loyal","Dormant"))</f>
        <v/>
      </c>
    </row>
    <row r="403">
      <c r="A403" s="10" t="inlineStr">
        <is>
          <t>C3401</t>
        </is>
      </c>
      <c r="B403" s="17" t="n">
        <v>1330075</v>
      </c>
      <c r="C403" s="18" t="n">
        <v>3</v>
      </c>
      <c r="D403" s="18" t="n">
        <v>302</v>
      </c>
      <c r="E403" s="18" t="n">
        <v>80</v>
      </c>
      <c r="F403" s="10">
        <f>IF($B403&gt;=Analysis!$P$1,IF($E403&lt;=Analysis!$P$2,"VIP","At risk"),IF($E403&lt;=Analysis!$P$2,"Loyal","Dormant"))</f>
        <v/>
      </c>
    </row>
    <row r="404">
      <c r="A404" s="10" t="inlineStr">
        <is>
          <t>C3402</t>
        </is>
      </c>
      <c r="B404" s="17" t="n">
        <v>3620634</v>
      </c>
      <c r="C404" s="18" t="n">
        <v>13</v>
      </c>
      <c r="D404" s="18" t="n">
        <v>333</v>
      </c>
      <c r="E404" s="18" t="n">
        <v>22</v>
      </c>
      <c r="F404" s="10">
        <f>IF($B404&gt;=Analysis!$P$1,IF($E404&lt;=Analysis!$P$2,"VIP","At risk"),IF($E404&lt;=Analysis!$P$2,"Loyal","Dormant"))</f>
        <v/>
      </c>
    </row>
    <row r="405">
      <c r="A405" s="10" t="inlineStr">
        <is>
          <t>C3403</t>
        </is>
      </c>
      <c r="B405" s="17" t="n">
        <v>5821965</v>
      </c>
      <c r="C405" s="18" t="n">
        <v>11</v>
      </c>
      <c r="D405" s="18" t="n">
        <v>598</v>
      </c>
      <c r="E405" s="18" t="n">
        <v>35</v>
      </c>
      <c r="F405" s="10">
        <f>IF($B405&gt;=Analysis!$P$1,IF($E405&lt;=Analysis!$P$2,"VIP","At risk"),IF($E405&lt;=Analysis!$P$2,"Loyal","Dormant"))</f>
        <v/>
      </c>
    </row>
    <row r="406">
      <c r="A406" s="10" t="inlineStr">
        <is>
          <t>C3404</t>
        </is>
      </c>
      <c r="B406" s="17" t="n">
        <v>452047</v>
      </c>
      <c r="C406" s="18" t="n">
        <v>7</v>
      </c>
      <c r="D406" s="18" t="n">
        <v>484</v>
      </c>
      <c r="E406" s="18" t="n">
        <v>98</v>
      </c>
      <c r="F406" s="10">
        <f>IF($B406&gt;=Analysis!$P$1,IF($E406&lt;=Analysis!$P$2,"VIP","At risk"),IF($E406&lt;=Analysis!$P$2,"Loyal","Dormant"))</f>
        <v/>
      </c>
    </row>
    <row r="407">
      <c r="A407" s="10" t="inlineStr">
        <is>
          <t>C3405</t>
        </is>
      </c>
      <c r="B407" s="17" t="n">
        <v>3442159</v>
      </c>
      <c r="C407" s="18" t="n">
        <v>10</v>
      </c>
      <c r="D407" s="18" t="n">
        <v>474</v>
      </c>
      <c r="E407" s="18" t="n">
        <v>15</v>
      </c>
      <c r="F407" s="10">
        <f>IF($B407&gt;=Analysis!$P$1,IF($E407&lt;=Analysis!$P$2,"VIP","At risk"),IF($E407&lt;=Analysis!$P$2,"Loyal","Dormant"))</f>
        <v/>
      </c>
    </row>
    <row r="408">
      <c r="A408" s="10" t="inlineStr">
        <is>
          <t>C3406</t>
        </is>
      </c>
      <c r="B408" s="17" t="n">
        <v>1317514</v>
      </c>
      <c r="C408" s="18" t="n">
        <v>1</v>
      </c>
      <c r="D408" s="18" t="n">
        <v>76</v>
      </c>
      <c r="E408" s="18" t="n">
        <v>33</v>
      </c>
      <c r="F408" s="10">
        <f>IF($B408&gt;=Analysis!$P$1,IF($E408&lt;=Analysis!$P$2,"VIP","At risk"),IF($E408&lt;=Analysis!$P$2,"Loyal","Dormant"))</f>
        <v/>
      </c>
    </row>
    <row r="409">
      <c r="A409" s="10" t="inlineStr">
        <is>
          <t>C3407</t>
        </is>
      </c>
      <c r="B409" s="17" t="n">
        <v>1002421</v>
      </c>
      <c r="C409" s="18" t="n">
        <v>4</v>
      </c>
      <c r="D409" s="18" t="n">
        <v>326</v>
      </c>
      <c r="E409" s="18" t="n">
        <v>121</v>
      </c>
      <c r="F409" s="10">
        <f>IF($B409&gt;=Analysis!$P$1,IF($E409&lt;=Analysis!$P$2,"VIP","At risk"),IF($E409&lt;=Analysis!$P$2,"Loyal","Dormant"))</f>
        <v/>
      </c>
    </row>
    <row r="410">
      <c r="A410" s="10" t="inlineStr">
        <is>
          <t>C3408</t>
        </is>
      </c>
      <c r="B410" s="17" t="n">
        <v>217977</v>
      </c>
      <c r="C410" s="18" t="n">
        <v>2</v>
      </c>
      <c r="D410" s="18" t="n">
        <v>5</v>
      </c>
      <c r="E410" s="18" t="n">
        <v>86</v>
      </c>
      <c r="F410" s="10">
        <f>IF($B410&gt;=Analysis!$P$1,IF($E410&lt;=Analysis!$P$2,"VIP","At risk"),IF($E410&lt;=Analysis!$P$2,"Loyal","Dormant"))</f>
        <v/>
      </c>
    </row>
    <row r="411">
      <c r="A411" s="10" t="inlineStr">
        <is>
          <t>C3409</t>
        </is>
      </c>
      <c r="B411" s="17" t="n">
        <v>1183293</v>
      </c>
      <c r="C411" s="18" t="n">
        <v>5</v>
      </c>
      <c r="D411" s="18" t="n">
        <v>423</v>
      </c>
      <c r="E411" s="18" t="n">
        <v>78</v>
      </c>
      <c r="F411" s="10">
        <f>IF($B411&gt;=Analysis!$P$1,IF($E411&lt;=Analysis!$P$2,"VIP","At risk"),IF($E411&lt;=Analysis!$P$2,"Loyal","Dormant"))</f>
        <v/>
      </c>
    </row>
    <row r="412">
      <c r="A412" s="10" t="inlineStr">
        <is>
          <t>C3410</t>
        </is>
      </c>
      <c r="B412" s="17" t="n">
        <v>2333166</v>
      </c>
      <c r="C412" s="18" t="n">
        <v>15</v>
      </c>
      <c r="D412" s="18" t="n">
        <v>460</v>
      </c>
      <c r="E412" s="18" t="n">
        <v>27</v>
      </c>
      <c r="F412" s="10">
        <f>IF($B412&gt;=Analysis!$P$1,IF($E412&lt;=Analysis!$P$2,"VIP","At risk"),IF($E412&lt;=Analysis!$P$2,"Loyal","Dormant"))</f>
        <v/>
      </c>
    </row>
    <row r="413">
      <c r="A413" s="10" t="inlineStr">
        <is>
          <t>C3411</t>
        </is>
      </c>
      <c r="B413" s="17" t="n">
        <v>193883</v>
      </c>
      <c r="C413" s="18" t="n">
        <v>1</v>
      </c>
      <c r="D413" s="18" t="n">
        <v>80</v>
      </c>
      <c r="E413" s="18" t="n">
        <v>100</v>
      </c>
      <c r="F413" s="10">
        <f>IF($B413&gt;=Analysis!$P$1,IF($E413&lt;=Analysis!$P$2,"VIP","At risk"),IF($E413&lt;=Analysis!$P$2,"Loyal","Dormant"))</f>
        <v/>
      </c>
    </row>
    <row r="414">
      <c r="A414" s="10" t="inlineStr">
        <is>
          <t>C3412</t>
        </is>
      </c>
      <c r="B414" s="17" t="n">
        <v>717205</v>
      </c>
      <c r="C414" s="18" t="n">
        <v>2</v>
      </c>
      <c r="D414" s="18" t="n">
        <v>204</v>
      </c>
      <c r="E414" s="18" t="n">
        <v>65</v>
      </c>
      <c r="F414" s="10">
        <f>IF($B414&gt;=Analysis!$P$1,IF($E414&lt;=Analysis!$P$2,"VIP","At risk"),IF($E414&lt;=Analysis!$P$2,"Loyal","Dormant"))</f>
        <v/>
      </c>
    </row>
    <row r="415">
      <c r="A415" s="10" t="inlineStr">
        <is>
          <t>C3413</t>
        </is>
      </c>
      <c r="B415" s="17" t="n">
        <v>517892</v>
      </c>
      <c r="C415" s="18" t="n">
        <v>7</v>
      </c>
      <c r="D415" s="18" t="n">
        <v>92</v>
      </c>
      <c r="E415" s="18" t="n">
        <v>13</v>
      </c>
      <c r="F415" s="10">
        <f>IF($B415&gt;=Analysis!$P$1,IF($E415&lt;=Analysis!$P$2,"VIP","At risk"),IF($E415&lt;=Analysis!$P$2,"Loyal","Dormant"))</f>
        <v/>
      </c>
    </row>
    <row r="416">
      <c r="A416" s="10" t="inlineStr">
        <is>
          <t>C3414</t>
        </is>
      </c>
      <c r="B416" s="17" t="n">
        <v>1113898</v>
      </c>
      <c r="C416" s="18" t="n">
        <v>5</v>
      </c>
      <c r="D416" s="18" t="n">
        <v>353</v>
      </c>
      <c r="E416" s="18" t="n">
        <v>119</v>
      </c>
      <c r="F416" s="10">
        <f>IF($B416&gt;=Analysis!$P$1,IF($E416&lt;=Analysis!$P$2,"VIP","At risk"),IF($E416&lt;=Analysis!$P$2,"Loyal","Dormant"))</f>
        <v/>
      </c>
    </row>
    <row r="417">
      <c r="A417" s="10" t="inlineStr">
        <is>
          <t>C3415</t>
        </is>
      </c>
      <c r="B417" s="17" t="n">
        <v>9667317</v>
      </c>
      <c r="C417" s="18" t="n">
        <v>22</v>
      </c>
      <c r="D417" s="18" t="n">
        <v>538</v>
      </c>
      <c r="E417" s="18" t="n">
        <v>24</v>
      </c>
      <c r="F417" s="10">
        <f>IF($B417&gt;=Analysis!$P$1,IF($E417&lt;=Analysis!$P$2,"VIP","At risk"),IF($E417&lt;=Analysis!$P$2,"Loyal","Dormant"))</f>
        <v/>
      </c>
    </row>
    <row r="418">
      <c r="A418" s="10" t="inlineStr">
        <is>
          <t>C3416</t>
        </is>
      </c>
      <c r="B418" s="17" t="n">
        <v>3987128</v>
      </c>
      <c r="C418" s="18" t="n">
        <v>12</v>
      </c>
      <c r="D418" s="18" t="n">
        <v>490</v>
      </c>
      <c r="E418" s="18" t="n">
        <v>26</v>
      </c>
      <c r="F418" s="10">
        <f>IF($B418&gt;=Analysis!$P$1,IF($E418&lt;=Analysis!$P$2,"VIP","At risk"),IF($E418&lt;=Analysis!$P$2,"Loyal","Dormant"))</f>
        <v/>
      </c>
    </row>
    <row r="419">
      <c r="A419" s="10" t="inlineStr">
        <is>
          <t>C3417</t>
        </is>
      </c>
      <c r="B419" s="17" t="n">
        <v>3009186</v>
      </c>
      <c r="C419" s="18" t="n">
        <v>13</v>
      </c>
      <c r="D419" s="18" t="n">
        <v>510</v>
      </c>
      <c r="E419" s="18" t="n">
        <v>31</v>
      </c>
      <c r="F419" s="10">
        <f>IF($B419&gt;=Analysis!$P$1,IF($E419&lt;=Analysis!$P$2,"VIP","At risk"),IF($E419&lt;=Analysis!$P$2,"Loyal","Dormant"))</f>
        <v/>
      </c>
    </row>
    <row r="420">
      <c r="A420" s="10" t="inlineStr">
        <is>
          <t>C3418</t>
        </is>
      </c>
      <c r="B420" s="17" t="n">
        <v>6733150</v>
      </c>
      <c r="C420" s="18" t="n">
        <v>16</v>
      </c>
      <c r="D420" s="18" t="n">
        <v>635</v>
      </c>
      <c r="E420" s="18" t="n">
        <v>1</v>
      </c>
      <c r="F420" s="10">
        <f>IF($B420&gt;=Analysis!$P$1,IF($E420&lt;=Analysis!$P$2,"VIP","At risk"),IF($E420&lt;=Analysis!$P$2,"Loyal","Dormant"))</f>
        <v/>
      </c>
    </row>
    <row r="421">
      <c r="A421" s="10" t="inlineStr">
        <is>
          <t>C3419</t>
        </is>
      </c>
      <c r="B421" s="17" t="n">
        <v>591171</v>
      </c>
      <c r="C421" s="18" t="n">
        <v>4</v>
      </c>
      <c r="D421" s="18" t="n">
        <v>174</v>
      </c>
      <c r="E421" s="18" t="n">
        <v>199</v>
      </c>
      <c r="F421" s="10">
        <f>IF($B421&gt;=Analysis!$P$1,IF($E421&lt;=Analysis!$P$2,"VIP","At risk"),IF($E421&lt;=Analysis!$P$2,"Loyal","Dormant"))</f>
        <v/>
      </c>
    </row>
    <row r="422">
      <c r="A422" s="10" t="inlineStr">
        <is>
          <t>C3420</t>
        </is>
      </c>
      <c r="B422" s="17" t="n">
        <v>740781</v>
      </c>
      <c r="C422" s="18" t="n">
        <v>1</v>
      </c>
      <c r="D422" s="18" t="n">
        <v>162</v>
      </c>
      <c r="E422" s="18" t="n">
        <v>58</v>
      </c>
      <c r="F422" s="10">
        <f>IF($B422&gt;=Analysis!$P$1,IF($E422&lt;=Analysis!$P$2,"VIP","At risk"),IF($E422&lt;=Analysis!$P$2,"Loyal","Dormant"))</f>
        <v/>
      </c>
    </row>
    <row r="423">
      <c r="A423" s="10" t="inlineStr">
        <is>
          <t>C3421</t>
        </is>
      </c>
      <c r="B423" s="17" t="n">
        <v>1328082</v>
      </c>
      <c r="C423" s="18" t="n">
        <v>5</v>
      </c>
      <c r="D423" s="18" t="n">
        <v>52</v>
      </c>
      <c r="E423" s="18" t="n">
        <v>11</v>
      </c>
      <c r="F423" s="10">
        <f>IF($B423&gt;=Analysis!$P$1,IF($E423&lt;=Analysis!$P$2,"VIP","At risk"),IF($E423&lt;=Analysis!$P$2,"Loyal","Dormant"))</f>
        <v/>
      </c>
    </row>
    <row r="424">
      <c r="A424" s="10" t="inlineStr">
        <is>
          <t>C3422</t>
        </is>
      </c>
      <c r="B424" s="17" t="n">
        <v>7660072</v>
      </c>
      <c r="C424" s="18" t="n">
        <v>39</v>
      </c>
      <c r="D424" s="18" t="n">
        <v>419</v>
      </c>
      <c r="E424" s="18" t="n">
        <v>9</v>
      </c>
      <c r="F424" s="10">
        <f>IF($B424&gt;=Analysis!$P$1,IF($E424&lt;=Analysis!$P$2,"VIP","At risk"),IF($E424&lt;=Analysis!$P$2,"Loyal","Dormant"))</f>
        <v/>
      </c>
    </row>
    <row r="425">
      <c r="A425" s="10" t="inlineStr">
        <is>
          <t>C3423</t>
        </is>
      </c>
      <c r="B425" s="17" t="n">
        <v>1364479</v>
      </c>
      <c r="C425" s="18" t="n">
        <v>3</v>
      </c>
      <c r="D425" s="18" t="n">
        <v>339</v>
      </c>
      <c r="E425" s="18" t="n">
        <v>25</v>
      </c>
      <c r="F425" s="10">
        <f>IF($B425&gt;=Analysis!$P$1,IF($E425&lt;=Analysis!$P$2,"VIP","At risk"),IF($E425&lt;=Analysis!$P$2,"Loyal","Dormant"))</f>
        <v/>
      </c>
    </row>
    <row r="426">
      <c r="A426" s="10" t="inlineStr">
        <is>
          <t>C3424</t>
        </is>
      </c>
      <c r="B426" s="17" t="n">
        <v>940646</v>
      </c>
      <c r="C426" s="18" t="n">
        <v>6</v>
      </c>
      <c r="D426" s="18" t="n">
        <v>317</v>
      </c>
      <c r="E426" s="18" t="n">
        <v>127</v>
      </c>
      <c r="F426" s="10">
        <f>IF($B426&gt;=Analysis!$P$1,IF($E426&lt;=Analysis!$P$2,"VIP","At risk"),IF($E426&lt;=Analysis!$P$2,"Loyal","Dormant"))</f>
        <v/>
      </c>
    </row>
    <row r="427">
      <c r="A427" s="10" t="inlineStr">
        <is>
          <t>C3425</t>
        </is>
      </c>
      <c r="B427" s="17" t="n">
        <v>1036210</v>
      </c>
      <c r="C427" s="18" t="n">
        <v>2</v>
      </c>
      <c r="D427" s="18" t="n">
        <v>339</v>
      </c>
      <c r="E427" s="18" t="n">
        <v>61</v>
      </c>
      <c r="F427" s="10">
        <f>IF($B427&gt;=Analysis!$P$1,IF($E427&lt;=Analysis!$P$2,"VIP","At risk"),IF($E427&lt;=Analysis!$P$2,"Loyal","Dormant"))</f>
        <v/>
      </c>
    </row>
    <row r="428">
      <c r="A428" s="10" t="inlineStr">
        <is>
          <t>C3426</t>
        </is>
      </c>
      <c r="B428" s="17" t="n">
        <v>3220721</v>
      </c>
      <c r="C428" s="18" t="n">
        <v>12</v>
      </c>
      <c r="D428" s="18" t="n">
        <v>556</v>
      </c>
      <c r="E428" s="18" t="n">
        <v>34</v>
      </c>
      <c r="F428" s="10">
        <f>IF($B428&gt;=Analysis!$P$1,IF($E428&lt;=Analysis!$P$2,"VIP","At risk"),IF($E428&lt;=Analysis!$P$2,"Loyal","Dormant"))</f>
        <v/>
      </c>
    </row>
    <row r="429">
      <c r="A429" s="10" t="inlineStr">
        <is>
          <t>C3427</t>
        </is>
      </c>
      <c r="B429" s="17" t="n">
        <v>1816416</v>
      </c>
      <c r="C429" s="18" t="n">
        <v>1</v>
      </c>
      <c r="D429" s="18" t="n">
        <v>477</v>
      </c>
      <c r="E429" s="18" t="n">
        <v>61</v>
      </c>
      <c r="F429" s="10">
        <f>IF($B429&gt;=Analysis!$P$1,IF($E429&lt;=Analysis!$P$2,"VIP","At risk"),IF($E429&lt;=Analysis!$P$2,"Loyal","Dormant"))</f>
        <v/>
      </c>
    </row>
    <row r="430">
      <c r="A430" s="10" t="inlineStr">
        <is>
          <t>C3428</t>
        </is>
      </c>
      <c r="B430" s="17" t="n">
        <v>1913289</v>
      </c>
      <c r="C430" s="18" t="n">
        <v>11</v>
      </c>
      <c r="D430" s="18" t="n">
        <v>587</v>
      </c>
      <c r="E430" s="18" t="n">
        <v>20</v>
      </c>
      <c r="F430" s="10">
        <f>IF($B430&gt;=Analysis!$P$1,IF($E430&lt;=Analysis!$P$2,"VIP","At risk"),IF($E430&lt;=Analysis!$P$2,"Loyal","Dormant"))</f>
        <v/>
      </c>
    </row>
    <row r="431">
      <c r="A431" s="10" t="inlineStr">
        <is>
          <t>C3429</t>
        </is>
      </c>
      <c r="B431" s="17" t="n">
        <v>4928420</v>
      </c>
      <c r="C431" s="18" t="n">
        <v>11</v>
      </c>
      <c r="D431" s="18" t="n">
        <v>433</v>
      </c>
      <c r="E431" s="18" t="n">
        <v>23</v>
      </c>
      <c r="F431" s="10">
        <f>IF($B431&gt;=Analysis!$P$1,IF($E431&lt;=Analysis!$P$2,"VIP","At risk"),IF($E431&lt;=Analysis!$P$2,"Loyal","Dormant"))</f>
        <v/>
      </c>
    </row>
    <row r="432">
      <c r="A432" s="10" t="inlineStr">
        <is>
          <t>C3430</t>
        </is>
      </c>
      <c r="B432" s="17" t="n">
        <v>3537728</v>
      </c>
      <c r="C432" s="18" t="n">
        <v>17</v>
      </c>
      <c r="D432" s="18" t="n">
        <v>587</v>
      </c>
      <c r="E432" s="18" t="n">
        <v>31</v>
      </c>
      <c r="F432" s="10">
        <f>IF($B432&gt;=Analysis!$P$1,IF($E432&lt;=Analysis!$P$2,"VIP","At risk"),IF($E432&lt;=Analysis!$P$2,"Loyal","Dormant"))</f>
        <v/>
      </c>
    </row>
    <row r="433">
      <c r="A433" s="10" t="inlineStr">
        <is>
          <t>C3431</t>
        </is>
      </c>
      <c r="B433" s="17" t="n">
        <v>3253560</v>
      </c>
      <c r="C433" s="18" t="n">
        <v>15</v>
      </c>
      <c r="D433" s="18" t="n">
        <v>245</v>
      </c>
      <c r="E433" s="18" t="n">
        <v>34</v>
      </c>
      <c r="F433" s="10">
        <f>IF($B433&gt;=Analysis!$P$1,IF($E433&lt;=Analysis!$P$2,"VIP","At risk"),IF($E433&lt;=Analysis!$P$2,"Loyal","Dormant"))</f>
        <v/>
      </c>
    </row>
    <row r="434">
      <c r="A434" s="10" t="inlineStr">
        <is>
          <t>C3432</t>
        </is>
      </c>
      <c r="B434" s="17" t="n">
        <v>270664</v>
      </c>
      <c r="C434" s="18" t="n">
        <v>2</v>
      </c>
      <c r="D434" s="18" t="n">
        <v>56</v>
      </c>
      <c r="E434" s="18" t="n">
        <v>3</v>
      </c>
      <c r="F434" s="10">
        <f>IF($B434&gt;=Analysis!$P$1,IF($E434&lt;=Analysis!$P$2,"VIP","At risk"),IF($E434&lt;=Analysis!$P$2,"Loyal","Dormant"))</f>
        <v/>
      </c>
    </row>
    <row r="435">
      <c r="A435" s="10" t="inlineStr">
        <is>
          <t>C3433</t>
        </is>
      </c>
      <c r="B435" s="17" t="n">
        <v>1202038</v>
      </c>
      <c r="C435" s="18" t="n">
        <v>6</v>
      </c>
      <c r="D435" s="18" t="n">
        <v>56</v>
      </c>
      <c r="E435" s="18" t="n">
        <v>77</v>
      </c>
      <c r="F435" s="10">
        <f>IF($B435&gt;=Analysis!$P$1,IF($E435&lt;=Analysis!$P$2,"VIP","At risk"),IF($E435&lt;=Analysis!$P$2,"Loyal","Dormant"))</f>
        <v/>
      </c>
    </row>
    <row r="436">
      <c r="A436" s="10" t="inlineStr">
        <is>
          <t>C3434</t>
        </is>
      </c>
      <c r="B436" s="17" t="n">
        <v>2175407</v>
      </c>
      <c r="C436" s="18" t="n">
        <v>8</v>
      </c>
      <c r="D436" s="18" t="n">
        <v>468</v>
      </c>
      <c r="E436" s="18" t="n">
        <v>27</v>
      </c>
      <c r="F436" s="10">
        <f>IF($B436&gt;=Analysis!$P$1,IF($E436&lt;=Analysis!$P$2,"VIP","At risk"),IF($E436&lt;=Analysis!$P$2,"Loyal","Dormant"))</f>
        <v/>
      </c>
    </row>
    <row r="437">
      <c r="A437" s="10" t="inlineStr">
        <is>
          <t>C3435</t>
        </is>
      </c>
      <c r="B437" s="17" t="n">
        <v>0</v>
      </c>
      <c r="C437" s="18" t="n">
        <v>5</v>
      </c>
      <c r="D437" s="18" t="n">
        <v>127</v>
      </c>
      <c r="E437" s="18" t="n">
        <v>8</v>
      </c>
      <c r="F437" s="10">
        <f>IF($B437&gt;=Analysis!$P$1,IF($E437&lt;=Analysis!$P$2,"VIP","At risk"),IF($E437&lt;=Analysis!$P$2,"Loyal","Dormant"))</f>
        <v/>
      </c>
    </row>
    <row r="438">
      <c r="A438" s="10" t="inlineStr">
        <is>
          <t>C3436</t>
        </is>
      </c>
      <c r="B438" s="17" t="n">
        <v>357667</v>
      </c>
      <c r="C438" s="18" t="n">
        <v>8</v>
      </c>
      <c r="D438" s="18" t="n">
        <v>530</v>
      </c>
      <c r="E438" s="18" t="n">
        <v>95</v>
      </c>
      <c r="F438" s="10">
        <f>IF($B438&gt;=Analysis!$P$1,IF($E438&lt;=Analysis!$P$2,"VIP","At risk"),IF($E438&lt;=Analysis!$P$2,"Loyal","Dormant"))</f>
        <v/>
      </c>
    </row>
    <row r="439">
      <c r="A439" s="10" t="inlineStr">
        <is>
          <t>C3437</t>
        </is>
      </c>
      <c r="B439" s="17" t="n">
        <v>831409</v>
      </c>
      <c r="C439" s="18" t="n">
        <v>4</v>
      </c>
      <c r="D439" s="18" t="n">
        <v>501</v>
      </c>
      <c r="E439" s="18" t="n">
        <v>61</v>
      </c>
      <c r="F439" s="10">
        <f>IF($B439&gt;=Analysis!$P$1,IF($E439&lt;=Analysis!$P$2,"VIP","At risk"),IF($E439&lt;=Analysis!$P$2,"Loyal","Dormant"))</f>
        <v/>
      </c>
    </row>
    <row r="440">
      <c r="A440" s="10" t="inlineStr">
        <is>
          <t>C3438</t>
        </is>
      </c>
      <c r="B440" s="17" t="n">
        <v>889615</v>
      </c>
      <c r="C440" s="18" t="n">
        <v>3</v>
      </c>
      <c r="D440" s="18" t="n">
        <v>259</v>
      </c>
      <c r="E440" s="18" t="n">
        <v>36</v>
      </c>
      <c r="F440" s="10">
        <f>IF($B440&gt;=Analysis!$P$1,IF($E440&lt;=Analysis!$P$2,"VIP","At risk"),IF($E440&lt;=Analysis!$P$2,"Loyal","Dormant"))</f>
        <v/>
      </c>
    </row>
    <row r="441">
      <c r="A441" s="10" t="inlineStr">
        <is>
          <t>C3439</t>
        </is>
      </c>
      <c r="B441" s="17" t="n">
        <v>4557088</v>
      </c>
      <c r="C441" s="18" t="n">
        <v>5</v>
      </c>
      <c r="D441" s="18" t="n">
        <v>429</v>
      </c>
      <c r="E441" s="18" t="n">
        <v>1</v>
      </c>
      <c r="F441" s="10">
        <f>IF($B441&gt;=Analysis!$P$1,IF($E441&lt;=Analysis!$P$2,"VIP","At risk"),IF($E441&lt;=Analysis!$P$2,"Loyal","Dormant"))</f>
        <v/>
      </c>
    </row>
    <row r="442">
      <c r="A442" s="10" t="inlineStr">
        <is>
          <t>C3440</t>
        </is>
      </c>
      <c r="B442" s="17" t="n">
        <v>4038984</v>
      </c>
      <c r="C442" s="18" t="n">
        <v>7</v>
      </c>
      <c r="D442" s="18" t="n">
        <v>311</v>
      </c>
      <c r="E442" s="18" t="n">
        <v>49</v>
      </c>
      <c r="F442" s="10">
        <f>IF($B442&gt;=Analysis!$P$1,IF($E442&lt;=Analysis!$P$2,"VIP","At risk"),IF($E442&lt;=Analysis!$P$2,"Loyal","Dormant"))</f>
        <v/>
      </c>
    </row>
    <row r="443">
      <c r="A443" s="10" t="inlineStr">
        <is>
          <t>C3441</t>
        </is>
      </c>
      <c r="B443" s="17" t="n">
        <v>3456054</v>
      </c>
      <c r="C443" s="18" t="n">
        <v>13</v>
      </c>
      <c r="D443" s="18" t="n">
        <v>184</v>
      </c>
      <c r="E443" s="18" t="n">
        <v>25</v>
      </c>
      <c r="F443" s="10">
        <f>IF($B443&gt;=Analysis!$P$1,IF($E443&lt;=Analysis!$P$2,"VIP","At risk"),IF($E443&lt;=Analysis!$P$2,"Loyal","Dormant"))</f>
        <v/>
      </c>
    </row>
    <row r="444">
      <c r="A444" s="10" t="inlineStr">
        <is>
          <t>C3442</t>
        </is>
      </c>
      <c r="B444" s="17" t="n">
        <v>2004882</v>
      </c>
      <c r="C444" s="18" t="n">
        <v>3</v>
      </c>
      <c r="D444" s="18" t="n">
        <v>50</v>
      </c>
      <c r="E444" s="18" t="n">
        <v>34</v>
      </c>
      <c r="F444" s="10">
        <f>IF($B444&gt;=Analysis!$P$1,IF($E444&lt;=Analysis!$P$2,"VIP","At risk"),IF($E444&lt;=Analysis!$P$2,"Loyal","Dormant"))</f>
        <v/>
      </c>
    </row>
    <row r="445">
      <c r="A445" s="10" t="inlineStr">
        <is>
          <t>C3443</t>
        </is>
      </c>
      <c r="B445" s="17" t="n">
        <v>4129102</v>
      </c>
      <c r="C445" s="18" t="n">
        <v>14</v>
      </c>
      <c r="D445" s="18" t="n">
        <v>249</v>
      </c>
      <c r="E445" s="18" t="n">
        <v>22</v>
      </c>
      <c r="F445" s="10">
        <f>IF($B445&gt;=Analysis!$P$1,IF($E445&lt;=Analysis!$P$2,"VIP","At risk"),IF($E445&lt;=Analysis!$P$2,"Loyal","Dormant"))</f>
        <v/>
      </c>
    </row>
    <row r="446">
      <c r="A446" s="10" t="inlineStr">
        <is>
          <t>C3444</t>
        </is>
      </c>
      <c r="B446" s="17" t="n">
        <v>3546833</v>
      </c>
      <c r="C446" s="18" t="n">
        <v>16</v>
      </c>
      <c r="D446" s="18" t="n">
        <v>272</v>
      </c>
      <c r="E446" s="18" t="n">
        <v>40</v>
      </c>
      <c r="F446" s="10">
        <f>IF($B446&gt;=Analysis!$P$1,IF($E446&lt;=Analysis!$P$2,"VIP","At risk"),IF($E446&lt;=Analysis!$P$2,"Loyal","Dormant"))</f>
        <v/>
      </c>
    </row>
    <row r="447">
      <c r="A447" s="10" t="inlineStr">
        <is>
          <t>C3445</t>
        </is>
      </c>
      <c r="B447" s="17" t="n">
        <v>3682746</v>
      </c>
      <c r="C447" s="18" t="n">
        <v>19</v>
      </c>
      <c r="D447" s="18" t="n">
        <v>456</v>
      </c>
      <c r="E447" s="18" t="n">
        <v>20</v>
      </c>
      <c r="F447" s="10">
        <f>IF($B447&gt;=Analysis!$P$1,IF($E447&lt;=Analysis!$P$2,"VIP","At risk"),IF($E447&lt;=Analysis!$P$2,"Loyal","Dormant"))</f>
        <v/>
      </c>
    </row>
    <row r="448">
      <c r="A448" s="10" t="inlineStr">
        <is>
          <t>C3446</t>
        </is>
      </c>
      <c r="B448" s="17" t="n">
        <v>1156026</v>
      </c>
      <c r="C448" s="18" t="n">
        <v>1</v>
      </c>
      <c r="D448" s="18" t="n">
        <v>401</v>
      </c>
      <c r="E448" s="18" t="n">
        <v>44</v>
      </c>
      <c r="F448" s="10">
        <f>IF($B448&gt;=Analysis!$P$1,IF($E448&lt;=Analysis!$P$2,"VIP","At risk"),IF($E448&lt;=Analysis!$P$2,"Loyal","Dormant"))</f>
        <v/>
      </c>
    </row>
    <row r="449">
      <c r="A449" s="10" t="inlineStr">
        <is>
          <t>C3447</t>
        </is>
      </c>
      <c r="B449" s="17" t="n">
        <v>1787307</v>
      </c>
      <c r="C449" s="18" t="n">
        <v>2</v>
      </c>
      <c r="D449" s="18" t="n">
        <v>130</v>
      </c>
      <c r="E449" s="18" t="n">
        <v>21</v>
      </c>
      <c r="F449" s="10">
        <f>IF($B449&gt;=Analysis!$P$1,IF($E449&lt;=Analysis!$P$2,"VIP","At risk"),IF($E449&lt;=Analysis!$P$2,"Loyal","Dormant"))</f>
        <v/>
      </c>
    </row>
    <row r="450">
      <c r="A450" s="10" t="inlineStr">
        <is>
          <t>C3448</t>
        </is>
      </c>
      <c r="B450" s="17" t="n">
        <v>1006890</v>
      </c>
      <c r="C450" s="18" t="n">
        <v>2</v>
      </c>
      <c r="D450" s="18" t="n">
        <v>519</v>
      </c>
      <c r="E450" s="18" t="n">
        <v>93</v>
      </c>
      <c r="F450" s="10">
        <f>IF($B450&gt;=Analysis!$P$1,IF($E450&lt;=Analysis!$P$2,"VIP","At risk"),IF($E450&lt;=Analysis!$P$2,"Loyal","Dormant"))</f>
        <v/>
      </c>
    </row>
    <row r="451">
      <c r="A451" s="10" t="inlineStr">
        <is>
          <t>C3449</t>
        </is>
      </c>
      <c r="B451" s="17" t="n">
        <v>7949</v>
      </c>
      <c r="C451" s="18" t="n">
        <v>1</v>
      </c>
      <c r="D451" s="18" t="n">
        <v>46</v>
      </c>
      <c r="E451" s="18" t="n">
        <v>32</v>
      </c>
      <c r="F451" s="10">
        <f>IF($B451&gt;=Analysis!$P$1,IF($E451&lt;=Analysis!$P$2,"VIP","At risk"),IF($E451&lt;=Analysis!$P$2,"Loyal","Dormant"))</f>
        <v/>
      </c>
    </row>
    <row r="452">
      <c r="A452" s="10" t="inlineStr">
        <is>
          <t>C3450</t>
        </is>
      </c>
      <c r="B452" s="17" t="n">
        <v>5042610</v>
      </c>
      <c r="C452" s="18" t="n">
        <v>7</v>
      </c>
      <c r="D452" s="18" t="n">
        <v>335</v>
      </c>
      <c r="E452" s="18" t="n">
        <v>5</v>
      </c>
      <c r="F452" s="10">
        <f>IF($B452&gt;=Analysis!$P$1,IF($E452&lt;=Analysis!$P$2,"VIP","At risk"),IF($E452&lt;=Analysis!$P$2,"Loyal","Dormant"))</f>
        <v/>
      </c>
    </row>
    <row r="453">
      <c r="A453" s="10" t="inlineStr">
        <is>
          <t>C3451</t>
        </is>
      </c>
      <c r="B453" s="17" t="n">
        <v>1515962</v>
      </c>
      <c r="C453" s="18" t="n">
        <v>3</v>
      </c>
      <c r="D453" s="18" t="n">
        <v>52</v>
      </c>
      <c r="E453" s="18" t="n">
        <v>14</v>
      </c>
      <c r="F453" s="10">
        <f>IF($B453&gt;=Analysis!$P$1,IF($E453&lt;=Analysis!$P$2,"VIP","At risk"),IF($E453&lt;=Analysis!$P$2,"Loyal","Dormant"))</f>
        <v/>
      </c>
    </row>
    <row r="454">
      <c r="A454" s="10" t="inlineStr">
        <is>
          <t>C3452</t>
        </is>
      </c>
      <c r="B454" s="17" t="n">
        <v>5645588</v>
      </c>
      <c r="C454" s="18" t="n">
        <v>34</v>
      </c>
      <c r="D454" s="18" t="n">
        <v>643</v>
      </c>
      <c r="E454" s="18" t="n">
        <v>1</v>
      </c>
      <c r="F454" s="10">
        <f>IF($B454&gt;=Analysis!$P$1,IF($E454&lt;=Analysis!$P$2,"VIP","At risk"),IF($E454&lt;=Analysis!$P$2,"Loyal","Dormant"))</f>
        <v/>
      </c>
    </row>
    <row r="455">
      <c r="A455" s="10" t="inlineStr">
        <is>
          <t>C3453</t>
        </is>
      </c>
      <c r="B455" s="17" t="n">
        <v>1349706</v>
      </c>
      <c r="C455" s="18" t="n">
        <v>4</v>
      </c>
      <c r="D455" s="18" t="n">
        <v>147</v>
      </c>
      <c r="E455" s="18" t="n">
        <v>80</v>
      </c>
      <c r="F455" s="10">
        <f>IF($B455&gt;=Analysis!$P$1,IF($E455&lt;=Analysis!$P$2,"VIP","At risk"),IF($E455&lt;=Analysis!$P$2,"Loyal","Dormant"))</f>
        <v/>
      </c>
    </row>
    <row r="456">
      <c r="A456" s="10" t="inlineStr">
        <is>
          <t>C3454</t>
        </is>
      </c>
      <c r="B456" s="17" t="n">
        <v>71857</v>
      </c>
      <c r="C456" s="18" t="n">
        <v>5</v>
      </c>
      <c r="D456" s="18" t="n">
        <v>100</v>
      </c>
      <c r="E456" s="18" t="n">
        <v>38</v>
      </c>
      <c r="F456" s="10">
        <f>IF($B456&gt;=Analysis!$P$1,IF($E456&lt;=Analysis!$P$2,"VIP","At risk"),IF($E456&lt;=Analysis!$P$2,"Loyal","Dormant"))</f>
        <v/>
      </c>
    </row>
    <row r="457">
      <c r="A457" s="10" t="inlineStr">
        <is>
          <t>C3455</t>
        </is>
      </c>
      <c r="B457" s="17" t="n">
        <v>11087046</v>
      </c>
      <c r="C457" s="18" t="n">
        <v>37</v>
      </c>
      <c r="D457" s="18" t="n">
        <v>589</v>
      </c>
      <c r="E457" s="18" t="n">
        <v>13</v>
      </c>
      <c r="F457" s="10">
        <f>IF($B457&gt;=Analysis!$P$1,IF($E457&lt;=Analysis!$P$2,"VIP","At risk"),IF($E457&lt;=Analysis!$P$2,"Loyal","Dormant"))</f>
        <v/>
      </c>
    </row>
    <row r="458">
      <c r="A458" s="10" t="inlineStr">
        <is>
          <t>C3456</t>
        </is>
      </c>
      <c r="B458" s="17" t="n">
        <v>1834798</v>
      </c>
      <c r="C458" s="18" t="n">
        <v>2</v>
      </c>
      <c r="D458" s="18" t="n">
        <v>99</v>
      </c>
      <c r="E458" s="18" t="n">
        <v>13</v>
      </c>
      <c r="F458" s="10">
        <f>IF($B458&gt;=Analysis!$P$1,IF($E458&lt;=Analysis!$P$2,"VIP","At risk"),IF($E458&lt;=Analysis!$P$2,"Loyal","Dormant"))</f>
        <v/>
      </c>
    </row>
    <row r="459">
      <c r="A459" s="10" t="inlineStr">
        <is>
          <t>C3457</t>
        </is>
      </c>
      <c r="B459" s="17" t="n">
        <v>1218533</v>
      </c>
      <c r="C459" s="18" t="n">
        <v>6</v>
      </c>
      <c r="D459" s="18" t="n">
        <v>308</v>
      </c>
      <c r="E459" s="18" t="n">
        <v>112</v>
      </c>
      <c r="F459" s="10">
        <f>IF($B459&gt;=Analysis!$P$1,IF($E459&lt;=Analysis!$P$2,"VIP","At risk"),IF($E459&lt;=Analysis!$P$2,"Loyal","Dormant"))</f>
        <v/>
      </c>
    </row>
    <row r="460">
      <c r="A460" s="10" t="inlineStr">
        <is>
          <t>C3458</t>
        </is>
      </c>
      <c r="B460" s="17" t="n">
        <v>1046051</v>
      </c>
      <c r="C460" s="18" t="n">
        <v>2</v>
      </c>
      <c r="D460" s="18" t="n">
        <v>406</v>
      </c>
      <c r="E460" s="18" t="n">
        <v>106</v>
      </c>
      <c r="F460" s="10">
        <f>IF($B460&gt;=Analysis!$P$1,IF($E460&lt;=Analysis!$P$2,"VIP","At risk"),IF($E460&lt;=Analysis!$P$2,"Loyal","Dormant"))</f>
        <v/>
      </c>
    </row>
    <row r="461">
      <c r="A461" s="10" t="inlineStr">
        <is>
          <t>C3459</t>
        </is>
      </c>
      <c r="B461" s="17" t="n">
        <v>1160759</v>
      </c>
      <c r="C461" s="18" t="n">
        <v>7</v>
      </c>
      <c r="D461" s="18" t="n">
        <v>490</v>
      </c>
      <c r="E461" s="18" t="n">
        <v>27</v>
      </c>
      <c r="F461" s="10">
        <f>IF($B461&gt;=Analysis!$P$1,IF($E461&lt;=Analysis!$P$2,"VIP","At risk"),IF($E461&lt;=Analysis!$P$2,"Loyal","Dormant"))</f>
        <v/>
      </c>
    </row>
    <row r="462">
      <c r="A462" s="10" t="inlineStr">
        <is>
          <t>C3460</t>
        </is>
      </c>
      <c r="B462" s="17" t="n">
        <v>4582139</v>
      </c>
      <c r="C462" s="18" t="n">
        <v>11</v>
      </c>
      <c r="D462" s="18" t="n">
        <v>660</v>
      </c>
      <c r="E462" s="18" t="n">
        <v>35</v>
      </c>
      <c r="F462" s="10">
        <f>IF($B462&gt;=Analysis!$P$1,IF($E462&lt;=Analysis!$P$2,"VIP","At risk"),IF($E462&lt;=Analysis!$P$2,"Loyal","Dormant"))</f>
        <v/>
      </c>
    </row>
    <row r="463">
      <c r="A463" s="10" t="inlineStr">
        <is>
          <t>C3461</t>
        </is>
      </c>
      <c r="B463" s="17" t="n">
        <v>1172926</v>
      </c>
      <c r="C463" s="18" t="n">
        <v>5</v>
      </c>
      <c r="D463" s="18" t="n">
        <v>111</v>
      </c>
      <c r="E463" s="18" t="n">
        <v>91</v>
      </c>
      <c r="F463" s="10">
        <f>IF($B463&gt;=Analysis!$P$1,IF($E463&lt;=Analysis!$P$2,"VIP","At risk"),IF($E463&lt;=Analysis!$P$2,"Loyal","Dormant"))</f>
        <v/>
      </c>
    </row>
    <row r="464">
      <c r="A464" s="10" t="inlineStr">
        <is>
          <t>C3462</t>
        </is>
      </c>
      <c r="B464" s="17" t="n">
        <v>1705046</v>
      </c>
      <c r="C464" s="18" t="n">
        <v>22</v>
      </c>
      <c r="D464" s="18" t="n">
        <v>469</v>
      </c>
      <c r="E464" s="18" t="n">
        <v>38</v>
      </c>
      <c r="F464" s="10">
        <f>IF($B464&gt;=Analysis!$P$1,IF($E464&lt;=Analysis!$P$2,"VIP","At risk"),IF($E464&lt;=Analysis!$P$2,"Loyal","Dormant"))</f>
        <v/>
      </c>
    </row>
    <row r="465">
      <c r="A465" s="10" t="inlineStr">
        <is>
          <t>C3463</t>
        </is>
      </c>
      <c r="B465" s="17" t="n">
        <v>1336783</v>
      </c>
      <c r="C465" s="18" t="n">
        <v>3</v>
      </c>
      <c r="D465" s="18" t="n">
        <v>528</v>
      </c>
      <c r="E465" s="18" t="n">
        <v>1</v>
      </c>
      <c r="F465" s="10">
        <f>IF($B465&gt;=Analysis!$P$1,IF($E465&lt;=Analysis!$P$2,"VIP","At risk"),IF($E465&lt;=Analysis!$P$2,"Loyal","Dormant"))</f>
        <v/>
      </c>
    </row>
    <row r="466">
      <c r="A466" s="10" t="inlineStr">
        <is>
          <t>C3464</t>
        </is>
      </c>
      <c r="B466" s="17" t="n">
        <v>3978354</v>
      </c>
      <c r="C466" s="18" t="n">
        <v>16</v>
      </c>
      <c r="D466" s="18" t="n">
        <v>358</v>
      </c>
      <c r="E466" s="18" t="n">
        <v>10</v>
      </c>
      <c r="F466" s="10">
        <f>IF($B466&gt;=Analysis!$P$1,IF($E466&lt;=Analysis!$P$2,"VIP","At risk"),IF($E466&lt;=Analysis!$P$2,"Loyal","Dormant"))</f>
        <v/>
      </c>
    </row>
    <row r="467">
      <c r="A467" s="10" t="inlineStr">
        <is>
          <t>C3465</t>
        </is>
      </c>
      <c r="B467" s="17" t="n">
        <v>711836</v>
      </c>
      <c r="C467" s="18" t="n">
        <v>3</v>
      </c>
      <c r="D467" s="18" t="n">
        <v>112</v>
      </c>
      <c r="E467" s="18" t="n">
        <v>21</v>
      </c>
      <c r="F467" s="10">
        <f>IF($B467&gt;=Analysis!$P$1,IF($E467&lt;=Analysis!$P$2,"VIP","At risk"),IF($E467&lt;=Analysis!$P$2,"Loyal","Dormant"))</f>
        <v/>
      </c>
    </row>
    <row r="468">
      <c r="A468" s="10" t="inlineStr">
        <is>
          <t>C3466</t>
        </is>
      </c>
      <c r="B468" s="17" t="n">
        <v>507429</v>
      </c>
      <c r="C468" s="18" t="n">
        <v>5</v>
      </c>
      <c r="D468" s="18" t="n">
        <v>408</v>
      </c>
      <c r="E468" s="18" t="n">
        <v>59</v>
      </c>
      <c r="F468" s="10">
        <f>IF($B468&gt;=Analysis!$P$1,IF($E468&lt;=Analysis!$P$2,"VIP","At risk"),IF($E468&lt;=Analysis!$P$2,"Loyal","Dormant"))</f>
        <v/>
      </c>
    </row>
    <row r="469">
      <c r="A469" s="10" t="inlineStr">
        <is>
          <t>C3467</t>
        </is>
      </c>
      <c r="B469" s="17" t="n">
        <v>2499348</v>
      </c>
      <c r="C469" s="18" t="n">
        <v>7</v>
      </c>
      <c r="D469" s="18" t="n">
        <v>88</v>
      </c>
      <c r="E469" s="18" t="n">
        <v>15</v>
      </c>
      <c r="F469" s="10">
        <f>IF($B469&gt;=Analysis!$P$1,IF($E469&lt;=Analysis!$P$2,"VIP","At risk"),IF($E469&lt;=Analysis!$P$2,"Loyal","Dormant"))</f>
        <v/>
      </c>
    </row>
    <row r="470">
      <c r="A470" s="10" t="inlineStr">
        <is>
          <t>C3468</t>
        </is>
      </c>
      <c r="B470" s="17" t="n">
        <v>671104</v>
      </c>
      <c r="C470" s="18" t="n">
        <v>5</v>
      </c>
      <c r="D470" s="18" t="n">
        <v>526</v>
      </c>
      <c r="E470" s="18" t="n">
        <v>61</v>
      </c>
      <c r="F470" s="10">
        <f>IF($B470&gt;=Analysis!$P$1,IF($E470&lt;=Analysis!$P$2,"VIP","At risk"),IF($E470&lt;=Analysis!$P$2,"Loyal","Dormant"))</f>
        <v/>
      </c>
    </row>
    <row r="471">
      <c r="A471" s="10" t="inlineStr">
        <is>
          <t>C3469</t>
        </is>
      </c>
      <c r="B471" s="17" t="n">
        <v>1242105</v>
      </c>
      <c r="C471" s="18" t="n">
        <v>4</v>
      </c>
      <c r="D471" s="18" t="n">
        <v>455</v>
      </c>
      <c r="E471" s="18" t="n">
        <v>96</v>
      </c>
      <c r="F471" s="10">
        <f>IF($B471&gt;=Analysis!$P$1,IF($E471&lt;=Analysis!$P$2,"VIP","At risk"),IF($E471&lt;=Analysis!$P$2,"Loyal","Dormant"))</f>
        <v/>
      </c>
    </row>
    <row r="472">
      <c r="A472" s="10" t="inlineStr">
        <is>
          <t>C3470</t>
        </is>
      </c>
      <c r="B472" s="17" t="n">
        <v>2593067</v>
      </c>
      <c r="C472" s="18" t="n">
        <v>20</v>
      </c>
      <c r="D472" s="18" t="n">
        <v>511</v>
      </c>
      <c r="E472" s="18" t="n">
        <v>35</v>
      </c>
      <c r="F472" s="10">
        <f>IF($B472&gt;=Analysis!$P$1,IF($E472&lt;=Analysis!$P$2,"VIP","At risk"),IF($E472&lt;=Analysis!$P$2,"Loyal","Dormant"))</f>
        <v/>
      </c>
    </row>
    <row r="473">
      <c r="A473" s="10" t="inlineStr">
        <is>
          <t>C3471</t>
        </is>
      </c>
      <c r="B473" s="17" t="n">
        <v>353380</v>
      </c>
      <c r="C473" s="18" t="n">
        <v>6</v>
      </c>
      <c r="D473" s="18" t="n">
        <v>70</v>
      </c>
      <c r="E473" s="18" t="n">
        <v>18</v>
      </c>
      <c r="F473" s="10">
        <f>IF($B473&gt;=Analysis!$P$1,IF($E473&lt;=Analysis!$P$2,"VIP","At risk"),IF($E473&lt;=Analysis!$P$2,"Loyal","Dormant"))</f>
        <v/>
      </c>
    </row>
    <row r="474">
      <c r="A474" s="10" t="inlineStr">
        <is>
          <t>C3472</t>
        </is>
      </c>
      <c r="B474" s="17" t="n">
        <v>3504902</v>
      </c>
      <c r="C474" s="18" t="n">
        <v>21</v>
      </c>
      <c r="D474" s="18" t="n">
        <v>268</v>
      </c>
      <c r="E474" s="18" t="n">
        <v>39</v>
      </c>
      <c r="F474" s="10">
        <f>IF($B474&gt;=Analysis!$P$1,IF($E474&lt;=Analysis!$P$2,"VIP","At risk"),IF($E474&lt;=Analysis!$P$2,"Loyal","Dormant"))</f>
        <v/>
      </c>
    </row>
    <row r="475">
      <c r="A475" s="10" t="inlineStr">
        <is>
          <t>C3473</t>
        </is>
      </c>
      <c r="B475" s="17" t="n">
        <v>0</v>
      </c>
      <c r="C475" s="18" t="n">
        <v>3</v>
      </c>
      <c r="D475" s="18" t="n">
        <v>62</v>
      </c>
      <c r="E475" s="18" t="n">
        <v>20</v>
      </c>
      <c r="F475" s="10">
        <f>IF($B475&gt;=Analysis!$P$1,IF($E475&lt;=Analysis!$P$2,"VIP","At risk"),IF($E475&lt;=Analysis!$P$2,"Loyal","Dormant"))</f>
        <v/>
      </c>
    </row>
    <row r="476">
      <c r="A476" s="10" t="inlineStr">
        <is>
          <t>C3474</t>
        </is>
      </c>
      <c r="B476" s="17" t="n">
        <v>4578206</v>
      </c>
      <c r="C476" s="18" t="n">
        <v>10</v>
      </c>
      <c r="D476" s="18" t="n">
        <v>439</v>
      </c>
      <c r="E476" s="18" t="n">
        <v>1</v>
      </c>
      <c r="F476" s="10">
        <f>IF($B476&gt;=Analysis!$P$1,IF($E476&lt;=Analysis!$P$2,"VIP","At risk"),IF($E476&lt;=Analysis!$P$2,"Loyal","Dormant"))</f>
        <v/>
      </c>
    </row>
    <row r="477">
      <c r="A477" s="10" t="inlineStr">
        <is>
          <t>C3475</t>
        </is>
      </c>
      <c r="B477" s="17" t="n">
        <v>997475</v>
      </c>
      <c r="C477" s="18" t="n">
        <v>5</v>
      </c>
      <c r="D477" s="18" t="n">
        <v>213</v>
      </c>
      <c r="E477" s="18" t="n">
        <v>43</v>
      </c>
      <c r="F477" s="10">
        <f>IF($B477&gt;=Analysis!$P$1,IF($E477&lt;=Analysis!$P$2,"VIP","At risk"),IF($E477&lt;=Analysis!$P$2,"Loyal","Dormant"))</f>
        <v/>
      </c>
    </row>
    <row r="478">
      <c r="A478" s="10" t="inlineStr">
        <is>
          <t>C3476</t>
        </is>
      </c>
      <c r="B478" s="17" t="n">
        <v>7739878</v>
      </c>
      <c r="C478" s="18" t="n">
        <v>23</v>
      </c>
      <c r="D478" s="18" t="n">
        <v>622</v>
      </c>
      <c r="E478" s="18" t="n">
        <v>13</v>
      </c>
      <c r="F478" s="10">
        <f>IF($B478&gt;=Analysis!$P$1,IF($E478&lt;=Analysis!$P$2,"VIP","At risk"),IF($E478&lt;=Analysis!$P$2,"Loyal","Dormant"))</f>
        <v/>
      </c>
    </row>
    <row r="479">
      <c r="A479" s="10" t="inlineStr">
        <is>
          <t>C3477</t>
        </is>
      </c>
      <c r="B479" s="17" t="n">
        <v>445700</v>
      </c>
      <c r="C479" s="18" t="n">
        <v>3</v>
      </c>
      <c r="D479" s="18" t="n">
        <v>272</v>
      </c>
      <c r="E479" s="18" t="n">
        <v>43</v>
      </c>
      <c r="F479" s="10">
        <f>IF($B479&gt;=Analysis!$P$1,IF($E479&lt;=Analysis!$P$2,"VIP","At risk"),IF($E479&lt;=Analysis!$P$2,"Loyal","Dormant"))</f>
        <v/>
      </c>
    </row>
    <row r="480">
      <c r="A480" s="10" t="inlineStr">
        <is>
          <t>C3478</t>
        </is>
      </c>
      <c r="B480" s="17" t="n">
        <v>450578</v>
      </c>
      <c r="C480" s="18" t="n">
        <v>5</v>
      </c>
      <c r="D480" s="18" t="n">
        <v>535</v>
      </c>
      <c r="E480" s="18" t="n">
        <v>108</v>
      </c>
      <c r="F480" s="10">
        <f>IF($B480&gt;=Analysis!$P$1,IF($E480&lt;=Analysis!$P$2,"VIP","At risk"),IF($E480&lt;=Analysis!$P$2,"Loyal","Dormant"))</f>
        <v/>
      </c>
    </row>
    <row r="481">
      <c r="A481" s="10" t="inlineStr">
        <is>
          <t>C3479</t>
        </is>
      </c>
      <c r="B481" s="17" t="n">
        <v>3636390</v>
      </c>
      <c r="C481" s="18" t="n">
        <v>18</v>
      </c>
      <c r="D481" s="18" t="n">
        <v>407</v>
      </c>
      <c r="E481" s="18" t="n">
        <v>23</v>
      </c>
      <c r="F481" s="10">
        <f>IF($B481&gt;=Analysis!$P$1,IF($E481&lt;=Analysis!$P$2,"VIP","At risk"),IF($E481&lt;=Analysis!$P$2,"Loyal","Dormant"))</f>
        <v/>
      </c>
    </row>
    <row r="482">
      <c r="A482" s="10" t="inlineStr">
        <is>
          <t>C3480</t>
        </is>
      </c>
      <c r="B482" s="17" t="n">
        <v>1391156</v>
      </c>
      <c r="C482" s="18" t="n">
        <v>7</v>
      </c>
      <c r="D482" s="18" t="n">
        <v>5</v>
      </c>
      <c r="E482" s="18" t="n">
        <v>27</v>
      </c>
      <c r="F482" s="10">
        <f>IF($B482&gt;=Analysis!$P$1,IF($E482&lt;=Analysis!$P$2,"VIP","At risk"),IF($E482&lt;=Analysis!$P$2,"Loyal","Dormant"))</f>
        <v/>
      </c>
    </row>
    <row r="483">
      <c r="A483" s="10" t="inlineStr">
        <is>
          <t>C3481</t>
        </is>
      </c>
      <c r="B483" s="17" t="n">
        <v>1822316</v>
      </c>
      <c r="C483" s="18" t="n">
        <v>4</v>
      </c>
      <c r="D483" s="18" t="n">
        <v>59</v>
      </c>
      <c r="E483" s="18" t="n">
        <v>41</v>
      </c>
      <c r="F483" s="10">
        <f>IF($B483&gt;=Analysis!$P$1,IF($E483&lt;=Analysis!$P$2,"VIP","At risk"),IF($E483&lt;=Analysis!$P$2,"Loyal","Dormant"))</f>
        <v/>
      </c>
    </row>
    <row r="484">
      <c r="A484" s="10" t="inlineStr">
        <is>
          <t>C3482</t>
        </is>
      </c>
      <c r="B484" s="17" t="n">
        <v>272920</v>
      </c>
      <c r="C484" s="18" t="n">
        <v>4</v>
      </c>
      <c r="D484" s="18" t="n">
        <v>31</v>
      </c>
      <c r="E484" s="18" t="n">
        <v>20</v>
      </c>
      <c r="F484" s="10">
        <f>IF($B484&gt;=Analysis!$P$1,IF($E484&lt;=Analysis!$P$2,"VIP","At risk"),IF($E484&lt;=Analysis!$P$2,"Loyal","Dormant"))</f>
        <v/>
      </c>
    </row>
    <row r="485">
      <c r="A485" s="10" t="inlineStr">
        <is>
          <t>C3483</t>
        </is>
      </c>
      <c r="B485" s="17" t="n">
        <v>577363</v>
      </c>
      <c r="C485" s="18" t="n">
        <v>3</v>
      </c>
      <c r="D485" s="18" t="n">
        <v>480</v>
      </c>
      <c r="E485" s="18" t="n">
        <v>78</v>
      </c>
      <c r="F485" s="10">
        <f>IF($B485&gt;=Analysis!$P$1,IF($E485&lt;=Analysis!$P$2,"VIP","At risk"),IF($E485&lt;=Analysis!$P$2,"Loyal","Dormant"))</f>
        <v/>
      </c>
    </row>
    <row r="486">
      <c r="A486" s="10" t="inlineStr">
        <is>
          <t>C3484</t>
        </is>
      </c>
      <c r="B486" s="17" t="n">
        <v>10325522</v>
      </c>
      <c r="C486" s="18" t="n">
        <v>26</v>
      </c>
      <c r="D486" s="18" t="n">
        <v>697</v>
      </c>
      <c r="E486" s="18" t="n">
        <v>20</v>
      </c>
      <c r="F486" s="10">
        <f>IF($B486&gt;=Analysis!$P$1,IF($E486&lt;=Analysis!$P$2,"VIP","At risk"),IF($E486&lt;=Analysis!$P$2,"Loyal","Dormant"))</f>
        <v/>
      </c>
    </row>
    <row r="487">
      <c r="A487" s="10" t="inlineStr">
        <is>
          <t>C3485</t>
        </is>
      </c>
      <c r="B487" s="17" t="n">
        <v>210716</v>
      </c>
      <c r="C487" s="18" t="n">
        <v>6</v>
      </c>
      <c r="D487" s="18" t="n">
        <v>112</v>
      </c>
      <c r="E487" s="18" t="n">
        <v>56</v>
      </c>
      <c r="F487" s="10">
        <f>IF($B487&gt;=Analysis!$P$1,IF($E487&lt;=Analysis!$P$2,"VIP","At risk"),IF($E487&lt;=Analysis!$P$2,"Loyal","Dormant"))</f>
        <v/>
      </c>
    </row>
    <row r="488">
      <c r="A488" s="10" t="inlineStr">
        <is>
          <t>C3486</t>
        </is>
      </c>
      <c r="B488" s="17" t="n">
        <v>839540</v>
      </c>
      <c r="C488" s="18" t="n">
        <v>5</v>
      </c>
      <c r="D488" s="18" t="n">
        <v>493</v>
      </c>
      <c r="E488" s="18" t="n">
        <v>129</v>
      </c>
      <c r="F488" s="10">
        <f>IF($B488&gt;=Analysis!$P$1,IF($E488&lt;=Analysis!$P$2,"VIP","At risk"),IF($E488&lt;=Analysis!$P$2,"Loyal","Dormant"))</f>
        <v/>
      </c>
    </row>
    <row r="489">
      <c r="A489" s="10" t="inlineStr">
        <is>
          <t>C3487</t>
        </is>
      </c>
      <c r="B489" s="17" t="n">
        <v>1107881</v>
      </c>
      <c r="C489" s="18" t="n">
        <v>2</v>
      </c>
      <c r="D489" s="18" t="n">
        <v>102</v>
      </c>
      <c r="E489" s="18" t="n">
        <v>28</v>
      </c>
      <c r="F489" s="10">
        <f>IF($B489&gt;=Analysis!$P$1,IF($E489&lt;=Analysis!$P$2,"VIP","At risk"),IF($E489&lt;=Analysis!$P$2,"Loyal","Dormant"))</f>
        <v/>
      </c>
    </row>
    <row r="490">
      <c r="A490" s="10" t="inlineStr">
        <is>
          <t>C3488</t>
        </is>
      </c>
      <c r="B490" s="17" t="n">
        <v>9337696</v>
      </c>
      <c r="C490" s="18" t="n">
        <v>27</v>
      </c>
      <c r="D490" s="18" t="n">
        <v>459</v>
      </c>
      <c r="E490" s="18" t="n">
        <v>2</v>
      </c>
      <c r="F490" s="10">
        <f>IF($B490&gt;=Analysis!$P$1,IF($E490&lt;=Analysis!$P$2,"VIP","At risk"),IF($E490&lt;=Analysis!$P$2,"Loyal","Dormant"))</f>
        <v/>
      </c>
    </row>
    <row r="491">
      <c r="A491" s="10" t="inlineStr">
        <is>
          <t>C3489</t>
        </is>
      </c>
      <c r="B491" s="17" t="n">
        <v>2490932</v>
      </c>
      <c r="C491" s="18" t="n">
        <v>10</v>
      </c>
      <c r="D491" s="18" t="n">
        <v>458</v>
      </c>
      <c r="E491" s="18" t="n">
        <v>22</v>
      </c>
      <c r="F491" s="10">
        <f>IF($B491&gt;=Analysis!$P$1,IF($E491&lt;=Analysis!$P$2,"VIP","At risk"),IF($E491&lt;=Analysis!$P$2,"Loyal","Dormant"))</f>
        <v/>
      </c>
    </row>
    <row r="492">
      <c r="A492" s="10" t="inlineStr">
        <is>
          <t>C3490</t>
        </is>
      </c>
      <c r="B492" s="17" t="n">
        <v>5588090</v>
      </c>
      <c r="C492" s="18" t="n">
        <v>7</v>
      </c>
      <c r="D492" s="18" t="n">
        <v>492</v>
      </c>
      <c r="E492" s="18" t="n">
        <v>33</v>
      </c>
      <c r="F492" s="10">
        <f>IF($B492&gt;=Analysis!$P$1,IF($E492&lt;=Analysis!$P$2,"VIP","At risk"),IF($E492&lt;=Analysis!$P$2,"Loyal","Dormant"))</f>
        <v/>
      </c>
    </row>
    <row r="493">
      <c r="A493" s="10" t="inlineStr">
        <is>
          <t>C3491</t>
        </is>
      </c>
      <c r="B493" s="17" t="n">
        <v>8688623</v>
      </c>
      <c r="C493" s="18" t="n">
        <v>28</v>
      </c>
      <c r="D493" s="18" t="n">
        <v>732</v>
      </c>
      <c r="E493" s="18" t="n">
        <v>1</v>
      </c>
      <c r="F493" s="10">
        <f>IF($B493&gt;=Analysis!$P$1,IF($E493&lt;=Analysis!$P$2,"VIP","At risk"),IF($E493&lt;=Analysis!$P$2,"Loyal","Dormant"))</f>
        <v/>
      </c>
    </row>
    <row r="494">
      <c r="A494" s="10" t="inlineStr">
        <is>
          <t>C3492</t>
        </is>
      </c>
      <c r="B494" s="17" t="n">
        <v>6208556</v>
      </c>
      <c r="C494" s="18" t="n">
        <v>22</v>
      </c>
      <c r="D494" s="18" t="n">
        <v>631</v>
      </c>
      <c r="E494" s="18" t="n">
        <v>5</v>
      </c>
      <c r="F494" s="10">
        <f>IF($B494&gt;=Analysis!$P$1,IF($E494&lt;=Analysis!$P$2,"VIP","At risk"),IF($E494&lt;=Analysis!$P$2,"Loyal","Dormant"))</f>
        <v/>
      </c>
    </row>
    <row r="495">
      <c r="A495" s="10" t="inlineStr">
        <is>
          <t>C3493</t>
        </is>
      </c>
      <c r="B495" s="17" t="n">
        <v>7970493</v>
      </c>
      <c r="C495" s="18" t="n">
        <v>27</v>
      </c>
      <c r="D495" s="18" t="n">
        <v>782</v>
      </c>
      <c r="E495" s="18" t="n">
        <v>26</v>
      </c>
      <c r="F495" s="10">
        <f>IF($B495&gt;=Analysis!$P$1,IF($E495&lt;=Analysis!$P$2,"VIP","At risk"),IF($E495&lt;=Analysis!$P$2,"Loyal","Dormant"))</f>
        <v/>
      </c>
    </row>
    <row r="496">
      <c r="A496" s="10" t="inlineStr">
        <is>
          <t>C3494</t>
        </is>
      </c>
      <c r="B496" s="17" t="n">
        <v>1298509</v>
      </c>
      <c r="C496" s="18" t="n">
        <v>5</v>
      </c>
      <c r="D496" s="18" t="n">
        <v>26</v>
      </c>
      <c r="E496" s="18" t="n">
        <v>43</v>
      </c>
      <c r="F496" s="10">
        <f>IF($B496&gt;=Analysis!$P$1,IF($E496&lt;=Analysis!$P$2,"VIP","At risk"),IF($E496&lt;=Analysis!$P$2,"Loyal","Dormant"))</f>
        <v/>
      </c>
    </row>
    <row r="497">
      <c r="A497" s="10" t="inlineStr">
        <is>
          <t>C3495</t>
        </is>
      </c>
      <c r="B497" s="17" t="n">
        <v>474857</v>
      </c>
      <c r="C497" s="18" t="n">
        <v>4</v>
      </c>
      <c r="D497" s="18" t="n">
        <v>43</v>
      </c>
      <c r="E497" s="18" t="n">
        <v>11</v>
      </c>
      <c r="F497" s="10">
        <f>IF($B497&gt;=Analysis!$P$1,IF($E497&lt;=Analysis!$P$2,"VIP","At risk"),IF($E497&lt;=Analysis!$P$2,"Loyal","Dormant"))</f>
        <v/>
      </c>
    </row>
    <row r="498">
      <c r="A498" s="10" t="inlineStr">
        <is>
          <t>C3496</t>
        </is>
      </c>
      <c r="B498" s="17" t="n">
        <v>3157103</v>
      </c>
      <c r="C498" s="18" t="n">
        <v>13</v>
      </c>
      <c r="D498" s="18" t="n">
        <v>372</v>
      </c>
      <c r="E498" s="18" t="n">
        <v>9</v>
      </c>
      <c r="F498" s="10">
        <f>IF($B498&gt;=Analysis!$P$1,IF($E498&lt;=Analysis!$P$2,"VIP","At risk"),IF($E498&lt;=Analysis!$P$2,"Loyal","Dormant"))</f>
        <v/>
      </c>
    </row>
    <row r="499">
      <c r="A499" s="10" t="inlineStr">
        <is>
          <t>C3497</t>
        </is>
      </c>
      <c r="B499" s="17" t="n">
        <v>663547</v>
      </c>
      <c r="C499" s="18" t="n">
        <v>1</v>
      </c>
      <c r="D499" s="18" t="n">
        <v>12</v>
      </c>
      <c r="E499" s="18" t="n">
        <v>26</v>
      </c>
      <c r="F499" s="10">
        <f>IF($B499&gt;=Analysis!$P$1,IF($E499&lt;=Analysis!$P$2,"VIP","At risk"),IF($E499&lt;=Analysis!$P$2,"Loyal","Dormant"))</f>
        <v/>
      </c>
    </row>
    <row r="500">
      <c r="A500" s="10" t="inlineStr">
        <is>
          <t>C3498</t>
        </is>
      </c>
      <c r="B500" s="17" t="n">
        <v>1288129</v>
      </c>
      <c r="C500" s="18" t="n">
        <v>1</v>
      </c>
      <c r="D500" s="18" t="n">
        <v>63</v>
      </c>
      <c r="E500" s="18" t="n">
        <v>1</v>
      </c>
      <c r="F500" s="10">
        <f>IF($B500&gt;=Analysis!$P$1,IF($E500&lt;=Analysis!$P$2,"VIP","At risk"),IF($E500&lt;=Analysis!$P$2,"Loyal","Dormant"))</f>
        <v/>
      </c>
    </row>
    <row r="501">
      <c r="A501" s="10" t="inlineStr">
        <is>
          <t>C3499</t>
        </is>
      </c>
      <c r="B501" s="17" t="n">
        <v>826906</v>
      </c>
      <c r="C501" s="18" t="n">
        <v>5</v>
      </c>
      <c r="D501" s="18" t="n">
        <v>383</v>
      </c>
      <c r="E501" s="18" t="n">
        <v>84</v>
      </c>
      <c r="F501" s="10">
        <f>IF($B501&gt;=Analysis!$P$1,IF($E501&lt;=Analysis!$P$2,"VIP","At risk"),IF($E501&lt;=Analysis!$P$2,"Loyal","Dormant"))</f>
        <v/>
      </c>
    </row>
    <row r="502">
      <c r="A502" s="10" t="inlineStr">
        <is>
          <t>C3500</t>
        </is>
      </c>
      <c r="B502" s="17" t="n">
        <v>742450</v>
      </c>
      <c r="C502" s="18" t="n">
        <v>2</v>
      </c>
      <c r="D502" s="18" t="n">
        <v>353</v>
      </c>
      <c r="E502" s="18" t="n">
        <v>70</v>
      </c>
      <c r="F502" s="10">
        <f>IF($B502&gt;=Analysis!$P$1,IF($E502&lt;=Analysis!$P$2,"VIP","At risk"),IF($E502&lt;=Analysis!$P$2,"Loyal","Dormant"))</f>
        <v/>
      </c>
    </row>
    <row r="503">
      <c r="A503" s="10" t="inlineStr">
        <is>
          <t>C3501</t>
        </is>
      </c>
      <c r="B503" s="17" t="n">
        <v>2586702</v>
      </c>
      <c r="C503" s="18" t="n">
        <v>15</v>
      </c>
      <c r="D503" s="18" t="n">
        <v>379</v>
      </c>
      <c r="E503" s="18" t="n">
        <v>35</v>
      </c>
      <c r="F503" s="10">
        <f>IF($B503&gt;=Analysis!$P$1,IF($E503&lt;=Analysis!$P$2,"VIP","At risk"),IF($E503&lt;=Analysis!$P$2,"Loyal","Dormant"))</f>
        <v/>
      </c>
    </row>
    <row r="504">
      <c r="A504" s="10" t="inlineStr">
        <is>
          <t>C3502</t>
        </is>
      </c>
      <c r="B504" s="17" t="n">
        <v>1196167</v>
      </c>
      <c r="C504" s="18" t="n">
        <v>2</v>
      </c>
      <c r="D504" s="18" t="n">
        <v>300</v>
      </c>
      <c r="E504" s="18" t="n">
        <v>53</v>
      </c>
      <c r="F504" s="10">
        <f>IF($B504&gt;=Analysis!$P$1,IF($E504&lt;=Analysis!$P$2,"VIP","At risk"),IF($E504&lt;=Analysis!$P$2,"Loyal","Dormant"))</f>
        <v/>
      </c>
    </row>
    <row r="505">
      <c r="A505" s="10" t="inlineStr">
        <is>
          <t>C3503</t>
        </is>
      </c>
      <c r="B505" s="17" t="n">
        <v>1937593</v>
      </c>
      <c r="C505" s="18" t="n">
        <v>12</v>
      </c>
      <c r="D505" s="18" t="n">
        <v>350</v>
      </c>
      <c r="E505" s="18" t="n">
        <v>34</v>
      </c>
      <c r="F505" s="10">
        <f>IF($B505&gt;=Analysis!$P$1,IF($E505&lt;=Analysis!$P$2,"VIP","At risk"),IF($E505&lt;=Analysis!$P$2,"Loyal","Dormant"))</f>
        <v/>
      </c>
    </row>
    <row r="506">
      <c r="A506" s="10" t="inlineStr">
        <is>
          <t>C3504</t>
        </is>
      </c>
      <c r="B506" s="17" t="n">
        <v>1213294</v>
      </c>
      <c r="C506" s="18" t="n">
        <v>3</v>
      </c>
      <c r="D506" s="18" t="n">
        <v>296</v>
      </c>
      <c r="E506" s="18" t="n">
        <v>32</v>
      </c>
      <c r="F506" s="10">
        <f>IF($B506&gt;=Analysis!$P$1,IF($E506&lt;=Analysis!$P$2,"VIP","At risk"),IF($E506&lt;=Analysis!$P$2,"Loyal","Dormant"))</f>
        <v/>
      </c>
    </row>
    <row r="507">
      <c r="A507" s="10" t="inlineStr">
        <is>
          <t>C3505</t>
        </is>
      </c>
      <c r="B507" s="17" t="n">
        <v>4287519</v>
      </c>
      <c r="C507" s="18" t="n">
        <v>25</v>
      </c>
      <c r="D507" s="18" t="n">
        <v>264</v>
      </c>
      <c r="E507" s="18" t="n">
        <v>34</v>
      </c>
      <c r="F507" s="10">
        <f>IF($B507&gt;=Analysis!$P$1,IF($E507&lt;=Analysis!$P$2,"VIP","At risk"),IF($E507&lt;=Analysis!$P$2,"Loyal","Dormant"))</f>
        <v/>
      </c>
    </row>
    <row r="508">
      <c r="A508" s="10" t="inlineStr">
        <is>
          <t>C3506</t>
        </is>
      </c>
      <c r="B508" s="17" t="n">
        <v>11637924</v>
      </c>
      <c r="C508" s="18" t="n">
        <v>23</v>
      </c>
      <c r="D508" s="18" t="n">
        <v>618</v>
      </c>
      <c r="E508" s="18" t="n">
        <v>1</v>
      </c>
      <c r="F508" s="10">
        <f>IF($B508&gt;=Analysis!$P$1,IF($E508&lt;=Analysis!$P$2,"VIP","At risk"),IF($E508&lt;=Analysis!$P$2,"Loyal","Dormant"))</f>
        <v/>
      </c>
    </row>
    <row r="509">
      <c r="A509" s="10" t="inlineStr">
        <is>
          <t>C3507</t>
        </is>
      </c>
      <c r="B509" s="17" t="n">
        <v>658576</v>
      </c>
      <c r="C509" s="18" t="n">
        <v>3</v>
      </c>
      <c r="D509" s="18" t="n">
        <v>177</v>
      </c>
      <c r="E509" s="18" t="n">
        <v>39</v>
      </c>
      <c r="F509" s="10">
        <f>IF($B509&gt;=Analysis!$P$1,IF($E509&lt;=Analysis!$P$2,"VIP","At risk"),IF($E509&lt;=Analysis!$P$2,"Loyal","Dormant"))</f>
        <v/>
      </c>
    </row>
    <row r="510">
      <c r="A510" s="10" t="inlineStr">
        <is>
          <t>C3508</t>
        </is>
      </c>
      <c r="B510" s="17" t="n">
        <v>1195016</v>
      </c>
      <c r="C510" s="18" t="n">
        <v>2</v>
      </c>
      <c r="D510" s="18" t="n">
        <v>41</v>
      </c>
      <c r="E510" s="18" t="n">
        <v>21</v>
      </c>
      <c r="F510" s="10">
        <f>IF($B510&gt;=Analysis!$P$1,IF($E510&lt;=Analysis!$P$2,"VIP","At risk"),IF($E510&lt;=Analysis!$P$2,"Loyal","Dormant"))</f>
        <v/>
      </c>
    </row>
    <row r="511">
      <c r="A511" s="10" t="inlineStr">
        <is>
          <t>C3509</t>
        </is>
      </c>
      <c r="B511" s="17" t="n">
        <v>302792</v>
      </c>
      <c r="C511" s="18" t="n">
        <v>2</v>
      </c>
      <c r="D511" s="18" t="n">
        <v>487</v>
      </c>
      <c r="E511" s="18" t="n">
        <v>1</v>
      </c>
      <c r="F511" s="10">
        <f>IF($B511&gt;=Analysis!$P$1,IF($E511&lt;=Analysis!$P$2,"VIP","At risk"),IF($E511&lt;=Analysis!$P$2,"Loyal","Dormant"))</f>
        <v/>
      </c>
    </row>
    <row r="512">
      <c r="A512" s="10" t="inlineStr">
        <is>
          <t>C3510</t>
        </is>
      </c>
      <c r="B512" s="17" t="n">
        <v>3085616</v>
      </c>
      <c r="C512" s="18" t="n">
        <v>18</v>
      </c>
      <c r="D512" s="18" t="n">
        <v>143</v>
      </c>
      <c r="E512" s="18" t="n">
        <v>27</v>
      </c>
      <c r="F512" s="10">
        <f>IF($B512&gt;=Analysis!$P$1,IF($E512&lt;=Analysis!$P$2,"VIP","At risk"),IF($E512&lt;=Analysis!$P$2,"Loyal","Dormant"))</f>
        <v/>
      </c>
    </row>
    <row r="513">
      <c r="A513" s="10" t="inlineStr">
        <is>
          <t>C3511</t>
        </is>
      </c>
      <c r="B513" s="17" t="n">
        <v>1512523</v>
      </c>
      <c r="C513" s="18" t="n">
        <v>7</v>
      </c>
      <c r="D513" s="18" t="n">
        <v>226</v>
      </c>
      <c r="E513" s="18" t="n">
        <v>53</v>
      </c>
      <c r="F513" s="10">
        <f>IF($B513&gt;=Analysis!$P$1,IF($E513&lt;=Analysis!$P$2,"VIP","At risk"),IF($E513&lt;=Analysis!$P$2,"Loyal","Dormant"))</f>
        <v/>
      </c>
    </row>
    <row r="514">
      <c r="A514" s="10" t="inlineStr">
        <is>
          <t>C3512</t>
        </is>
      </c>
      <c r="B514" s="17" t="n">
        <v>4282479</v>
      </c>
      <c r="C514" s="18" t="n">
        <v>11</v>
      </c>
      <c r="D514" s="18" t="n">
        <v>584</v>
      </c>
      <c r="E514" s="18" t="n">
        <v>24</v>
      </c>
      <c r="F514" s="10">
        <f>IF($B514&gt;=Analysis!$P$1,IF($E514&lt;=Analysis!$P$2,"VIP","At risk"),IF($E514&lt;=Analysis!$P$2,"Loyal","Dormant"))</f>
        <v/>
      </c>
    </row>
    <row r="515">
      <c r="A515" s="10" t="inlineStr">
        <is>
          <t>C3513</t>
        </is>
      </c>
      <c r="B515" s="17" t="n">
        <v>820603</v>
      </c>
      <c r="C515" s="18" t="n">
        <v>4</v>
      </c>
      <c r="D515" s="18" t="n">
        <v>303</v>
      </c>
      <c r="E515" s="18" t="n">
        <v>71</v>
      </c>
      <c r="F515" s="10">
        <f>IF($B515&gt;=Analysis!$P$1,IF($E515&lt;=Analysis!$P$2,"VIP","At risk"),IF($E515&lt;=Analysis!$P$2,"Loyal","Dormant"))</f>
        <v/>
      </c>
    </row>
    <row r="516">
      <c r="A516" s="10" t="inlineStr">
        <is>
          <t>C3514</t>
        </is>
      </c>
      <c r="B516" s="17" t="n">
        <v>109900</v>
      </c>
      <c r="C516" s="18" t="n">
        <v>4</v>
      </c>
      <c r="D516" s="18" t="n">
        <v>200</v>
      </c>
      <c r="E516" s="18" t="n">
        <v>71</v>
      </c>
      <c r="F516" s="10">
        <f>IF($B516&gt;=Analysis!$P$1,IF($E516&lt;=Analysis!$P$2,"VIP","At risk"),IF($E516&lt;=Analysis!$P$2,"Loyal","Dormant"))</f>
        <v/>
      </c>
    </row>
    <row r="517">
      <c r="A517" s="10" t="inlineStr">
        <is>
          <t>C3515</t>
        </is>
      </c>
      <c r="B517" s="17" t="n">
        <v>347905</v>
      </c>
      <c r="C517" s="18" t="n">
        <v>3</v>
      </c>
      <c r="D517" s="18" t="n">
        <v>42</v>
      </c>
      <c r="E517" s="18" t="n">
        <v>1</v>
      </c>
      <c r="F517" s="10">
        <f>IF($B517&gt;=Analysis!$P$1,IF($E517&lt;=Analysis!$P$2,"VIP","At risk"),IF($E517&lt;=Analysis!$P$2,"Loyal","Dormant"))</f>
        <v/>
      </c>
    </row>
    <row r="518">
      <c r="A518" s="10" t="inlineStr">
        <is>
          <t>C3516</t>
        </is>
      </c>
      <c r="B518" s="17" t="n">
        <v>3478788</v>
      </c>
      <c r="C518" s="18" t="n">
        <v>10</v>
      </c>
      <c r="D518" s="18" t="n">
        <v>328</v>
      </c>
      <c r="E518" s="18" t="n">
        <v>15</v>
      </c>
      <c r="F518" s="10">
        <f>IF($B518&gt;=Analysis!$P$1,IF($E518&lt;=Analysis!$P$2,"VIP","At risk"),IF($E518&lt;=Analysis!$P$2,"Loyal","Dormant"))</f>
        <v/>
      </c>
    </row>
    <row r="519">
      <c r="A519" s="10" t="inlineStr">
        <is>
          <t>C3517</t>
        </is>
      </c>
      <c r="B519" s="17" t="n">
        <v>1473587</v>
      </c>
      <c r="C519" s="18" t="n">
        <v>3</v>
      </c>
      <c r="D519" s="18" t="n">
        <v>408</v>
      </c>
      <c r="E519" s="18" t="n">
        <v>129</v>
      </c>
      <c r="F519" s="10">
        <f>IF($B519&gt;=Analysis!$P$1,IF($E519&lt;=Analysis!$P$2,"VIP","At risk"),IF($E519&lt;=Analysis!$P$2,"Loyal","Dormant"))</f>
        <v/>
      </c>
    </row>
    <row r="520">
      <c r="A520" s="10" t="inlineStr">
        <is>
          <t>C3518</t>
        </is>
      </c>
      <c r="B520" s="17" t="n">
        <v>841881</v>
      </c>
      <c r="C520" s="18" t="n">
        <v>2</v>
      </c>
      <c r="D520" s="18" t="n">
        <v>325</v>
      </c>
      <c r="E520" s="18" t="n">
        <v>105</v>
      </c>
      <c r="F520" s="10">
        <f>IF($B520&gt;=Analysis!$P$1,IF($E520&lt;=Analysis!$P$2,"VIP","At risk"),IF($E520&lt;=Analysis!$P$2,"Loyal","Dormant"))</f>
        <v/>
      </c>
    </row>
    <row r="521">
      <c r="A521" s="10" t="inlineStr">
        <is>
          <t>C3519</t>
        </is>
      </c>
      <c r="B521" s="17" t="n">
        <v>726582</v>
      </c>
      <c r="C521" s="18" t="n">
        <v>5</v>
      </c>
      <c r="D521" s="18" t="n">
        <v>230</v>
      </c>
      <c r="E521" s="18" t="n">
        <v>55</v>
      </c>
      <c r="F521" s="10">
        <f>IF($B521&gt;=Analysis!$P$1,IF($E521&lt;=Analysis!$P$2,"VIP","At risk"),IF($E521&lt;=Analysis!$P$2,"Loyal","Dormant"))</f>
        <v/>
      </c>
    </row>
    <row r="522">
      <c r="A522" s="10" t="inlineStr">
        <is>
          <t>C3520</t>
        </is>
      </c>
      <c r="B522" s="17" t="n">
        <v>235936</v>
      </c>
      <c r="C522" s="18" t="n">
        <v>4</v>
      </c>
      <c r="D522" s="18" t="n">
        <v>51</v>
      </c>
      <c r="E522" s="18" t="n">
        <v>29</v>
      </c>
      <c r="F522" s="10">
        <f>IF($B522&gt;=Analysis!$P$1,IF($E522&lt;=Analysis!$P$2,"VIP","At risk"),IF($E522&lt;=Analysis!$P$2,"Loyal","Dormant"))</f>
        <v/>
      </c>
    </row>
    <row r="523">
      <c r="A523" s="10" t="inlineStr">
        <is>
          <t>C3521</t>
        </is>
      </c>
      <c r="B523" s="17" t="n">
        <v>4876621</v>
      </c>
      <c r="C523" s="18" t="n">
        <v>13</v>
      </c>
      <c r="D523" s="18" t="n">
        <v>543</v>
      </c>
      <c r="E523" s="18" t="n">
        <v>25</v>
      </c>
      <c r="F523" s="10">
        <f>IF($B523&gt;=Analysis!$P$1,IF($E523&lt;=Analysis!$P$2,"VIP","At risk"),IF($E523&lt;=Analysis!$P$2,"Loyal","Dormant"))</f>
        <v/>
      </c>
    </row>
    <row r="524">
      <c r="A524" s="10" t="inlineStr">
        <is>
          <t>C3522</t>
        </is>
      </c>
      <c r="B524" s="17" t="n">
        <v>10868415</v>
      </c>
      <c r="C524" s="18" t="n">
        <v>21</v>
      </c>
      <c r="D524" s="18" t="n">
        <v>690</v>
      </c>
      <c r="E524" s="18" t="n">
        <v>3</v>
      </c>
      <c r="F524" s="10">
        <f>IF($B524&gt;=Analysis!$P$1,IF($E524&lt;=Analysis!$P$2,"VIP","At risk"),IF($E524&lt;=Analysis!$P$2,"Loyal","Dormant"))</f>
        <v/>
      </c>
    </row>
    <row r="525">
      <c r="A525" s="10" t="inlineStr">
        <is>
          <t>C3523</t>
        </is>
      </c>
      <c r="B525" s="17" t="n">
        <v>1206233</v>
      </c>
      <c r="C525" s="18" t="n">
        <v>3</v>
      </c>
      <c r="D525" s="18" t="n">
        <v>529</v>
      </c>
      <c r="E525" s="18" t="n">
        <v>86</v>
      </c>
      <c r="F525" s="10">
        <f>IF($B525&gt;=Analysis!$P$1,IF($E525&lt;=Analysis!$P$2,"VIP","At risk"),IF($E525&lt;=Analysis!$P$2,"Loyal","Dormant"))</f>
        <v/>
      </c>
    </row>
    <row r="526">
      <c r="A526" s="10" t="inlineStr">
        <is>
          <t>C3524</t>
        </is>
      </c>
      <c r="B526" s="17" t="n">
        <v>2765772</v>
      </c>
      <c r="C526" s="18" t="n">
        <v>17</v>
      </c>
      <c r="D526" s="18" t="n">
        <v>321</v>
      </c>
      <c r="E526" s="18" t="n">
        <v>39</v>
      </c>
      <c r="F526" s="10">
        <f>IF($B526&gt;=Analysis!$P$1,IF($E526&lt;=Analysis!$P$2,"VIP","At risk"),IF($E526&lt;=Analysis!$P$2,"Loyal","Dormant"))</f>
        <v/>
      </c>
    </row>
    <row r="527">
      <c r="A527" s="10" t="inlineStr">
        <is>
          <t>C3525</t>
        </is>
      </c>
      <c r="B527" s="17" t="n">
        <v>2042539</v>
      </c>
      <c r="C527" s="18" t="n">
        <v>1</v>
      </c>
      <c r="D527" s="18" t="n">
        <v>30</v>
      </c>
      <c r="E527" s="18" t="n">
        <v>16</v>
      </c>
      <c r="F527" s="10">
        <f>IF($B527&gt;=Analysis!$P$1,IF($E527&lt;=Analysis!$P$2,"VIP","At risk"),IF($E527&lt;=Analysis!$P$2,"Loyal","Dormant"))</f>
        <v/>
      </c>
    </row>
    <row r="528">
      <c r="A528" s="10" t="inlineStr">
        <is>
          <t>C3526</t>
        </is>
      </c>
      <c r="B528" s="17" t="n">
        <v>4324799</v>
      </c>
      <c r="C528" s="18" t="n">
        <v>17</v>
      </c>
      <c r="D528" s="18" t="n">
        <v>375</v>
      </c>
      <c r="E528" s="18" t="n">
        <v>4</v>
      </c>
      <c r="F528" s="10">
        <f>IF($B528&gt;=Analysis!$P$1,IF($E528&lt;=Analysis!$P$2,"VIP","At risk"),IF($E528&lt;=Analysis!$P$2,"Loyal","Dormant"))</f>
        <v/>
      </c>
    </row>
    <row r="529">
      <c r="A529" s="10" t="inlineStr">
        <is>
          <t>C3527</t>
        </is>
      </c>
      <c r="B529" s="17" t="n">
        <v>7993459</v>
      </c>
      <c r="C529" s="18" t="n">
        <v>32</v>
      </c>
      <c r="D529" s="18" t="n">
        <v>653</v>
      </c>
      <c r="E529" s="18" t="n">
        <v>26</v>
      </c>
      <c r="F529" s="10">
        <f>IF($B529&gt;=Analysis!$P$1,IF($E529&lt;=Analysis!$P$2,"VIP","At risk"),IF($E529&lt;=Analysis!$P$2,"Loyal","Dormant"))</f>
        <v/>
      </c>
    </row>
    <row r="530">
      <c r="A530" s="10" t="inlineStr">
        <is>
          <t>C3528</t>
        </is>
      </c>
      <c r="B530" s="17" t="n">
        <v>3710317</v>
      </c>
      <c r="C530" s="18" t="n">
        <v>12</v>
      </c>
      <c r="D530" s="18" t="n">
        <v>538</v>
      </c>
      <c r="E530" s="18" t="n">
        <v>15</v>
      </c>
      <c r="F530" s="10">
        <f>IF($B530&gt;=Analysis!$P$1,IF($E530&lt;=Analysis!$P$2,"VIP","At risk"),IF($E530&lt;=Analysis!$P$2,"Loyal","Dormant"))</f>
        <v/>
      </c>
    </row>
    <row r="531">
      <c r="A531" s="10" t="inlineStr">
        <is>
          <t>C3529</t>
        </is>
      </c>
      <c r="B531" s="17" t="n">
        <v>1241419</v>
      </c>
      <c r="C531" s="18" t="n">
        <v>5</v>
      </c>
      <c r="D531" s="18" t="n">
        <v>114</v>
      </c>
      <c r="E531" s="18" t="n">
        <v>4</v>
      </c>
      <c r="F531" s="10">
        <f>IF($B531&gt;=Analysis!$P$1,IF($E531&lt;=Analysis!$P$2,"VIP","At risk"),IF($E531&lt;=Analysis!$P$2,"Loyal","Dormant"))</f>
        <v/>
      </c>
    </row>
    <row r="532">
      <c r="A532" s="10" t="inlineStr">
        <is>
          <t>C3530</t>
        </is>
      </c>
      <c r="B532" s="17" t="n">
        <v>4093578</v>
      </c>
      <c r="C532" s="18" t="n">
        <v>13</v>
      </c>
      <c r="D532" s="18" t="n">
        <v>388</v>
      </c>
      <c r="E532" s="18" t="n">
        <v>15</v>
      </c>
      <c r="F532" s="10">
        <f>IF($B532&gt;=Analysis!$P$1,IF($E532&lt;=Analysis!$P$2,"VIP","At risk"),IF($E532&lt;=Analysis!$P$2,"Loyal","Dormant"))</f>
        <v/>
      </c>
    </row>
    <row r="533">
      <c r="A533" s="10" t="inlineStr">
        <is>
          <t>C3531</t>
        </is>
      </c>
      <c r="B533" s="17" t="n">
        <v>3272961</v>
      </c>
      <c r="C533" s="18" t="n">
        <v>14</v>
      </c>
      <c r="D533" s="18" t="n">
        <v>457</v>
      </c>
      <c r="E533" s="18" t="n">
        <v>16</v>
      </c>
      <c r="F533" s="10">
        <f>IF($B533&gt;=Analysis!$P$1,IF($E533&lt;=Analysis!$P$2,"VIP","At risk"),IF($E533&lt;=Analysis!$P$2,"Loyal","Dormant"))</f>
        <v/>
      </c>
    </row>
    <row r="534">
      <c r="A534" s="10" t="inlineStr">
        <is>
          <t>C3532</t>
        </is>
      </c>
      <c r="B534" s="17" t="n">
        <v>2625718</v>
      </c>
      <c r="C534" s="18" t="n">
        <v>19</v>
      </c>
      <c r="D534" s="18" t="n">
        <v>551</v>
      </c>
      <c r="E534" s="18" t="n">
        <v>17</v>
      </c>
      <c r="F534" s="10">
        <f>IF($B534&gt;=Analysis!$P$1,IF($E534&lt;=Analysis!$P$2,"VIP","At risk"),IF($E534&lt;=Analysis!$P$2,"Loyal","Dormant"))</f>
        <v/>
      </c>
    </row>
    <row r="535">
      <c r="A535" s="10" t="inlineStr">
        <is>
          <t>C3533</t>
        </is>
      </c>
      <c r="B535" s="17" t="n">
        <v>426999</v>
      </c>
      <c r="C535" s="18" t="n">
        <v>5</v>
      </c>
      <c r="D535" s="18" t="n">
        <v>181</v>
      </c>
      <c r="E535" s="18" t="n">
        <v>114</v>
      </c>
      <c r="F535" s="10">
        <f>IF($B535&gt;=Analysis!$P$1,IF($E535&lt;=Analysis!$P$2,"VIP","At risk"),IF($E535&lt;=Analysis!$P$2,"Loyal","Dormant"))</f>
        <v/>
      </c>
    </row>
    <row r="536">
      <c r="A536" s="10" t="inlineStr">
        <is>
          <t>C3534</t>
        </is>
      </c>
      <c r="B536" s="17" t="n">
        <v>641120</v>
      </c>
      <c r="C536" s="18" t="n">
        <v>2</v>
      </c>
      <c r="D536" s="18" t="n">
        <v>201</v>
      </c>
      <c r="E536" s="18" t="n">
        <v>39</v>
      </c>
      <c r="F536" s="10">
        <f>IF($B536&gt;=Analysis!$P$1,IF($E536&lt;=Analysis!$P$2,"VIP","At risk"),IF($E536&lt;=Analysis!$P$2,"Loyal","Dormant"))</f>
        <v/>
      </c>
    </row>
    <row r="537">
      <c r="A537" s="10" t="inlineStr">
        <is>
          <t>C3535</t>
        </is>
      </c>
      <c r="B537" s="17" t="n">
        <v>2793269</v>
      </c>
      <c r="C537" s="18" t="n">
        <v>13</v>
      </c>
      <c r="D537" s="18" t="n">
        <v>530</v>
      </c>
      <c r="E537" s="18" t="n">
        <v>21</v>
      </c>
      <c r="F537" s="10">
        <f>IF($B537&gt;=Analysis!$P$1,IF($E537&lt;=Analysis!$P$2,"VIP","At risk"),IF($E537&lt;=Analysis!$P$2,"Loyal","Dormant"))</f>
        <v/>
      </c>
    </row>
    <row r="538">
      <c r="A538" s="10" t="inlineStr">
        <is>
          <t>C3536</t>
        </is>
      </c>
      <c r="B538" s="17" t="n">
        <v>1032142</v>
      </c>
      <c r="C538" s="18" t="n">
        <v>1</v>
      </c>
      <c r="D538" s="18" t="n">
        <v>366</v>
      </c>
      <c r="E538" s="18" t="n">
        <v>54</v>
      </c>
      <c r="F538" s="10">
        <f>IF($B538&gt;=Analysis!$P$1,IF($E538&lt;=Analysis!$P$2,"VIP","At risk"),IF($E538&lt;=Analysis!$P$2,"Loyal","Dormant"))</f>
        <v/>
      </c>
    </row>
    <row r="539">
      <c r="A539" s="10" t="inlineStr">
        <is>
          <t>C3537</t>
        </is>
      </c>
      <c r="B539" s="17" t="n">
        <v>783360</v>
      </c>
      <c r="C539" s="18" t="n">
        <v>4</v>
      </c>
      <c r="D539" s="18" t="n">
        <v>64</v>
      </c>
      <c r="E539" s="18" t="n">
        <v>66</v>
      </c>
      <c r="F539" s="10">
        <f>IF($B539&gt;=Analysis!$P$1,IF($E539&lt;=Analysis!$P$2,"VIP","At risk"),IF($E539&lt;=Analysis!$P$2,"Loyal","Dormant"))</f>
        <v/>
      </c>
    </row>
    <row r="540">
      <c r="A540" s="10" t="inlineStr">
        <is>
          <t>C3538</t>
        </is>
      </c>
      <c r="B540" s="17" t="n">
        <v>635388</v>
      </c>
      <c r="C540" s="18" t="n">
        <v>6</v>
      </c>
      <c r="D540" s="18" t="n">
        <v>325</v>
      </c>
      <c r="E540" s="18" t="n">
        <v>136</v>
      </c>
      <c r="F540" s="10">
        <f>IF($B540&gt;=Analysis!$P$1,IF($E540&lt;=Analysis!$P$2,"VIP","At risk"),IF($E540&lt;=Analysis!$P$2,"Loyal","Dormant"))</f>
        <v/>
      </c>
    </row>
    <row r="541">
      <c r="A541" s="10" t="inlineStr">
        <is>
          <t>C3539</t>
        </is>
      </c>
      <c r="B541" s="17" t="n">
        <v>2961713</v>
      </c>
      <c r="C541" s="18" t="n">
        <v>11</v>
      </c>
      <c r="D541" s="18" t="n">
        <v>424</v>
      </c>
      <c r="E541" s="18" t="n">
        <v>30</v>
      </c>
      <c r="F541" s="10">
        <f>IF($B541&gt;=Analysis!$P$1,IF($E541&lt;=Analysis!$P$2,"VIP","At risk"),IF($E541&lt;=Analysis!$P$2,"Loyal","Dormant"))</f>
        <v/>
      </c>
    </row>
    <row r="542">
      <c r="A542" s="10" t="inlineStr">
        <is>
          <t>C3540</t>
        </is>
      </c>
      <c r="B542" s="17" t="n">
        <v>129400</v>
      </c>
      <c r="C542" s="18" t="n">
        <v>7</v>
      </c>
      <c r="D542" s="18" t="n">
        <v>199</v>
      </c>
      <c r="E542" s="18" t="n">
        <v>114</v>
      </c>
      <c r="F542" s="10">
        <f>IF($B542&gt;=Analysis!$P$1,IF($E542&lt;=Analysis!$P$2,"VIP","At risk"),IF($E542&lt;=Analysis!$P$2,"Loyal","Dormant"))</f>
        <v/>
      </c>
    </row>
    <row r="543">
      <c r="A543" s="10" t="inlineStr">
        <is>
          <t>C3541</t>
        </is>
      </c>
      <c r="B543" s="17" t="n">
        <v>3029053</v>
      </c>
      <c r="C543" s="18" t="n">
        <v>18</v>
      </c>
      <c r="D543" s="18" t="n">
        <v>368</v>
      </c>
      <c r="E543" s="18" t="n">
        <v>9</v>
      </c>
      <c r="F543" s="10">
        <f>IF($B543&gt;=Analysis!$P$1,IF($E543&lt;=Analysis!$P$2,"VIP","At risk"),IF($E543&lt;=Analysis!$P$2,"Loyal","Dormant"))</f>
        <v/>
      </c>
    </row>
    <row r="544">
      <c r="A544" s="10" t="inlineStr">
        <is>
          <t>C3542</t>
        </is>
      </c>
      <c r="B544" s="17" t="n">
        <v>1158317</v>
      </c>
      <c r="C544" s="18" t="n">
        <v>7</v>
      </c>
      <c r="D544" s="18" t="n">
        <v>340</v>
      </c>
      <c r="E544" s="18" t="n">
        <v>31</v>
      </c>
      <c r="F544" s="10">
        <f>IF($B544&gt;=Analysis!$P$1,IF($E544&lt;=Analysis!$P$2,"VIP","At risk"),IF($E544&lt;=Analysis!$P$2,"Loyal","Dormant"))</f>
        <v/>
      </c>
    </row>
    <row r="545">
      <c r="A545" s="10" t="inlineStr">
        <is>
          <t>C3543</t>
        </is>
      </c>
      <c r="B545" s="17" t="n">
        <v>3875664</v>
      </c>
      <c r="C545" s="18" t="n">
        <v>16</v>
      </c>
      <c r="D545" s="18" t="n">
        <v>462</v>
      </c>
      <c r="E545" s="18" t="n">
        <v>38</v>
      </c>
      <c r="F545" s="10">
        <f>IF($B545&gt;=Analysis!$P$1,IF($E545&lt;=Analysis!$P$2,"VIP","At risk"),IF($E545&lt;=Analysis!$P$2,"Loyal","Dormant"))</f>
        <v/>
      </c>
    </row>
    <row r="546">
      <c r="A546" s="10" t="inlineStr">
        <is>
          <t>C3544</t>
        </is>
      </c>
      <c r="B546" s="17" t="n">
        <v>879967</v>
      </c>
      <c r="C546" s="18" t="n">
        <v>2</v>
      </c>
      <c r="D546" s="18" t="n">
        <v>137</v>
      </c>
      <c r="E546" s="18" t="n">
        <v>1</v>
      </c>
      <c r="F546" s="10">
        <f>IF($B546&gt;=Analysis!$P$1,IF($E546&lt;=Analysis!$P$2,"VIP","At risk"),IF($E546&lt;=Analysis!$P$2,"Loyal","Dormant"))</f>
        <v/>
      </c>
    </row>
    <row r="547">
      <c r="A547" s="10" t="inlineStr">
        <is>
          <t>C3545</t>
        </is>
      </c>
      <c r="B547" s="17" t="n">
        <v>1284335</v>
      </c>
      <c r="C547" s="18" t="n">
        <v>4</v>
      </c>
      <c r="D547" s="18" t="n">
        <v>182</v>
      </c>
      <c r="E547" s="18" t="n">
        <v>59</v>
      </c>
      <c r="F547" s="10">
        <f>IF($B547&gt;=Analysis!$P$1,IF($E547&lt;=Analysis!$P$2,"VIP","At risk"),IF($E547&lt;=Analysis!$P$2,"Loyal","Dormant"))</f>
        <v/>
      </c>
    </row>
    <row r="548">
      <c r="A548" s="10" t="inlineStr">
        <is>
          <t>C3546</t>
        </is>
      </c>
      <c r="B548" s="17" t="n">
        <v>553494</v>
      </c>
      <c r="C548" s="18" t="n">
        <v>6</v>
      </c>
      <c r="D548" s="18" t="n">
        <v>195</v>
      </c>
      <c r="E548" s="18" t="n">
        <v>31</v>
      </c>
      <c r="F548" s="10">
        <f>IF($B548&gt;=Analysis!$P$1,IF($E548&lt;=Analysis!$P$2,"VIP","At risk"),IF($E548&lt;=Analysis!$P$2,"Loyal","Dormant"))</f>
        <v/>
      </c>
    </row>
    <row r="549">
      <c r="A549" s="10" t="inlineStr">
        <is>
          <t>C3547</t>
        </is>
      </c>
      <c r="B549" s="17" t="n">
        <v>733451</v>
      </c>
      <c r="C549" s="18" t="n">
        <v>6</v>
      </c>
      <c r="D549" s="18" t="n">
        <v>246</v>
      </c>
      <c r="E549" s="18" t="n">
        <v>80</v>
      </c>
      <c r="F549" s="10">
        <f>IF($B549&gt;=Analysis!$P$1,IF($E549&lt;=Analysis!$P$2,"VIP","At risk"),IF($E549&lt;=Analysis!$P$2,"Loyal","Dormant"))</f>
        <v/>
      </c>
    </row>
    <row r="550">
      <c r="A550" s="10" t="inlineStr">
        <is>
          <t>C3548</t>
        </is>
      </c>
      <c r="B550" s="17" t="n">
        <v>249841</v>
      </c>
      <c r="C550" s="18" t="n">
        <v>2</v>
      </c>
      <c r="D550" s="18" t="n">
        <v>40</v>
      </c>
      <c r="E550" s="18" t="n">
        <v>70</v>
      </c>
      <c r="F550" s="10">
        <f>IF($B550&gt;=Analysis!$P$1,IF($E550&lt;=Analysis!$P$2,"VIP","At risk"),IF($E550&lt;=Analysis!$P$2,"Loyal","Dormant"))</f>
        <v/>
      </c>
    </row>
    <row r="551">
      <c r="A551" s="10" t="inlineStr">
        <is>
          <t>C3549</t>
        </is>
      </c>
      <c r="B551" s="17" t="n">
        <v>1081217</v>
      </c>
      <c r="C551" s="18" t="n">
        <v>2</v>
      </c>
      <c r="D551" s="18" t="n">
        <v>200</v>
      </c>
      <c r="E551" s="18" t="n">
        <v>49</v>
      </c>
      <c r="F551" s="10">
        <f>IF($B551&gt;=Analysis!$P$1,IF($E551&lt;=Analysis!$P$2,"VIP","At risk"),IF($E551&lt;=Analysis!$P$2,"Loyal","Dormant"))</f>
        <v/>
      </c>
    </row>
    <row r="552">
      <c r="A552" s="10" t="inlineStr">
        <is>
          <t>C3550</t>
        </is>
      </c>
      <c r="B552" s="17" t="n">
        <v>846894</v>
      </c>
      <c r="C552" s="18" t="n">
        <v>4</v>
      </c>
      <c r="D552" s="18" t="n">
        <v>55</v>
      </c>
      <c r="E552" s="18" t="n">
        <v>87</v>
      </c>
      <c r="F552" s="10">
        <f>IF($B552&gt;=Analysis!$P$1,IF($E552&lt;=Analysis!$P$2,"VIP","At risk"),IF($E552&lt;=Analysis!$P$2,"Loyal","Dormant"))</f>
        <v/>
      </c>
    </row>
    <row r="553">
      <c r="A553" s="10" t="inlineStr">
        <is>
          <t>C3551</t>
        </is>
      </c>
      <c r="B553" s="17" t="n">
        <v>5626357</v>
      </c>
      <c r="C553" s="18" t="n">
        <v>24</v>
      </c>
      <c r="D553" s="18" t="n">
        <v>523</v>
      </c>
      <c r="E553" s="18" t="n">
        <v>16</v>
      </c>
      <c r="F553" s="10">
        <f>IF($B553&gt;=Analysis!$P$1,IF($E553&lt;=Analysis!$P$2,"VIP","At risk"),IF($E553&lt;=Analysis!$P$2,"Loyal","Dormant"))</f>
        <v/>
      </c>
    </row>
    <row r="554">
      <c r="A554" s="10" t="inlineStr">
        <is>
          <t>C3552</t>
        </is>
      </c>
      <c r="B554" s="17" t="n">
        <v>2526413</v>
      </c>
      <c r="C554" s="18" t="n">
        <v>12</v>
      </c>
      <c r="D554" s="18" t="n">
        <v>312</v>
      </c>
      <c r="E554" s="18" t="n">
        <v>35</v>
      </c>
      <c r="F554" s="10">
        <f>IF($B554&gt;=Analysis!$P$1,IF($E554&lt;=Analysis!$P$2,"VIP","At risk"),IF($E554&lt;=Analysis!$P$2,"Loyal","Dormant"))</f>
        <v/>
      </c>
    </row>
    <row r="555">
      <c r="A555" s="10" t="inlineStr">
        <is>
          <t>C3553</t>
        </is>
      </c>
      <c r="B555" s="17" t="n">
        <v>675065</v>
      </c>
      <c r="C555" s="18" t="n">
        <v>5</v>
      </c>
      <c r="D555" s="18" t="n">
        <v>324</v>
      </c>
      <c r="E555" s="18" t="n">
        <v>41</v>
      </c>
      <c r="F555" s="10">
        <f>IF($B555&gt;=Analysis!$P$1,IF($E555&lt;=Analysis!$P$2,"VIP","At risk"),IF($E555&lt;=Analysis!$P$2,"Loyal","Dormant"))</f>
        <v/>
      </c>
    </row>
    <row r="556">
      <c r="A556" s="10" t="inlineStr">
        <is>
          <t>C3554</t>
        </is>
      </c>
      <c r="B556" s="17" t="n">
        <v>1190721</v>
      </c>
      <c r="C556" s="18" t="n">
        <v>2</v>
      </c>
      <c r="D556" s="18" t="n">
        <v>346</v>
      </c>
      <c r="E556" s="18" t="n">
        <v>12</v>
      </c>
      <c r="F556" s="10">
        <f>IF($B556&gt;=Analysis!$P$1,IF($E556&lt;=Analysis!$P$2,"VIP","At risk"),IF($E556&lt;=Analysis!$P$2,"Loyal","Dormant"))</f>
        <v/>
      </c>
    </row>
    <row r="557">
      <c r="A557" s="10" t="inlineStr">
        <is>
          <t>C3555</t>
        </is>
      </c>
      <c r="B557" s="17" t="n">
        <v>3062524</v>
      </c>
      <c r="C557" s="18" t="n">
        <v>11</v>
      </c>
      <c r="D557" s="18" t="n">
        <v>418</v>
      </c>
      <c r="E557" s="18" t="n">
        <v>28</v>
      </c>
      <c r="F557" s="10">
        <f>IF($B557&gt;=Analysis!$P$1,IF($E557&lt;=Analysis!$P$2,"VIP","At risk"),IF($E557&lt;=Analysis!$P$2,"Loyal","Dormant"))</f>
        <v/>
      </c>
    </row>
    <row r="558">
      <c r="A558" s="10" t="inlineStr">
        <is>
          <t>C3556</t>
        </is>
      </c>
      <c r="B558" s="17" t="n">
        <v>84326</v>
      </c>
      <c r="C558" s="18" t="n">
        <v>5</v>
      </c>
      <c r="D558" s="18" t="n">
        <v>334</v>
      </c>
      <c r="E558" s="18" t="n">
        <v>85</v>
      </c>
      <c r="F558" s="10">
        <f>IF($B558&gt;=Analysis!$P$1,IF($E558&lt;=Analysis!$P$2,"VIP","At risk"),IF($E558&lt;=Analysis!$P$2,"Loyal","Dormant"))</f>
        <v/>
      </c>
    </row>
    <row r="559">
      <c r="A559" s="10" t="inlineStr">
        <is>
          <t>C3557</t>
        </is>
      </c>
      <c r="B559" s="17" t="n">
        <v>1082854</v>
      </c>
      <c r="C559" s="18" t="n">
        <v>4</v>
      </c>
      <c r="D559" s="18" t="n">
        <v>58</v>
      </c>
      <c r="E559" s="18" t="n">
        <v>36</v>
      </c>
      <c r="F559" s="10">
        <f>IF($B559&gt;=Analysis!$P$1,IF($E559&lt;=Analysis!$P$2,"VIP","At risk"),IF($E559&lt;=Analysis!$P$2,"Loyal","Dormant"))</f>
        <v/>
      </c>
    </row>
    <row r="560">
      <c r="A560" s="10" t="inlineStr">
        <is>
          <t>C3558</t>
        </is>
      </c>
      <c r="B560" s="17" t="n">
        <v>374487</v>
      </c>
      <c r="C560" s="18" t="n">
        <v>3</v>
      </c>
      <c r="D560" s="18" t="n">
        <v>5</v>
      </c>
      <c r="E560" s="18" t="n">
        <v>67</v>
      </c>
      <c r="F560" s="10">
        <f>IF($B560&gt;=Analysis!$P$1,IF($E560&lt;=Analysis!$P$2,"VIP","At risk"),IF($E560&lt;=Analysis!$P$2,"Loyal","Dormant"))</f>
        <v/>
      </c>
    </row>
    <row r="561">
      <c r="A561" s="10" t="inlineStr">
        <is>
          <t>C3559</t>
        </is>
      </c>
      <c r="B561" s="17" t="n">
        <v>540943</v>
      </c>
      <c r="C561" s="18" t="n">
        <v>5</v>
      </c>
      <c r="D561" s="18" t="n">
        <v>341</v>
      </c>
      <c r="E561" s="18" t="n">
        <v>73</v>
      </c>
      <c r="F561" s="10">
        <f>IF($B561&gt;=Analysis!$P$1,IF($E561&lt;=Analysis!$P$2,"VIP","At risk"),IF($E561&lt;=Analysis!$P$2,"Loyal","Dormant"))</f>
        <v/>
      </c>
    </row>
    <row r="562">
      <c r="A562" s="10" t="inlineStr">
        <is>
          <t>C3560</t>
        </is>
      </c>
      <c r="B562" s="17" t="n">
        <v>1948952</v>
      </c>
      <c r="C562" s="18" t="n">
        <v>1</v>
      </c>
      <c r="D562" s="18" t="n">
        <v>97</v>
      </c>
      <c r="E562" s="18" t="n">
        <v>16</v>
      </c>
      <c r="F562" s="10">
        <f>IF($B562&gt;=Analysis!$P$1,IF($E562&lt;=Analysis!$P$2,"VIP","At risk"),IF($E562&lt;=Analysis!$P$2,"Loyal","Dormant"))</f>
        <v/>
      </c>
    </row>
    <row r="563">
      <c r="A563" s="10" t="inlineStr">
        <is>
          <t>C3561</t>
        </is>
      </c>
      <c r="B563" s="17" t="n">
        <v>250132</v>
      </c>
      <c r="C563" s="18" t="n">
        <v>1</v>
      </c>
      <c r="D563" s="18" t="n">
        <v>291</v>
      </c>
      <c r="E563" s="18" t="n">
        <v>15</v>
      </c>
      <c r="F563" s="10">
        <f>IF($B563&gt;=Analysis!$P$1,IF($E563&lt;=Analysis!$P$2,"VIP","At risk"),IF($E563&lt;=Analysis!$P$2,"Loyal","Dormant"))</f>
        <v/>
      </c>
    </row>
    <row r="564">
      <c r="A564" s="10" t="inlineStr">
        <is>
          <t>C3562</t>
        </is>
      </c>
      <c r="B564" s="17" t="n">
        <v>773594</v>
      </c>
      <c r="C564" s="18" t="n">
        <v>1</v>
      </c>
      <c r="D564" s="18" t="n">
        <v>5</v>
      </c>
      <c r="E564" s="18" t="n">
        <v>2</v>
      </c>
      <c r="F564" s="10">
        <f>IF($B564&gt;=Analysis!$P$1,IF($E564&lt;=Analysis!$P$2,"VIP","At risk"),IF($E564&lt;=Analysis!$P$2,"Loyal","Dormant"))</f>
        <v/>
      </c>
    </row>
    <row r="565">
      <c r="A565" s="10" t="inlineStr">
        <is>
          <t>C3563</t>
        </is>
      </c>
      <c r="B565" s="17" t="n">
        <v>4544672</v>
      </c>
      <c r="C565" s="18" t="n">
        <v>18</v>
      </c>
      <c r="D565" s="18" t="n">
        <v>261</v>
      </c>
      <c r="E565" s="18" t="n">
        <v>24</v>
      </c>
      <c r="F565" s="10">
        <f>IF($B565&gt;=Analysis!$P$1,IF($E565&lt;=Analysis!$P$2,"VIP","At risk"),IF($E565&lt;=Analysis!$P$2,"Loyal","Dormant"))</f>
        <v/>
      </c>
    </row>
    <row r="566">
      <c r="A566" s="10" t="inlineStr">
        <is>
          <t>C3564</t>
        </is>
      </c>
      <c r="B566" s="17" t="n">
        <v>805139</v>
      </c>
      <c r="C566" s="18" t="n">
        <v>1</v>
      </c>
      <c r="D566" s="18" t="n">
        <v>223</v>
      </c>
      <c r="E566" s="18" t="n">
        <v>95</v>
      </c>
      <c r="F566" s="10">
        <f>IF($B566&gt;=Analysis!$P$1,IF($E566&lt;=Analysis!$P$2,"VIP","At risk"),IF($E566&lt;=Analysis!$P$2,"Loyal","Dormant"))</f>
        <v/>
      </c>
    </row>
    <row r="567">
      <c r="A567" s="10" t="inlineStr">
        <is>
          <t>C3565</t>
        </is>
      </c>
      <c r="B567" s="17" t="n">
        <v>803162</v>
      </c>
      <c r="C567" s="18" t="n">
        <v>4</v>
      </c>
      <c r="D567" s="18" t="n">
        <v>22</v>
      </c>
      <c r="E567" s="18" t="n">
        <v>3</v>
      </c>
      <c r="F567" s="10">
        <f>IF($B567&gt;=Analysis!$P$1,IF($E567&lt;=Analysis!$P$2,"VIP","At risk"),IF($E567&lt;=Analysis!$P$2,"Loyal","Dormant"))</f>
        <v/>
      </c>
    </row>
    <row r="568">
      <c r="A568" s="10" t="inlineStr">
        <is>
          <t>C3566</t>
        </is>
      </c>
      <c r="B568" s="17" t="n">
        <v>10217979</v>
      </c>
      <c r="C568" s="18" t="n">
        <v>23</v>
      </c>
      <c r="D568" s="18" t="n">
        <v>811</v>
      </c>
      <c r="E568" s="18" t="n">
        <v>17</v>
      </c>
      <c r="F568" s="10">
        <f>IF($B568&gt;=Analysis!$P$1,IF($E568&lt;=Analysis!$P$2,"VIP","At risk"),IF($E568&lt;=Analysis!$P$2,"Loyal","Dormant"))</f>
        <v/>
      </c>
    </row>
    <row r="569">
      <c r="A569" s="10" t="inlineStr">
        <is>
          <t>C3567</t>
        </is>
      </c>
      <c r="B569" s="17" t="n">
        <v>3892529</v>
      </c>
      <c r="C569" s="18" t="n">
        <v>13</v>
      </c>
      <c r="D569" s="18" t="n">
        <v>472</v>
      </c>
      <c r="E569" s="18" t="n">
        <v>45</v>
      </c>
      <c r="F569" s="10">
        <f>IF($B569&gt;=Analysis!$P$1,IF($E569&lt;=Analysis!$P$2,"VIP","At risk"),IF($E569&lt;=Analysis!$P$2,"Loyal","Dormant"))</f>
        <v/>
      </c>
    </row>
    <row r="570">
      <c r="A570" s="10" t="inlineStr">
        <is>
          <t>C3568</t>
        </is>
      </c>
      <c r="B570" s="17" t="n">
        <v>1559060</v>
      </c>
      <c r="C570" s="18" t="n">
        <v>5</v>
      </c>
      <c r="D570" s="18" t="n">
        <v>58</v>
      </c>
      <c r="E570" s="18" t="n">
        <v>45</v>
      </c>
      <c r="F570" s="10">
        <f>IF($B570&gt;=Analysis!$P$1,IF($E570&lt;=Analysis!$P$2,"VIP","At risk"),IF($E570&lt;=Analysis!$P$2,"Loyal","Dormant"))</f>
        <v/>
      </c>
    </row>
    <row r="571">
      <c r="A571" s="10" t="inlineStr">
        <is>
          <t>C3569</t>
        </is>
      </c>
      <c r="B571" s="17" t="n">
        <v>954272</v>
      </c>
      <c r="C571" s="18" t="n">
        <v>2</v>
      </c>
      <c r="D571" s="18" t="n">
        <v>56</v>
      </c>
      <c r="E571" s="18" t="n">
        <v>9</v>
      </c>
      <c r="F571" s="10">
        <f>IF($B571&gt;=Analysis!$P$1,IF($E571&lt;=Analysis!$P$2,"VIP","At risk"),IF($E571&lt;=Analysis!$P$2,"Loyal","Dormant"))</f>
        <v/>
      </c>
    </row>
    <row r="572">
      <c r="A572" s="10" t="inlineStr">
        <is>
          <t>C3570</t>
        </is>
      </c>
      <c r="B572" s="17" t="n">
        <v>10392523</v>
      </c>
      <c r="C572" s="18" t="n">
        <v>29</v>
      </c>
      <c r="D572" s="18" t="n">
        <v>522</v>
      </c>
      <c r="E572" s="18" t="n">
        <v>8</v>
      </c>
      <c r="F572" s="10">
        <f>IF($B572&gt;=Analysis!$P$1,IF($E572&lt;=Analysis!$P$2,"VIP","At risk"),IF($E572&lt;=Analysis!$P$2,"Loyal","Dormant"))</f>
        <v/>
      </c>
    </row>
    <row r="573">
      <c r="A573" s="10" t="inlineStr">
        <is>
          <t>C3571</t>
        </is>
      </c>
      <c r="B573" s="17" t="n">
        <v>1443729</v>
      </c>
      <c r="C573" s="18" t="n">
        <v>4</v>
      </c>
      <c r="D573" s="18" t="n">
        <v>183</v>
      </c>
      <c r="E573" s="18" t="n">
        <v>13</v>
      </c>
      <c r="F573" s="10">
        <f>IF($B573&gt;=Analysis!$P$1,IF($E573&lt;=Analysis!$P$2,"VIP","At risk"),IF($E573&lt;=Analysis!$P$2,"Loyal","Dormant"))</f>
        <v/>
      </c>
    </row>
    <row r="574">
      <c r="A574" s="10" t="inlineStr">
        <is>
          <t>C3572</t>
        </is>
      </c>
      <c r="B574" s="17" t="n">
        <v>2998757</v>
      </c>
      <c r="C574" s="18" t="n">
        <v>17</v>
      </c>
      <c r="D574" s="18" t="n">
        <v>338</v>
      </c>
      <c r="E574" s="18" t="n">
        <v>15</v>
      </c>
      <c r="F574" s="10">
        <f>IF($B574&gt;=Analysis!$P$1,IF($E574&lt;=Analysis!$P$2,"VIP","At risk"),IF($E574&lt;=Analysis!$P$2,"Loyal","Dormant"))</f>
        <v/>
      </c>
    </row>
    <row r="575">
      <c r="A575" s="10" t="inlineStr">
        <is>
          <t>C3573</t>
        </is>
      </c>
      <c r="B575" s="17" t="n">
        <v>4008321</v>
      </c>
      <c r="C575" s="18" t="n">
        <v>10</v>
      </c>
      <c r="D575" s="18" t="n">
        <v>85</v>
      </c>
      <c r="E575" s="18" t="n">
        <v>26</v>
      </c>
      <c r="F575" s="10">
        <f>IF($B575&gt;=Analysis!$P$1,IF($E575&lt;=Analysis!$P$2,"VIP","At risk"),IF($E575&lt;=Analysis!$P$2,"Loyal","Dormant"))</f>
        <v/>
      </c>
    </row>
    <row r="576">
      <c r="A576" s="10" t="inlineStr">
        <is>
          <t>C3574</t>
        </is>
      </c>
      <c r="B576" s="17" t="n">
        <v>1344791</v>
      </c>
      <c r="C576" s="18" t="n">
        <v>4</v>
      </c>
      <c r="D576" s="18" t="n">
        <v>353</v>
      </c>
      <c r="E576" s="18" t="n">
        <v>62</v>
      </c>
      <c r="F576" s="10">
        <f>IF($B576&gt;=Analysis!$P$1,IF($E576&lt;=Analysis!$P$2,"VIP","At risk"),IF($E576&lt;=Analysis!$P$2,"Loyal","Dormant"))</f>
        <v/>
      </c>
    </row>
    <row r="577">
      <c r="A577" s="10" t="inlineStr">
        <is>
          <t>C3575</t>
        </is>
      </c>
      <c r="B577" s="17" t="n">
        <v>4957963</v>
      </c>
      <c r="C577" s="18" t="n">
        <v>10</v>
      </c>
      <c r="D577" s="18" t="n">
        <v>491</v>
      </c>
      <c r="E577" s="18" t="n">
        <v>1</v>
      </c>
      <c r="F577" s="10">
        <f>IF($B577&gt;=Analysis!$P$1,IF($E577&lt;=Analysis!$P$2,"VIP","At risk"),IF($E577&lt;=Analysis!$P$2,"Loyal","Dormant"))</f>
        <v/>
      </c>
    </row>
    <row r="578">
      <c r="A578" s="10" t="inlineStr">
        <is>
          <t>C3576</t>
        </is>
      </c>
      <c r="B578" s="17" t="n">
        <v>897576</v>
      </c>
      <c r="C578" s="18" t="n">
        <v>1</v>
      </c>
      <c r="D578" s="18" t="n">
        <v>5</v>
      </c>
      <c r="E578" s="18" t="n">
        <v>20</v>
      </c>
      <c r="F578" s="10">
        <f>IF($B578&gt;=Analysis!$P$1,IF($E578&lt;=Analysis!$P$2,"VIP","At risk"),IF($E578&lt;=Analysis!$P$2,"Loyal","Dormant"))</f>
        <v/>
      </c>
    </row>
    <row r="579">
      <c r="A579" s="10" t="inlineStr">
        <is>
          <t>C3577</t>
        </is>
      </c>
      <c r="B579" s="17" t="n">
        <v>1404375</v>
      </c>
      <c r="C579" s="18" t="n">
        <v>4</v>
      </c>
      <c r="D579" s="18" t="n">
        <v>278</v>
      </c>
      <c r="E579" s="18" t="n">
        <v>72</v>
      </c>
      <c r="F579" s="10">
        <f>IF($B579&gt;=Analysis!$P$1,IF($E579&lt;=Analysis!$P$2,"VIP","At risk"),IF($E579&lt;=Analysis!$P$2,"Loyal","Dormant"))</f>
        <v/>
      </c>
    </row>
    <row r="580">
      <c r="A580" s="10" t="inlineStr">
        <is>
          <t>C3578</t>
        </is>
      </c>
      <c r="B580" s="17" t="n">
        <v>1190365</v>
      </c>
      <c r="C580" s="18" t="n">
        <v>4</v>
      </c>
      <c r="D580" s="18" t="n">
        <v>24</v>
      </c>
      <c r="E580" s="18" t="n">
        <v>22</v>
      </c>
      <c r="F580" s="10">
        <f>IF($B580&gt;=Analysis!$P$1,IF($E580&lt;=Analysis!$P$2,"VIP","At risk"),IF($E580&lt;=Analysis!$P$2,"Loyal","Dormant"))</f>
        <v/>
      </c>
    </row>
    <row r="581">
      <c r="A581" s="10" t="inlineStr">
        <is>
          <t>C3579</t>
        </is>
      </c>
      <c r="B581" s="17" t="n">
        <v>0</v>
      </c>
      <c r="C581" s="18" t="n">
        <v>3</v>
      </c>
      <c r="D581" s="18" t="n">
        <v>323</v>
      </c>
      <c r="E581" s="18" t="n">
        <v>33</v>
      </c>
      <c r="F581" s="10">
        <f>IF($B581&gt;=Analysis!$P$1,IF($E581&lt;=Analysis!$P$2,"VIP","At risk"),IF($E581&lt;=Analysis!$P$2,"Loyal","Dormant"))</f>
        <v/>
      </c>
    </row>
    <row r="582">
      <c r="A582" s="10" t="inlineStr">
        <is>
          <t>C3580</t>
        </is>
      </c>
      <c r="B582" s="17" t="n">
        <v>1557314</v>
      </c>
      <c r="C582" s="18" t="n">
        <v>5</v>
      </c>
      <c r="D582" s="18" t="n">
        <v>134</v>
      </c>
      <c r="E582" s="18" t="n">
        <v>29</v>
      </c>
      <c r="F582" s="10">
        <f>IF($B582&gt;=Analysis!$P$1,IF($E582&lt;=Analysis!$P$2,"VIP","At risk"),IF($E582&lt;=Analysis!$P$2,"Loyal","Dormant"))</f>
        <v/>
      </c>
    </row>
    <row r="583">
      <c r="A583" s="10" t="inlineStr">
        <is>
          <t>C3581</t>
        </is>
      </c>
      <c r="B583" s="17" t="n">
        <v>792326</v>
      </c>
      <c r="C583" s="18" t="n">
        <v>3</v>
      </c>
      <c r="D583" s="18" t="n">
        <v>81</v>
      </c>
      <c r="E583" s="18" t="n">
        <v>15</v>
      </c>
      <c r="F583" s="10">
        <f>IF($B583&gt;=Analysis!$P$1,IF($E583&lt;=Analysis!$P$2,"VIP","At risk"),IF($E583&lt;=Analysis!$P$2,"Loyal","Dormant"))</f>
        <v/>
      </c>
    </row>
    <row r="584">
      <c r="A584" s="10" t="inlineStr">
        <is>
          <t>C3582</t>
        </is>
      </c>
      <c r="B584" s="17" t="n">
        <v>1869639</v>
      </c>
      <c r="C584" s="18" t="n">
        <v>1</v>
      </c>
      <c r="D584" s="18" t="n">
        <v>521</v>
      </c>
      <c r="E584" s="18" t="n">
        <v>118</v>
      </c>
      <c r="F584" s="10">
        <f>IF($B584&gt;=Analysis!$P$1,IF($E584&lt;=Analysis!$P$2,"VIP","At risk"),IF($E584&lt;=Analysis!$P$2,"Loyal","Dormant"))</f>
        <v/>
      </c>
    </row>
    <row r="585">
      <c r="A585" s="10" t="inlineStr">
        <is>
          <t>C3583</t>
        </is>
      </c>
      <c r="B585" s="17" t="n">
        <v>2598561</v>
      </c>
      <c r="C585" s="18" t="n">
        <v>5</v>
      </c>
      <c r="D585" s="18" t="n">
        <v>460</v>
      </c>
      <c r="E585" s="18" t="n">
        <v>31</v>
      </c>
      <c r="F585" s="10">
        <f>IF($B585&gt;=Analysis!$P$1,IF($E585&lt;=Analysis!$P$2,"VIP","At risk"),IF($E585&lt;=Analysis!$P$2,"Loyal","Dormant"))</f>
        <v/>
      </c>
    </row>
    <row r="586">
      <c r="A586" s="10" t="inlineStr">
        <is>
          <t>C3584</t>
        </is>
      </c>
      <c r="B586" s="17" t="n">
        <v>3702072</v>
      </c>
      <c r="C586" s="18" t="n">
        <v>13</v>
      </c>
      <c r="D586" s="18" t="n">
        <v>523</v>
      </c>
      <c r="E586" s="18" t="n">
        <v>33</v>
      </c>
      <c r="F586" s="10">
        <f>IF($B586&gt;=Analysis!$P$1,IF($E586&lt;=Analysis!$P$2,"VIP","At risk"),IF($E586&lt;=Analysis!$P$2,"Loyal","Dormant"))</f>
        <v/>
      </c>
    </row>
    <row r="587">
      <c r="A587" s="10" t="inlineStr">
        <is>
          <t>C3585</t>
        </is>
      </c>
      <c r="B587" s="17" t="n">
        <v>1103612</v>
      </c>
      <c r="C587" s="18" t="n">
        <v>3</v>
      </c>
      <c r="D587" s="18" t="n">
        <v>610</v>
      </c>
      <c r="E587" s="18" t="n">
        <v>60</v>
      </c>
      <c r="F587" s="10">
        <f>IF($B587&gt;=Analysis!$P$1,IF($E587&lt;=Analysis!$P$2,"VIP","At risk"),IF($E587&lt;=Analysis!$P$2,"Loyal","Dormant"))</f>
        <v/>
      </c>
    </row>
    <row r="588">
      <c r="A588" s="10" t="inlineStr">
        <is>
          <t>C3586</t>
        </is>
      </c>
      <c r="B588" s="17" t="n">
        <v>2388910</v>
      </c>
      <c r="C588" s="18" t="n">
        <v>18</v>
      </c>
      <c r="D588" s="18" t="n">
        <v>310</v>
      </c>
      <c r="E588" s="18" t="n">
        <v>4</v>
      </c>
      <c r="F588" s="10">
        <f>IF($B588&gt;=Analysis!$P$1,IF($E588&lt;=Analysis!$P$2,"VIP","At risk"),IF($E588&lt;=Analysis!$P$2,"Loyal","Dormant"))</f>
        <v/>
      </c>
    </row>
    <row r="589">
      <c r="A589" s="10" t="inlineStr">
        <is>
          <t>C3587</t>
        </is>
      </c>
      <c r="B589" s="17" t="n">
        <v>577673</v>
      </c>
      <c r="C589" s="18" t="n">
        <v>5</v>
      </c>
      <c r="D589" s="18" t="n">
        <v>464</v>
      </c>
      <c r="E589" s="18" t="n">
        <v>55</v>
      </c>
      <c r="F589" s="10">
        <f>IF($B589&gt;=Analysis!$P$1,IF($E589&lt;=Analysis!$P$2,"VIP","At risk"),IF($E589&lt;=Analysis!$P$2,"Loyal","Dormant"))</f>
        <v/>
      </c>
    </row>
    <row r="590">
      <c r="A590" s="10" t="inlineStr">
        <is>
          <t>C3588</t>
        </is>
      </c>
      <c r="B590" s="17" t="n">
        <v>5306603</v>
      </c>
      <c r="C590" s="18" t="n">
        <v>6</v>
      </c>
      <c r="D590" s="18" t="n">
        <v>592</v>
      </c>
      <c r="E590" s="18" t="n">
        <v>12</v>
      </c>
      <c r="F590" s="10">
        <f>IF($B590&gt;=Analysis!$P$1,IF($E590&lt;=Analysis!$P$2,"VIP","At risk"),IF($E590&lt;=Analysis!$P$2,"Loyal","Dormant"))</f>
        <v/>
      </c>
    </row>
    <row r="591">
      <c r="A591" s="10" t="inlineStr">
        <is>
          <t>C3589</t>
        </is>
      </c>
      <c r="B591" s="17" t="n">
        <v>1081201</v>
      </c>
      <c r="C591" s="18" t="n">
        <v>6</v>
      </c>
      <c r="D591" s="18" t="n">
        <v>267</v>
      </c>
      <c r="E591" s="18" t="n">
        <v>80</v>
      </c>
      <c r="F591" s="10">
        <f>IF($B591&gt;=Analysis!$P$1,IF($E591&lt;=Analysis!$P$2,"VIP","At risk"),IF($E591&lt;=Analysis!$P$2,"Loyal","Dormant"))</f>
        <v/>
      </c>
    </row>
    <row r="592">
      <c r="A592" s="10" t="inlineStr">
        <is>
          <t>C3590</t>
        </is>
      </c>
      <c r="B592" s="17" t="n">
        <v>725883</v>
      </c>
      <c r="C592" s="18" t="n">
        <v>1</v>
      </c>
      <c r="D592" s="18" t="n">
        <v>273</v>
      </c>
      <c r="E592" s="18" t="n">
        <v>85</v>
      </c>
      <c r="F592" s="10">
        <f>IF($B592&gt;=Analysis!$P$1,IF($E592&lt;=Analysis!$P$2,"VIP","At risk"),IF($E592&lt;=Analysis!$P$2,"Loyal","Dormant"))</f>
        <v/>
      </c>
    </row>
    <row r="593">
      <c r="A593" s="10" t="inlineStr">
        <is>
          <t>C3591</t>
        </is>
      </c>
      <c r="B593" s="17" t="n">
        <v>1466809</v>
      </c>
      <c r="C593" s="18" t="n">
        <v>5</v>
      </c>
      <c r="D593" s="18" t="n">
        <v>163</v>
      </c>
      <c r="E593" s="18" t="n">
        <v>89</v>
      </c>
      <c r="F593" s="10">
        <f>IF($B593&gt;=Analysis!$P$1,IF($E593&lt;=Analysis!$P$2,"VIP","At risk"),IF($E593&lt;=Analysis!$P$2,"Loyal","Dormant"))</f>
        <v/>
      </c>
    </row>
    <row r="594">
      <c r="A594" s="10" t="inlineStr">
        <is>
          <t>C3592</t>
        </is>
      </c>
      <c r="B594" s="17" t="n">
        <v>3765124</v>
      </c>
      <c r="C594" s="18" t="n">
        <v>21</v>
      </c>
      <c r="D594" s="18" t="n">
        <v>572</v>
      </c>
      <c r="E594" s="18" t="n">
        <v>44</v>
      </c>
      <c r="F594" s="10">
        <f>IF($B594&gt;=Analysis!$P$1,IF($E594&lt;=Analysis!$P$2,"VIP","At risk"),IF($E594&lt;=Analysis!$P$2,"Loyal","Dormant"))</f>
        <v/>
      </c>
    </row>
    <row r="595">
      <c r="A595" s="10" t="inlineStr">
        <is>
          <t>C3593</t>
        </is>
      </c>
      <c r="B595" s="17" t="n">
        <v>3913102</v>
      </c>
      <c r="C595" s="18" t="n">
        <v>19</v>
      </c>
      <c r="D595" s="18" t="n">
        <v>238</v>
      </c>
      <c r="E595" s="18" t="n">
        <v>40</v>
      </c>
      <c r="F595" s="10">
        <f>IF($B595&gt;=Analysis!$P$1,IF($E595&lt;=Analysis!$P$2,"VIP","At risk"),IF($E595&lt;=Analysis!$P$2,"Loyal","Dormant"))</f>
        <v/>
      </c>
    </row>
    <row r="596">
      <c r="A596" s="10" t="inlineStr">
        <is>
          <t>C3594</t>
        </is>
      </c>
      <c r="B596" s="17" t="n">
        <v>1491863</v>
      </c>
      <c r="C596" s="18" t="n">
        <v>2</v>
      </c>
      <c r="D596" s="18" t="n">
        <v>121</v>
      </c>
      <c r="E596" s="18" t="n">
        <v>45</v>
      </c>
      <c r="F596" s="10">
        <f>IF($B596&gt;=Analysis!$P$1,IF($E596&lt;=Analysis!$P$2,"VIP","At risk"),IF($E596&lt;=Analysis!$P$2,"Loyal","Dormant"))</f>
        <v/>
      </c>
    </row>
    <row r="597">
      <c r="A597" s="10" t="inlineStr">
        <is>
          <t>C3595</t>
        </is>
      </c>
      <c r="B597" s="17" t="n">
        <v>4494515</v>
      </c>
      <c r="C597" s="18" t="n">
        <v>4</v>
      </c>
      <c r="D597" s="18" t="n">
        <v>274</v>
      </c>
      <c r="E597" s="18" t="n">
        <v>29</v>
      </c>
      <c r="F597" s="10">
        <f>IF($B597&gt;=Analysis!$P$1,IF($E597&lt;=Analysis!$P$2,"VIP","At risk"),IF($E597&lt;=Analysis!$P$2,"Loyal","Dormant"))</f>
        <v/>
      </c>
    </row>
    <row r="598">
      <c r="A598" s="10" t="inlineStr">
        <is>
          <t>C3596</t>
        </is>
      </c>
      <c r="B598" s="17" t="n">
        <v>5449734</v>
      </c>
      <c r="C598" s="18" t="n">
        <v>17</v>
      </c>
      <c r="D598" s="18" t="n">
        <v>414</v>
      </c>
      <c r="E598" s="18" t="n">
        <v>18</v>
      </c>
      <c r="F598" s="10">
        <f>IF($B598&gt;=Analysis!$P$1,IF($E598&lt;=Analysis!$P$2,"VIP","At risk"),IF($E598&lt;=Analysis!$P$2,"Loyal","Dormant"))</f>
        <v/>
      </c>
    </row>
    <row r="599">
      <c r="A599" s="10" t="inlineStr">
        <is>
          <t>C3597</t>
        </is>
      </c>
      <c r="B599" s="17" t="n">
        <v>1273550</v>
      </c>
      <c r="C599" s="18" t="n">
        <v>3</v>
      </c>
      <c r="D599" s="18" t="n">
        <v>324</v>
      </c>
      <c r="E599" s="18" t="n">
        <v>39</v>
      </c>
      <c r="F599" s="10">
        <f>IF($B599&gt;=Analysis!$P$1,IF($E599&lt;=Analysis!$P$2,"VIP","At risk"),IF($E599&lt;=Analysis!$P$2,"Loyal","Dormant"))</f>
        <v/>
      </c>
    </row>
    <row r="600">
      <c r="A600" s="10" t="inlineStr">
        <is>
          <t>C3598</t>
        </is>
      </c>
      <c r="B600" s="17" t="n">
        <v>4336547</v>
      </c>
      <c r="C600" s="18" t="n">
        <v>16</v>
      </c>
      <c r="D600" s="18" t="n">
        <v>430</v>
      </c>
      <c r="E600" s="18" t="n">
        <v>1</v>
      </c>
      <c r="F600" s="10">
        <f>IF($B600&gt;=Analysis!$P$1,IF($E600&lt;=Analysis!$P$2,"VIP","At risk"),IF($E600&lt;=Analysis!$P$2,"Loyal","Dormant"))</f>
        <v/>
      </c>
    </row>
    <row r="601">
      <c r="A601" s="10" t="inlineStr">
        <is>
          <t>C3599</t>
        </is>
      </c>
      <c r="B601" s="17" t="n">
        <v>2001163</v>
      </c>
      <c r="C601" s="18" t="n">
        <v>16</v>
      </c>
      <c r="D601" s="18" t="n">
        <v>451</v>
      </c>
      <c r="E601" s="18" t="n">
        <v>43</v>
      </c>
      <c r="F601" s="10">
        <f>IF($B601&gt;=Analysis!$P$1,IF($E601&lt;=Analysis!$P$2,"VIP","At risk"),IF($E601&lt;=Analysis!$P$2,"Loyal","Dormant"))</f>
        <v/>
      </c>
    </row>
    <row r="602">
      <c r="A602" s="10" t="inlineStr">
        <is>
          <t>C3600</t>
        </is>
      </c>
      <c r="B602" s="17" t="n">
        <v>3147020</v>
      </c>
      <c r="C602" s="18" t="n">
        <v>20</v>
      </c>
      <c r="D602" s="18" t="n">
        <v>348</v>
      </c>
      <c r="E602" s="18" t="n">
        <v>32</v>
      </c>
      <c r="F602" s="10">
        <f>IF($B602&gt;=Analysis!$P$1,IF($E602&lt;=Analysis!$P$2,"VIP","At risk"),IF($E602&lt;=Analysis!$P$2,"Loyal","Dormant"))</f>
        <v/>
      </c>
    </row>
    <row r="603">
      <c r="A603" s="10" t="inlineStr">
        <is>
          <t>C3601</t>
        </is>
      </c>
      <c r="B603" s="17" t="n">
        <v>1270434</v>
      </c>
      <c r="C603" s="18" t="n">
        <v>3</v>
      </c>
      <c r="D603" s="18" t="n">
        <v>60</v>
      </c>
      <c r="E603" s="18" t="n">
        <v>5</v>
      </c>
      <c r="F603" s="10">
        <f>IF($B603&gt;=Analysis!$P$1,IF($E603&lt;=Analysis!$P$2,"VIP","At risk"),IF($E603&lt;=Analysis!$P$2,"Loyal","Dormant"))</f>
        <v/>
      </c>
    </row>
    <row r="604">
      <c r="A604" s="10" t="inlineStr">
        <is>
          <t>C3602</t>
        </is>
      </c>
      <c r="B604" s="17" t="n">
        <v>1312204</v>
      </c>
      <c r="C604" s="18" t="n">
        <v>2</v>
      </c>
      <c r="D604" s="18" t="n">
        <v>101</v>
      </c>
      <c r="E604" s="18" t="n">
        <v>21</v>
      </c>
      <c r="F604" s="10">
        <f>IF($B604&gt;=Analysis!$P$1,IF($E604&lt;=Analysis!$P$2,"VIP","At risk"),IF($E604&lt;=Analysis!$P$2,"Loyal","Dormant"))</f>
        <v/>
      </c>
    </row>
    <row r="605">
      <c r="A605" s="10" t="inlineStr">
        <is>
          <t>C3603</t>
        </is>
      </c>
      <c r="B605" s="17" t="n">
        <v>2709792</v>
      </c>
      <c r="C605" s="18" t="n">
        <v>4</v>
      </c>
      <c r="D605" s="18" t="n">
        <v>339</v>
      </c>
      <c r="E605" s="18" t="n">
        <v>37</v>
      </c>
      <c r="F605" s="10">
        <f>IF($B605&gt;=Analysis!$P$1,IF($E605&lt;=Analysis!$P$2,"VIP","At risk"),IF($E605&lt;=Analysis!$P$2,"Loyal","Dormant"))</f>
        <v/>
      </c>
    </row>
    <row r="606">
      <c r="A606" s="10" t="inlineStr">
        <is>
          <t>C3604</t>
        </is>
      </c>
      <c r="B606" s="17" t="n">
        <v>5308706</v>
      </c>
      <c r="C606" s="18" t="n">
        <v>22</v>
      </c>
      <c r="D606" s="18" t="n">
        <v>420</v>
      </c>
      <c r="E606" s="18" t="n">
        <v>14</v>
      </c>
      <c r="F606" s="10">
        <f>IF($B606&gt;=Analysis!$P$1,IF($E606&lt;=Analysis!$P$2,"VIP","At risk"),IF($E606&lt;=Analysis!$P$2,"Loyal","Dormant"))</f>
        <v/>
      </c>
    </row>
    <row r="607">
      <c r="A607" s="10" t="inlineStr">
        <is>
          <t>C3605</t>
        </is>
      </c>
      <c r="B607" s="17" t="n">
        <v>1068606</v>
      </c>
      <c r="C607" s="18" t="n">
        <v>3</v>
      </c>
      <c r="D607" s="18" t="n">
        <v>52</v>
      </c>
      <c r="E607" s="18" t="n">
        <v>59</v>
      </c>
      <c r="F607" s="10">
        <f>IF($B607&gt;=Analysis!$P$1,IF($E607&lt;=Analysis!$P$2,"VIP","At risk"),IF($E607&lt;=Analysis!$P$2,"Loyal","Dormant"))</f>
        <v/>
      </c>
    </row>
    <row r="608">
      <c r="A608" s="10" t="inlineStr">
        <is>
          <t>C3606</t>
        </is>
      </c>
      <c r="B608" s="17" t="n">
        <v>6802789</v>
      </c>
      <c r="C608" s="18" t="n">
        <v>24</v>
      </c>
      <c r="D608" s="18" t="n">
        <v>606</v>
      </c>
      <c r="E608" s="18" t="n">
        <v>12</v>
      </c>
      <c r="F608" s="10">
        <f>IF($B608&gt;=Analysis!$P$1,IF($E608&lt;=Analysis!$P$2,"VIP","At risk"),IF($E608&lt;=Analysis!$P$2,"Loyal","Dormant"))</f>
        <v/>
      </c>
    </row>
    <row r="609">
      <c r="A609" s="10" t="inlineStr">
        <is>
          <t>C3607</t>
        </is>
      </c>
      <c r="B609" s="17" t="n">
        <v>2874795</v>
      </c>
      <c r="C609" s="18" t="n">
        <v>13</v>
      </c>
      <c r="D609" s="18" t="n">
        <v>389</v>
      </c>
      <c r="E609" s="18" t="n">
        <v>41</v>
      </c>
      <c r="F609" s="10">
        <f>IF($B609&gt;=Analysis!$P$1,IF($E609&lt;=Analysis!$P$2,"VIP","At risk"),IF($E609&lt;=Analysis!$P$2,"Loyal","Dormant"))</f>
        <v/>
      </c>
    </row>
    <row r="610">
      <c r="A610" s="10" t="inlineStr">
        <is>
          <t>C3608</t>
        </is>
      </c>
      <c r="B610" s="17" t="n">
        <v>6348096</v>
      </c>
      <c r="C610" s="18" t="n">
        <v>24</v>
      </c>
      <c r="D610" s="18" t="n">
        <v>665</v>
      </c>
      <c r="E610" s="18" t="n">
        <v>7</v>
      </c>
      <c r="F610" s="10">
        <f>IF($B610&gt;=Analysis!$P$1,IF($E610&lt;=Analysis!$P$2,"VIP","At risk"),IF($E610&lt;=Analysis!$P$2,"Loyal","Dormant"))</f>
        <v/>
      </c>
    </row>
    <row r="611">
      <c r="A611" s="10" t="inlineStr">
        <is>
          <t>C3609</t>
        </is>
      </c>
      <c r="B611" s="17" t="n">
        <v>1431516</v>
      </c>
      <c r="C611" s="18" t="n">
        <v>3</v>
      </c>
      <c r="D611" s="18" t="n">
        <v>156</v>
      </c>
      <c r="E611" s="18" t="n">
        <v>77</v>
      </c>
      <c r="F611" s="10">
        <f>IF($B611&gt;=Analysis!$P$1,IF($E611&lt;=Analysis!$P$2,"VIP","At risk"),IF($E611&lt;=Analysis!$P$2,"Loyal","Dormant"))</f>
        <v/>
      </c>
    </row>
    <row r="612">
      <c r="A612" s="10" t="inlineStr">
        <is>
          <t>C3610</t>
        </is>
      </c>
      <c r="B612" s="17" t="n">
        <v>3628355</v>
      </c>
      <c r="C612" s="18" t="n">
        <v>10</v>
      </c>
      <c r="D612" s="18" t="n">
        <v>380</v>
      </c>
      <c r="E612" s="18" t="n">
        <v>58</v>
      </c>
      <c r="F612" s="10">
        <f>IF($B612&gt;=Analysis!$P$1,IF($E612&lt;=Analysis!$P$2,"VIP","At risk"),IF($E612&lt;=Analysis!$P$2,"Loyal","Dormant"))</f>
        <v/>
      </c>
    </row>
    <row r="613">
      <c r="A613" s="10" t="inlineStr">
        <is>
          <t>C3611</t>
        </is>
      </c>
      <c r="B613" s="17" t="n">
        <v>9527971</v>
      </c>
      <c r="C613" s="18" t="n">
        <v>43</v>
      </c>
      <c r="D613" s="18" t="n">
        <v>459</v>
      </c>
      <c r="E613" s="18" t="n">
        <v>14</v>
      </c>
      <c r="F613" s="10">
        <f>IF($B613&gt;=Analysis!$P$1,IF($E613&lt;=Analysis!$P$2,"VIP","At risk"),IF($E613&lt;=Analysis!$P$2,"Loyal","Dormant"))</f>
        <v/>
      </c>
    </row>
    <row r="614">
      <c r="A614" s="10" t="inlineStr">
        <is>
          <t>C3612</t>
        </is>
      </c>
      <c r="B614" s="17" t="n">
        <v>1696658</v>
      </c>
      <c r="C614" s="18" t="n">
        <v>5</v>
      </c>
      <c r="D614" s="18" t="n">
        <v>347</v>
      </c>
      <c r="E614" s="18" t="n">
        <v>81</v>
      </c>
      <c r="F614" s="10">
        <f>IF($B614&gt;=Analysis!$P$1,IF($E614&lt;=Analysis!$P$2,"VIP","At risk"),IF($E614&lt;=Analysis!$P$2,"Loyal","Dormant"))</f>
        <v/>
      </c>
    </row>
    <row r="615">
      <c r="A615" s="10" t="inlineStr">
        <is>
          <t>C3613</t>
        </is>
      </c>
      <c r="B615" s="17" t="n">
        <v>1316306</v>
      </c>
      <c r="C615" s="18" t="n">
        <v>7</v>
      </c>
      <c r="D615" s="18" t="n">
        <v>217</v>
      </c>
      <c r="E615" s="18" t="n">
        <v>56</v>
      </c>
      <c r="F615" s="10">
        <f>IF($B615&gt;=Analysis!$P$1,IF($E615&lt;=Analysis!$P$2,"VIP","At risk"),IF($E615&lt;=Analysis!$P$2,"Loyal","Dormant"))</f>
        <v/>
      </c>
    </row>
    <row r="616">
      <c r="A616" s="10" t="inlineStr">
        <is>
          <t>C3614</t>
        </is>
      </c>
      <c r="B616" s="17" t="n">
        <v>3727974</v>
      </c>
      <c r="C616" s="18" t="n">
        <v>15</v>
      </c>
      <c r="D616" s="18" t="n">
        <v>440</v>
      </c>
      <c r="E616" s="18" t="n">
        <v>8</v>
      </c>
      <c r="F616" s="10">
        <f>IF($B616&gt;=Analysis!$P$1,IF($E616&lt;=Analysis!$P$2,"VIP","At risk"),IF($E616&lt;=Analysis!$P$2,"Loyal","Dormant"))</f>
        <v/>
      </c>
    </row>
    <row r="617">
      <c r="A617" s="10" t="inlineStr">
        <is>
          <t>C3615</t>
        </is>
      </c>
      <c r="B617" s="17" t="n">
        <v>615430</v>
      </c>
      <c r="C617" s="18" t="n">
        <v>1</v>
      </c>
      <c r="D617" s="18" t="n">
        <v>115</v>
      </c>
      <c r="E617" s="18" t="n">
        <v>12</v>
      </c>
      <c r="F617" s="10">
        <f>IF($B617&gt;=Analysis!$P$1,IF($E617&lt;=Analysis!$P$2,"VIP","At risk"),IF($E617&lt;=Analysis!$P$2,"Loyal","Dormant"))</f>
        <v/>
      </c>
    </row>
    <row r="618">
      <c r="A618" s="10" t="inlineStr">
        <is>
          <t>C3616</t>
        </is>
      </c>
      <c r="B618" s="17" t="n">
        <v>2352767</v>
      </c>
      <c r="C618" s="18" t="n">
        <v>16</v>
      </c>
      <c r="D618" s="18" t="n">
        <v>444</v>
      </c>
      <c r="E618" s="18" t="n">
        <v>17</v>
      </c>
      <c r="F618" s="10">
        <f>IF($B618&gt;=Analysis!$P$1,IF($E618&lt;=Analysis!$P$2,"VIP","At risk"),IF($E618&lt;=Analysis!$P$2,"Loyal","Dormant"))</f>
        <v/>
      </c>
    </row>
    <row r="619">
      <c r="A619" s="10" t="inlineStr">
        <is>
          <t>C3617</t>
        </is>
      </c>
      <c r="B619" s="17" t="n">
        <v>3999344</v>
      </c>
      <c r="C619" s="18" t="n">
        <v>18</v>
      </c>
      <c r="D619" s="18" t="n">
        <v>407</v>
      </c>
      <c r="E619" s="18" t="n">
        <v>3</v>
      </c>
      <c r="F619" s="10">
        <f>IF($B619&gt;=Analysis!$P$1,IF($E619&lt;=Analysis!$P$2,"VIP","At risk"),IF($E619&lt;=Analysis!$P$2,"Loyal","Dormant"))</f>
        <v/>
      </c>
    </row>
    <row r="620">
      <c r="A620" s="10" t="inlineStr">
        <is>
          <t>C3618</t>
        </is>
      </c>
      <c r="B620" s="17" t="n">
        <v>1531809</v>
      </c>
      <c r="C620" s="18" t="n">
        <v>5</v>
      </c>
      <c r="D620" s="18" t="n">
        <v>59</v>
      </c>
      <c r="E620" s="18" t="n">
        <v>31</v>
      </c>
      <c r="F620" s="10">
        <f>IF($B620&gt;=Analysis!$P$1,IF($E620&lt;=Analysis!$P$2,"VIP","At risk"),IF($E620&lt;=Analysis!$P$2,"Loyal","Dormant"))</f>
        <v/>
      </c>
    </row>
    <row r="621">
      <c r="A621" s="10" t="inlineStr">
        <is>
          <t>C3619</t>
        </is>
      </c>
      <c r="B621" s="17" t="n">
        <v>1365078</v>
      </c>
      <c r="C621" s="18" t="n">
        <v>5</v>
      </c>
      <c r="D621" s="18" t="n">
        <v>531</v>
      </c>
      <c r="E621" s="18" t="n">
        <v>61</v>
      </c>
      <c r="F621" s="10">
        <f>IF($B621&gt;=Analysis!$P$1,IF($E621&lt;=Analysis!$P$2,"VIP","At risk"),IF($E621&lt;=Analysis!$P$2,"Loyal","Dormant"))</f>
        <v/>
      </c>
    </row>
    <row r="622">
      <c r="A622" s="10" t="inlineStr">
        <is>
          <t>C3620</t>
        </is>
      </c>
      <c r="B622" s="17" t="n">
        <v>731876</v>
      </c>
      <c r="C622" s="18" t="n">
        <v>4</v>
      </c>
      <c r="D622" s="18" t="n">
        <v>79</v>
      </c>
      <c r="E622" s="18" t="n">
        <v>38</v>
      </c>
      <c r="F622" s="10">
        <f>IF($B622&gt;=Analysis!$P$1,IF($E622&lt;=Analysis!$P$2,"VIP","At risk"),IF($E622&lt;=Analysis!$P$2,"Loyal","Dormant"))</f>
        <v/>
      </c>
    </row>
    <row r="623">
      <c r="A623" s="10" t="inlineStr">
        <is>
          <t>C3621</t>
        </is>
      </c>
      <c r="B623" s="17" t="n">
        <v>882380</v>
      </c>
      <c r="C623" s="18" t="n">
        <v>6</v>
      </c>
      <c r="D623" s="18" t="n">
        <v>36</v>
      </c>
      <c r="E623" s="18" t="n">
        <v>77</v>
      </c>
      <c r="F623" s="10">
        <f>IF($B623&gt;=Analysis!$P$1,IF($E623&lt;=Analysis!$P$2,"VIP","At risk"),IF($E623&lt;=Analysis!$P$2,"Loyal","Dormant"))</f>
        <v/>
      </c>
    </row>
    <row r="624">
      <c r="A624" s="10" t="inlineStr">
        <is>
          <t>C3622</t>
        </is>
      </c>
      <c r="B624" s="17" t="n">
        <v>1956213</v>
      </c>
      <c r="C624" s="18" t="n">
        <v>4</v>
      </c>
      <c r="D624" s="18" t="n">
        <v>88</v>
      </c>
      <c r="E624" s="18" t="n">
        <v>30</v>
      </c>
      <c r="F624" s="10">
        <f>IF($B624&gt;=Analysis!$P$1,IF($E624&lt;=Analysis!$P$2,"VIP","At risk"),IF($E624&lt;=Analysis!$P$2,"Loyal","Dormant"))</f>
        <v/>
      </c>
    </row>
    <row r="625">
      <c r="A625" s="10" t="inlineStr">
        <is>
          <t>C3623</t>
        </is>
      </c>
      <c r="B625" s="17" t="n">
        <v>10658610</v>
      </c>
      <c r="C625" s="18" t="n">
        <v>23</v>
      </c>
      <c r="D625" s="18" t="n">
        <v>654</v>
      </c>
      <c r="E625" s="18" t="n">
        <v>1</v>
      </c>
      <c r="F625" s="10">
        <f>IF($B625&gt;=Analysis!$P$1,IF($E625&lt;=Analysis!$P$2,"VIP","At risk"),IF($E625&lt;=Analysis!$P$2,"Loyal","Dormant"))</f>
        <v/>
      </c>
    </row>
    <row r="626">
      <c r="A626" s="10" t="inlineStr">
        <is>
          <t>C3624</t>
        </is>
      </c>
      <c r="B626" s="17" t="n">
        <v>638472</v>
      </c>
      <c r="C626" s="18" t="n">
        <v>3</v>
      </c>
      <c r="D626" s="18" t="n">
        <v>149</v>
      </c>
      <c r="E626" s="18" t="n">
        <v>40</v>
      </c>
      <c r="F626" s="10">
        <f>IF($B626&gt;=Analysis!$P$1,IF($E626&lt;=Analysis!$P$2,"VIP","At risk"),IF($E626&lt;=Analysis!$P$2,"Loyal","Dormant"))</f>
        <v/>
      </c>
    </row>
    <row r="627">
      <c r="A627" s="10" t="inlineStr">
        <is>
          <t>C3625</t>
        </is>
      </c>
      <c r="B627" s="17" t="n">
        <v>1118675</v>
      </c>
      <c r="C627" s="18" t="n">
        <v>4</v>
      </c>
      <c r="D627" s="18" t="n">
        <v>60</v>
      </c>
      <c r="E627" s="18" t="n">
        <v>15</v>
      </c>
      <c r="F627" s="10">
        <f>IF($B627&gt;=Analysis!$P$1,IF($E627&lt;=Analysis!$P$2,"VIP","At risk"),IF($E627&lt;=Analysis!$P$2,"Loyal","Dormant"))</f>
        <v/>
      </c>
    </row>
    <row r="628">
      <c r="A628" s="10" t="inlineStr">
        <is>
          <t>C3626</t>
        </is>
      </c>
      <c r="B628" s="17" t="n">
        <v>3242255</v>
      </c>
      <c r="C628" s="18" t="n">
        <v>17</v>
      </c>
      <c r="D628" s="18" t="n">
        <v>437</v>
      </c>
      <c r="E628" s="18" t="n">
        <v>40</v>
      </c>
      <c r="F628" s="10">
        <f>IF($B628&gt;=Analysis!$P$1,IF($E628&lt;=Analysis!$P$2,"VIP","At risk"),IF($E628&lt;=Analysis!$P$2,"Loyal","Dormant"))</f>
        <v/>
      </c>
    </row>
    <row r="629">
      <c r="A629" s="10" t="inlineStr">
        <is>
          <t>C3627</t>
        </is>
      </c>
      <c r="B629" s="17" t="n">
        <v>3168924</v>
      </c>
      <c r="C629" s="18" t="n">
        <v>11</v>
      </c>
      <c r="D629" s="18" t="n">
        <v>369</v>
      </c>
      <c r="E629" s="18" t="n">
        <v>12</v>
      </c>
      <c r="F629" s="10">
        <f>IF($B629&gt;=Analysis!$P$1,IF($E629&lt;=Analysis!$P$2,"VIP","At risk"),IF($E629&lt;=Analysis!$P$2,"Loyal","Dormant"))</f>
        <v/>
      </c>
    </row>
    <row r="630">
      <c r="A630" s="10" t="inlineStr">
        <is>
          <t>C3628</t>
        </is>
      </c>
      <c r="B630" s="17" t="n">
        <v>916104</v>
      </c>
      <c r="C630" s="18" t="n">
        <v>2</v>
      </c>
      <c r="D630" s="18" t="n">
        <v>160</v>
      </c>
      <c r="E630" s="18" t="n">
        <v>37</v>
      </c>
      <c r="F630" s="10">
        <f>IF($B630&gt;=Analysis!$P$1,IF($E630&lt;=Analysis!$P$2,"VIP","At risk"),IF($E630&lt;=Analysis!$P$2,"Loyal","Dormant"))</f>
        <v/>
      </c>
    </row>
    <row r="631">
      <c r="A631" s="10" t="inlineStr">
        <is>
          <t>C3629</t>
        </is>
      </c>
      <c r="B631" s="17" t="n">
        <v>1300248</v>
      </c>
      <c r="C631" s="18" t="n">
        <v>3</v>
      </c>
      <c r="D631" s="18" t="n">
        <v>67</v>
      </c>
      <c r="E631" s="18" t="n">
        <v>31</v>
      </c>
      <c r="F631" s="10">
        <f>IF($B631&gt;=Analysis!$P$1,IF($E631&lt;=Analysis!$P$2,"VIP","At risk"),IF($E631&lt;=Analysis!$P$2,"Loyal","Dormant"))</f>
        <v/>
      </c>
    </row>
    <row r="632">
      <c r="A632" s="10" t="inlineStr">
        <is>
          <t>C3630</t>
        </is>
      </c>
      <c r="B632" s="17" t="n">
        <v>2636125</v>
      </c>
      <c r="C632" s="18" t="n">
        <v>18</v>
      </c>
      <c r="D632" s="18" t="n">
        <v>361</v>
      </c>
      <c r="E632" s="18" t="n">
        <v>14</v>
      </c>
      <c r="F632" s="10">
        <f>IF($B632&gt;=Analysis!$P$1,IF($E632&lt;=Analysis!$P$2,"VIP","At risk"),IF($E632&lt;=Analysis!$P$2,"Loyal","Dormant"))</f>
        <v/>
      </c>
    </row>
    <row r="633">
      <c r="A633" s="10" t="inlineStr">
        <is>
          <t>C3631</t>
        </is>
      </c>
      <c r="B633" s="17" t="n">
        <v>2940400</v>
      </c>
      <c r="C633" s="18" t="n">
        <v>13</v>
      </c>
      <c r="D633" s="18" t="n">
        <v>429</v>
      </c>
      <c r="E633" s="18" t="n">
        <v>28</v>
      </c>
      <c r="F633" s="10">
        <f>IF($B633&gt;=Analysis!$P$1,IF($E633&lt;=Analysis!$P$2,"VIP","At risk"),IF($E633&lt;=Analysis!$P$2,"Loyal","Dormant"))</f>
        <v/>
      </c>
    </row>
    <row r="634">
      <c r="A634" s="10" t="inlineStr">
        <is>
          <t>C3632</t>
        </is>
      </c>
      <c r="B634" s="17" t="n">
        <v>2780523</v>
      </c>
      <c r="C634" s="18" t="n">
        <v>14</v>
      </c>
      <c r="D634" s="18" t="n">
        <v>227</v>
      </c>
      <c r="E634" s="18" t="n">
        <v>17</v>
      </c>
      <c r="F634" s="10">
        <f>IF($B634&gt;=Analysis!$P$1,IF($E634&lt;=Analysis!$P$2,"VIP","At risk"),IF($E634&lt;=Analysis!$P$2,"Loyal","Dormant"))</f>
        <v/>
      </c>
    </row>
    <row r="635">
      <c r="A635" s="10" t="inlineStr">
        <is>
          <t>C3633</t>
        </is>
      </c>
      <c r="B635" s="17" t="n">
        <v>3843363</v>
      </c>
      <c r="C635" s="18" t="n">
        <v>16</v>
      </c>
      <c r="D635" s="18" t="n">
        <v>468</v>
      </c>
      <c r="E635" s="18" t="n">
        <v>21</v>
      </c>
      <c r="F635" s="10">
        <f>IF($B635&gt;=Analysis!$P$1,IF($E635&lt;=Analysis!$P$2,"VIP","At risk"),IF($E635&lt;=Analysis!$P$2,"Loyal","Dormant"))</f>
        <v/>
      </c>
    </row>
    <row r="636">
      <c r="A636" s="10" t="inlineStr">
        <is>
          <t>C3634</t>
        </is>
      </c>
      <c r="B636" s="17" t="n">
        <v>758835</v>
      </c>
      <c r="C636" s="18" t="n">
        <v>2</v>
      </c>
      <c r="D636" s="18" t="n">
        <v>125</v>
      </c>
      <c r="E636" s="18" t="n">
        <v>28</v>
      </c>
      <c r="F636" s="10">
        <f>IF($B636&gt;=Analysis!$P$1,IF($E636&lt;=Analysis!$P$2,"VIP","At risk"),IF($E636&lt;=Analysis!$P$2,"Loyal","Dormant"))</f>
        <v/>
      </c>
    </row>
    <row r="637">
      <c r="A637" s="10" t="inlineStr">
        <is>
          <t>C3635</t>
        </is>
      </c>
      <c r="B637" s="17" t="n">
        <v>1796421</v>
      </c>
      <c r="C637" s="18" t="n">
        <v>10</v>
      </c>
      <c r="D637" s="18" t="n">
        <v>514</v>
      </c>
      <c r="E637" s="18" t="n">
        <v>25</v>
      </c>
      <c r="F637" s="10">
        <f>IF($B637&gt;=Analysis!$P$1,IF($E637&lt;=Analysis!$P$2,"VIP","At risk"),IF($E637&lt;=Analysis!$P$2,"Loyal","Dormant"))</f>
        <v/>
      </c>
    </row>
    <row r="638">
      <c r="A638" s="10" t="inlineStr">
        <is>
          <t>C3636</t>
        </is>
      </c>
      <c r="B638" s="17" t="n">
        <v>1379234</v>
      </c>
      <c r="C638" s="18" t="n">
        <v>3</v>
      </c>
      <c r="D638" s="18" t="n">
        <v>363</v>
      </c>
      <c r="E638" s="18" t="n">
        <v>38</v>
      </c>
      <c r="F638" s="10">
        <f>IF($B638&gt;=Analysis!$P$1,IF($E638&lt;=Analysis!$P$2,"VIP","At risk"),IF($E638&lt;=Analysis!$P$2,"Loyal","Dormant"))</f>
        <v/>
      </c>
    </row>
    <row r="639">
      <c r="A639" s="10" t="inlineStr">
        <is>
          <t>C3637</t>
        </is>
      </c>
      <c r="B639" s="17" t="n">
        <v>76985</v>
      </c>
      <c r="C639" s="18" t="n">
        <v>1</v>
      </c>
      <c r="D639" s="18" t="n">
        <v>199</v>
      </c>
      <c r="E639" s="18" t="n">
        <v>101</v>
      </c>
      <c r="F639" s="10">
        <f>IF($B639&gt;=Analysis!$P$1,IF($E639&lt;=Analysis!$P$2,"VIP","At risk"),IF($E639&lt;=Analysis!$P$2,"Loyal","Dormant"))</f>
        <v/>
      </c>
    </row>
    <row r="640">
      <c r="A640" s="10" t="inlineStr">
        <is>
          <t>C3638</t>
        </is>
      </c>
      <c r="B640" s="17" t="n">
        <v>895763</v>
      </c>
      <c r="C640" s="18" t="n">
        <v>3</v>
      </c>
      <c r="D640" s="18" t="n">
        <v>50</v>
      </c>
      <c r="E640" s="18" t="n">
        <v>12</v>
      </c>
      <c r="F640" s="10">
        <f>IF($B640&gt;=Analysis!$P$1,IF($E640&lt;=Analysis!$P$2,"VIP","At risk"),IF($E640&lt;=Analysis!$P$2,"Loyal","Dormant"))</f>
        <v/>
      </c>
    </row>
    <row r="641">
      <c r="A641" s="10" t="inlineStr">
        <is>
          <t>C3639</t>
        </is>
      </c>
      <c r="B641" s="17" t="n">
        <v>605869</v>
      </c>
      <c r="C641" s="18" t="n">
        <v>1</v>
      </c>
      <c r="D641" s="18" t="n">
        <v>390</v>
      </c>
      <c r="E641" s="18" t="n">
        <v>46</v>
      </c>
      <c r="F641" s="10">
        <f>IF($B641&gt;=Analysis!$P$1,IF($E641&lt;=Analysis!$P$2,"VIP","At risk"),IF($E641&lt;=Analysis!$P$2,"Loyal","Dormant"))</f>
        <v/>
      </c>
    </row>
    <row r="642">
      <c r="A642" s="10" t="inlineStr">
        <is>
          <t>C3640</t>
        </is>
      </c>
      <c r="B642" s="17" t="n">
        <v>1172139</v>
      </c>
      <c r="C642" s="18" t="n">
        <v>4</v>
      </c>
      <c r="D642" s="18" t="n">
        <v>5</v>
      </c>
      <c r="E642" s="18" t="n">
        <v>45</v>
      </c>
      <c r="F642" s="10">
        <f>IF($B642&gt;=Analysis!$P$1,IF($E642&lt;=Analysis!$P$2,"VIP","At risk"),IF($E642&lt;=Analysis!$P$2,"Loyal","Dormant"))</f>
        <v/>
      </c>
    </row>
    <row r="643">
      <c r="A643" s="10" t="inlineStr">
        <is>
          <t>C3641</t>
        </is>
      </c>
      <c r="B643" s="17" t="n">
        <v>1077684</v>
      </c>
      <c r="C643" s="18" t="n">
        <v>2</v>
      </c>
      <c r="D643" s="18" t="n">
        <v>434</v>
      </c>
      <c r="E643" s="18" t="n">
        <v>74</v>
      </c>
      <c r="F643" s="10">
        <f>IF($B643&gt;=Analysis!$P$1,IF($E643&lt;=Analysis!$P$2,"VIP","At risk"),IF($E643&lt;=Analysis!$P$2,"Loyal","Dormant"))</f>
        <v/>
      </c>
    </row>
    <row r="644">
      <c r="A644" s="10" t="inlineStr">
        <is>
          <t>C3642</t>
        </is>
      </c>
      <c r="B644" s="17" t="n">
        <v>931266</v>
      </c>
      <c r="C644" s="18" t="n">
        <v>6</v>
      </c>
      <c r="D644" s="18" t="n">
        <v>380</v>
      </c>
      <c r="E644" s="18" t="n">
        <v>97</v>
      </c>
      <c r="F644" s="10">
        <f>IF($B644&gt;=Analysis!$P$1,IF($E644&lt;=Analysis!$P$2,"VIP","At risk"),IF($E644&lt;=Analysis!$P$2,"Loyal","Dormant"))</f>
        <v/>
      </c>
    </row>
    <row r="645">
      <c r="A645" s="10" t="inlineStr">
        <is>
          <t>C3643</t>
        </is>
      </c>
      <c r="B645" s="17" t="n">
        <v>1168751</v>
      </c>
      <c r="C645" s="18" t="n">
        <v>7</v>
      </c>
      <c r="D645" s="18" t="n">
        <v>488</v>
      </c>
      <c r="E645" s="18" t="n">
        <v>41</v>
      </c>
      <c r="F645" s="10">
        <f>IF($B645&gt;=Analysis!$P$1,IF($E645&lt;=Analysis!$P$2,"VIP","At risk"),IF($E645&lt;=Analysis!$P$2,"Loyal","Dormant"))</f>
        <v/>
      </c>
    </row>
    <row r="646">
      <c r="A646" s="10" t="inlineStr">
        <is>
          <t>C3644</t>
        </is>
      </c>
      <c r="B646" s="17" t="n">
        <v>9143271</v>
      </c>
      <c r="C646" s="18" t="n">
        <v>20</v>
      </c>
      <c r="D646" s="18" t="n">
        <v>559</v>
      </c>
      <c r="E646" s="18" t="n">
        <v>11</v>
      </c>
      <c r="F646" s="10">
        <f>IF($B646&gt;=Analysis!$P$1,IF($E646&lt;=Analysis!$P$2,"VIP","At risk"),IF($E646&lt;=Analysis!$P$2,"Loyal","Dormant"))</f>
        <v/>
      </c>
    </row>
    <row r="647">
      <c r="A647" s="10" t="inlineStr">
        <is>
          <t>C3645</t>
        </is>
      </c>
      <c r="B647" s="17" t="n">
        <v>1073025</v>
      </c>
      <c r="C647" s="18" t="n">
        <v>4</v>
      </c>
      <c r="D647" s="18" t="n">
        <v>442</v>
      </c>
      <c r="E647" s="18" t="n">
        <v>82</v>
      </c>
      <c r="F647" s="10">
        <f>IF($B647&gt;=Analysis!$P$1,IF($E647&lt;=Analysis!$P$2,"VIP","At risk"),IF($E647&lt;=Analysis!$P$2,"Loyal","Dormant"))</f>
        <v/>
      </c>
    </row>
    <row r="648">
      <c r="A648" s="10" t="inlineStr">
        <is>
          <t>C3646</t>
        </is>
      </c>
      <c r="B648" s="17" t="n">
        <v>1361138</v>
      </c>
      <c r="C648" s="18" t="n">
        <v>11</v>
      </c>
      <c r="D648" s="18" t="n">
        <v>478</v>
      </c>
      <c r="E648" s="18" t="n">
        <v>15</v>
      </c>
      <c r="F648" s="10">
        <f>IF($B648&gt;=Analysis!$P$1,IF($E648&lt;=Analysis!$P$2,"VIP","At risk"),IF($E648&lt;=Analysis!$P$2,"Loyal","Dormant"))</f>
        <v/>
      </c>
    </row>
    <row r="649">
      <c r="A649" s="10" t="inlineStr">
        <is>
          <t>C3647</t>
        </is>
      </c>
      <c r="B649" s="17" t="n">
        <v>8348066</v>
      </c>
      <c r="C649" s="18" t="n">
        <v>18</v>
      </c>
      <c r="D649" s="18" t="n">
        <v>547</v>
      </c>
      <c r="E649" s="18" t="n">
        <v>5</v>
      </c>
      <c r="F649" s="10">
        <f>IF($B649&gt;=Analysis!$P$1,IF($E649&lt;=Analysis!$P$2,"VIP","At risk"),IF($E649&lt;=Analysis!$P$2,"Loyal","Dormant"))</f>
        <v/>
      </c>
    </row>
    <row r="650">
      <c r="A650" s="10" t="inlineStr">
        <is>
          <t>C3648</t>
        </is>
      </c>
      <c r="B650" s="17" t="n">
        <v>939253</v>
      </c>
      <c r="C650" s="18" t="n">
        <v>3</v>
      </c>
      <c r="D650" s="18" t="n">
        <v>74</v>
      </c>
      <c r="E650" s="18" t="n">
        <v>1</v>
      </c>
      <c r="F650" s="10">
        <f>IF($B650&gt;=Analysis!$P$1,IF($E650&lt;=Analysis!$P$2,"VIP","At risk"),IF($E650&lt;=Analysis!$P$2,"Loyal","Dormant"))</f>
        <v/>
      </c>
    </row>
    <row r="651">
      <c r="A651" s="10" t="inlineStr">
        <is>
          <t>C3649</t>
        </is>
      </c>
      <c r="B651" s="17" t="n">
        <v>2232826</v>
      </c>
      <c r="C651" s="18" t="n">
        <v>15</v>
      </c>
      <c r="D651" s="18" t="n">
        <v>274</v>
      </c>
      <c r="E651" s="18" t="n">
        <v>50</v>
      </c>
      <c r="F651" s="10">
        <f>IF($B651&gt;=Analysis!$P$1,IF($E651&lt;=Analysis!$P$2,"VIP","At risk"),IF($E651&lt;=Analysis!$P$2,"Loyal","Dormant"))</f>
        <v/>
      </c>
    </row>
    <row r="652">
      <c r="A652" s="10" t="inlineStr">
        <is>
          <t>C3650</t>
        </is>
      </c>
      <c r="B652" s="17" t="n">
        <v>10180376</v>
      </c>
      <c r="C652" s="18" t="n">
        <v>31</v>
      </c>
      <c r="D652" s="18" t="n">
        <v>637</v>
      </c>
      <c r="E652" s="18" t="n">
        <v>17</v>
      </c>
      <c r="F652" s="10">
        <f>IF($B652&gt;=Analysis!$P$1,IF($E652&lt;=Analysis!$P$2,"VIP","At risk"),IF($E652&lt;=Analysis!$P$2,"Loyal","Dormant"))</f>
        <v/>
      </c>
    </row>
    <row r="653">
      <c r="A653" s="10" t="inlineStr">
        <is>
          <t>C3651</t>
        </is>
      </c>
      <c r="B653" s="17" t="n">
        <v>1198121</v>
      </c>
      <c r="C653" s="18" t="n">
        <v>4</v>
      </c>
      <c r="D653" s="18" t="n">
        <v>142</v>
      </c>
      <c r="E653" s="18" t="n">
        <v>36</v>
      </c>
      <c r="F653" s="10">
        <f>IF($B653&gt;=Analysis!$P$1,IF($E653&lt;=Analysis!$P$2,"VIP","At risk"),IF($E653&lt;=Analysis!$P$2,"Loyal","Dormant"))</f>
        <v/>
      </c>
    </row>
    <row r="654">
      <c r="A654" s="10" t="inlineStr">
        <is>
          <t>C3652</t>
        </is>
      </c>
      <c r="B654" s="17" t="n">
        <v>1515515</v>
      </c>
      <c r="C654" s="18" t="n">
        <v>5</v>
      </c>
      <c r="D654" s="18" t="n">
        <v>30</v>
      </c>
      <c r="E654" s="18" t="n">
        <v>46</v>
      </c>
      <c r="F654" s="10">
        <f>IF($B654&gt;=Analysis!$P$1,IF($E654&lt;=Analysis!$P$2,"VIP","At risk"),IF($E654&lt;=Analysis!$P$2,"Loyal","Dormant"))</f>
        <v/>
      </c>
    </row>
    <row r="655">
      <c r="A655" s="10" t="inlineStr">
        <is>
          <t>C3653</t>
        </is>
      </c>
      <c r="B655" s="17" t="n">
        <v>1017708</v>
      </c>
      <c r="C655" s="18" t="n">
        <v>5</v>
      </c>
      <c r="D655" s="18" t="n">
        <v>298</v>
      </c>
      <c r="E655" s="18" t="n">
        <v>63</v>
      </c>
      <c r="F655" s="10">
        <f>IF($B655&gt;=Analysis!$P$1,IF($E655&lt;=Analysis!$P$2,"VIP","At risk"),IF($E655&lt;=Analysis!$P$2,"Loyal","Dormant"))</f>
        <v/>
      </c>
    </row>
    <row r="656">
      <c r="A656" s="10" t="inlineStr">
        <is>
          <t>C3654</t>
        </is>
      </c>
      <c r="B656" s="17" t="n">
        <v>2528513</v>
      </c>
      <c r="C656" s="18" t="n">
        <v>10</v>
      </c>
      <c r="D656" s="18" t="n">
        <v>493</v>
      </c>
      <c r="E656" s="18" t="n">
        <v>16</v>
      </c>
      <c r="F656" s="10">
        <f>IF($B656&gt;=Analysis!$P$1,IF($E656&lt;=Analysis!$P$2,"VIP","At risk"),IF($E656&lt;=Analysis!$P$2,"Loyal","Dormant"))</f>
        <v/>
      </c>
    </row>
    <row r="657">
      <c r="A657" s="10" t="inlineStr">
        <is>
          <t>C3655</t>
        </is>
      </c>
      <c r="B657" s="17" t="n">
        <v>1547732</v>
      </c>
      <c r="C657" s="18" t="n">
        <v>4</v>
      </c>
      <c r="D657" s="18" t="n">
        <v>238</v>
      </c>
      <c r="E657" s="18" t="n">
        <v>46</v>
      </c>
      <c r="F657" s="10">
        <f>IF($B657&gt;=Analysis!$P$1,IF($E657&lt;=Analysis!$P$2,"VIP","At risk"),IF($E657&lt;=Analysis!$P$2,"Loyal","Dormant"))</f>
        <v/>
      </c>
    </row>
    <row r="658">
      <c r="A658" s="10" t="inlineStr">
        <is>
          <t>C3656</t>
        </is>
      </c>
      <c r="B658" s="17" t="n">
        <v>1226191</v>
      </c>
      <c r="C658" s="18" t="n">
        <v>2</v>
      </c>
      <c r="D658" s="18" t="n">
        <v>10</v>
      </c>
      <c r="E658" s="18" t="n">
        <v>29</v>
      </c>
      <c r="F658" s="10">
        <f>IF($B658&gt;=Analysis!$P$1,IF($E658&lt;=Analysis!$P$2,"VIP","At risk"),IF($E658&lt;=Analysis!$P$2,"Loyal","Dormant"))</f>
        <v/>
      </c>
    </row>
    <row r="659">
      <c r="A659" s="10" t="inlineStr">
        <is>
          <t>C3657</t>
        </is>
      </c>
      <c r="B659" s="17" t="n">
        <v>1122962</v>
      </c>
      <c r="C659" s="18" t="n">
        <v>1</v>
      </c>
      <c r="D659" s="18" t="n">
        <v>21</v>
      </c>
      <c r="E659" s="18" t="n">
        <v>19</v>
      </c>
      <c r="F659" s="10">
        <f>IF($B659&gt;=Analysis!$P$1,IF($E659&lt;=Analysis!$P$2,"VIP","At risk"),IF($E659&lt;=Analysis!$P$2,"Loyal","Dormant"))</f>
        <v/>
      </c>
    </row>
    <row r="660">
      <c r="A660" s="10" t="inlineStr">
        <is>
          <t>C3658</t>
        </is>
      </c>
      <c r="B660" s="17" t="n">
        <v>663092</v>
      </c>
      <c r="C660" s="18" t="n">
        <v>3</v>
      </c>
      <c r="D660" s="18" t="n">
        <v>362</v>
      </c>
      <c r="E660" s="18" t="n">
        <v>20</v>
      </c>
      <c r="F660" s="10">
        <f>IF($B660&gt;=Analysis!$P$1,IF($E660&lt;=Analysis!$P$2,"VIP","At risk"),IF($E660&lt;=Analysis!$P$2,"Loyal","Dormant"))</f>
        <v/>
      </c>
    </row>
    <row r="661">
      <c r="A661" s="10" t="inlineStr">
        <is>
          <t>C3659</t>
        </is>
      </c>
      <c r="B661" s="17" t="n">
        <v>1989436</v>
      </c>
      <c r="C661" s="18" t="n">
        <v>6</v>
      </c>
      <c r="D661" s="18" t="n">
        <v>29</v>
      </c>
      <c r="E661" s="18" t="n">
        <v>20</v>
      </c>
      <c r="F661" s="10">
        <f>IF($B661&gt;=Analysis!$P$1,IF($E661&lt;=Analysis!$P$2,"VIP","At risk"),IF($E661&lt;=Analysis!$P$2,"Loyal","Dormant"))</f>
        <v/>
      </c>
    </row>
    <row r="662">
      <c r="A662" s="10" t="inlineStr">
        <is>
          <t>C3660</t>
        </is>
      </c>
      <c r="B662" s="17" t="n">
        <v>803797</v>
      </c>
      <c r="C662" s="18" t="n">
        <v>5</v>
      </c>
      <c r="D662" s="18" t="n">
        <v>228</v>
      </c>
      <c r="E662" s="18" t="n">
        <v>69</v>
      </c>
      <c r="F662" s="10">
        <f>IF($B662&gt;=Analysis!$P$1,IF($E662&lt;=Analysis!$P$2,"VIP","At risk"),IF($E662&lt;=Analysis!$P$2,"Loyal","Dormant"))</f>
        <v/>
      </c>
    </row>
    <row r="663">
      <c r="A663" s="10" t="inlineStr">
        <is>
          <t>C3661</t>
        </is>
      </c>
      <c r="B663" s="17" t="n">
        <v>794989</v>
      </c>
      <c r="C663" s="18" t="n">
        <v>5</v>
      </c>
      <c r="D663" s="18" t="n">
        <v>353</v>
      </c>
      <c r="E663" s="18" t="n">
        <v>58</v>
      </c>
      <c r="F663" s="10">
        <f>IF($B663&gt;=Analysis!$P$1,IF($E663&lt;=Analysis!$P$2,"VIP","At risk"),IF($E663&lt;=Analysis!$P$2,"Loyal","Dormant"))</f>
        <v/>
      </c>
    </row>
    <row r="664">
      <c r="A664" s="10" t="inlineStr">
        <is>
          <t>C3662</t>
        </is>
      </c>
      <c r="B664" s="17" t="n">
        <v>3145461</v>
      </c>
      <c r="C664" s="18" t="n">
        <v>15</v>
      </c>
      <c r="D664" s="18" t="n">
        <v>547</v>
      </c>
      <c r="E664" s="18" t="n">
        <v>35</v>
      </c>
      <c r="F664" s="10">
        <f>IF($B664&gt;=Analysis!$P$1,IF($E664&lt;=Analysis!$P$2,"VIP","At risk"),IF($E664&lt;=Analysis!$P$2,"Loyal","Dormant"))</f>
        <v/>
      </c>
    </row>
    <row r="665">
      <c r="A665" s="10" t="inlineStr">
        <is>
          <t>C3663</t>
        </is>
      </c>
      <c r="B665" s="17" t="n">
        <v>0</v>
      </c>
      <c r="C665" s="18" t="n">
        <v>6</v>
      </c>
      <c r="D665" s="18" t="n">
        <v>6</v>
      </c>
      <c r="E665" s="18" t="n">
        <v>20</v>
      </c>
      <c r="F665" s="10">
        <f>IF($B665&gt;=Analysis!$P$1,IF($E665&lt;=Analysis!$P$2,"VIP","At risk"),IF($E665&lt;=Analysis!$P$2,"Loyal","Dormant"))</f>
        <v/>
      </c>
    </row>
    <row r="666">
      <c r="A666" s="10" t="inlineStr">
        <is>
          <t>C3664</t>
        </is>
      </c>
      <c r="B666" s="17" t="n">
        <v>3210942</v>
      </c>
      <c r="C666" s="18" t="n">
        <v>15</v>
      </c>
      <c r="D666" s="18" t="n">
        <v>433</v>
      </c>
      <c r="E666" s="18" t="n">
        <v>38</v>
      </c>
      <c r="F666" s="10">
        <f>IF($B666&gt;=Analysis!$P$1,IF($E666&lt;=Analysis!$P$2,"VIP","At risk"),IF($E666&lt;=Analysis!$P$2,"Loyal","Dormant"))</f>
        <v/>
      </c>
    </row>
    <row r="667">
      <c r="A667" s="10" t="inlineStr">
        <is>
          <t>C3665</t>
        </is>
      </c>
      <c r="B667" s="17" t="n">
        <v>592827</v>
      </c>
      <c r="C667" s="18" t="n">
        <v>4</v>
      </c>
      <c r="D667" s="18" t="n">
        <v>359</v>
      </c>
      <c r="E667" s="18" t="n">
        <v>50</v>
      </c>
      <c r="F667" s="10">
        <f>IF($B667&gt;=Analysis!$P$1,IF($E667&lt;=Analysis!$P$2,"VIP","At risk"),IF($E667&lt;=Analysis!$P$2,"Loyal","Dormant"))</f>
        <v/>
      </c>
    </row>
    <row r="668">
      <c r="A668" s="10" t="inlineStr">
        <is>
          <t>C3666</t>
        </is>
      </c>
      <c r="B668" s="17" t="n">
        <v>3356227</v>
      </c>
      <c r="C668" s="18" t="n">
        <v>11</v>
      </c>
      <c r="D668" s="18" t="n">
        <v>451</v>
      </c>
      <c r="E668" s="18" t="n">
        <v>41</v>
      </c>
      <c r="F668" s="10">
        <f>IF($B668&gt;=Analysis!$P$1,IF($E668&lt;=Analysis!$P$2,"VIP","At risk"),IF($E668&lt;=Analysis!$P$2,"Loyal","Dormant"))</f>
        <v/>
      </c>
    </row>
    <row r="669">
      <c r="A669" s="10" t="inlineStr">
        <is>
          <t>C3667</t>
        </is>
      </c>
      <c r="B669" s="17" t="n">
        <v>1059709</v>
      </c>
      <c r="C669" s="18" t="n">
        <v>3</v>
      </c>
      <c r="D669" s="18" t="n">
        <v>21</v>
      </c>
      <c r="E669" s="18" t="n">
        <v>53</v>
      </c>
      <c r="F669" s="10">
        <f>IF($B669&gt;=Analysis!$P$1,IF($E669&lt;=Analysis!$P$2,"VIP","At risk"),IF($E669&lt;=Analysis!$P$2,"Loyal","Dormant"))</f>
        <v/>
      </c>
    </row>
    <row r="670">
      <c r="A670" s="10" t="inlineStr">
        <is>
          <t>C3668</t>
        </is>
      </c>
      <c r="B670" s="17" t="n">
        <v>1629749</v>
      </c>
      <c r="C670" s="18" t="n">
        <v>2</v>
      </c>
      <c r="D670" s="18" t="n">
        <v>60</v>
      </c>
      <c r="E670" s="18" t="n">
        <v>1</v>
      </c>
      <c r="F670" s="10">
        <f>IF($B670&gt;=Analysis!$P$1,IF($E670&lt;=Analysis!$P$2,"VIP","At risk"),IF($E670&lt;=Analysis!$P$2,"Loyal","Dormant"))</f>
        <v/>
      </c>
    </row>
    <row r="671">
      <c r="A671" s="10" t="inlineStr">
        <is>
          <t>C3669</t>
        </is>
      </c>
      <c r="B671" s="17" t="n">
        <v>303657</v>
      </c>
      <c r="C671" s="18" t="n">
        <v>7</v>
      </c>
      <c r="D671" s="18" t="n">
        <v>282</v>
      </c>
      <c r="E671" s="18" t="n">
        <v>19</v>
      </c>
      <c r="F671" s="10">
        <f>IF($B671&gt;=Analysis!$P$1,IF($E671&lt;=Analysis!$P$2,"VIP","At risk"),IF($E671&lt;=Analysis!$P$2,"Loyal","Dormant"))</f>
        <v/>
      </c>
    </row>
    <row r="672">
      <c r="A672" s="10" t="inlineStr">
        <is>
          <t>C3670</t>
        </is>
      </c>
      <c r="B672" s="17" t="n">
        <v>8677669</v>
      </c>
      <c r="C672" s="18" t="n">
        <v>44</v>
      </c>
      <c r="D672" s="18" t="n">
        <v>631</v>
      </c>
      <c r="E672" s="18" t="n">
        <v>10</v>
      </c>
      <c r="F672" s="10">
        <f>IF($B672&gt;=Analysis!$P$1,IF($E672&lt;=Analysis!$P$2,"VIP","At risk"),IF($E672&lt;=Analysis!$P$2,"Loyal","Dormant"))</f>
        <v/>
      </c>
    </row>
    <row r="673">
      <c r="A673" s="10" t="inlineStr">
        <is>
          <t>C3671</t>
        </is>
      </c>
      <c r="B673" s="17" t="n">
        <v>4379440</v>
      </c>
      <c r="C673" s="18" t="n">
        <v>20</v>
      </c>
      <c r="D673" s="18" t="n">
        <v>394</v>
      </c>
      <c r="E673" s="18" t="n">
        <v>28</v>
      </c>
      <c r="F673" s="10">
        <f>IF($B673&gt;=Analysis!$P$1,IF($E673&lt;=Analysis!$P$2,"VIP","At risk"),IF($E673&lt;=Analysis!$P$2,"Loyal","Dormant"))</f>
        <v/>
      </c>
    </row>
    <row r="674">
      <c r="A674" s="10" t="inlineStr">
        <is>
          <t>C3672</t>
        </is>
      </c>
      <c r="B674" s="17" t="n">
        <v>4183492</v>
      </c>
      <c r="C674" s="18" t="n">
        <v>22</v>
      </c>
      <c r="D674" s="18" t="n">
        <v>316</v>
      </c>
      <c r="E674" s="18" t="n">
        <v>16</v>
      </c>
      <c r="F674" s="10">
        <f>IF($B674&gt;=Analysis!$P$1,IF($E674&lt;=Analysis!$P$2,"VIP","At risk"),IF($E674&lt;=Analysis!$P$2,"Loyal","Dormant"))</f>
        <v/>
      </c>
    </row>
    <row r="675">
      <c r="A675" s="10" t="inlineStr">
        <is>
          <t>C3673</t>
        </is>
      </c>
      <c r="B675" s="17" t="n">
        <v>3449042</v>
      </c>
      <c r="C675" s="18" t="n">
        <v>19</v>
      </c>
      <c r="D675" s="18" t="n">
        <v>368</v>
      </c>
      <c r="E675" s="18" t="n">
        <v>24</v>
      </c>
      <c r="F675" s="10">
        <f>IF($B675&gt;=Analysis!$P$1,IF($E675&lt;=Analysis!$P$2,"VIP","At risk"),IF($E675&lt;=Analysis!$P$2,"Loyal","Dormant"))</f>
        <v/>
      </c>
    </row>
    <row r="676">
      <c r="A676" s="10" t="inlineStr">
        <is>
          <t>C3674</t>
        </is>
      </c>
      <c r="B676" s="17" t="n">
        <v>197614</v>
      </c>
      <c r="C676" s="18" t="n">
        <v>1</v>
      </c>
      <c r="D676" s="18" t="n">
        <v>292</v>
      </c>
      <c r="E676" s="18" t="n">
        <v>52</v>
      </c>
      <c r="F676" s="10">
        <f>IF($B676&gt;=Analysis!$P$1,IF($E676&lt;=Analysis!$P$2,"VIP","At risk"),IF($E676&lt;=Analysis!$P$2,"Loyal","Dormant"))</f>
        <v/>
      </c>
    </row>
    <row r="677">
      <c r="A677" s="10" t="inlineStr">
        <is>
          <t>C3675</t>
        </is>
      </c>
      <c r="B677" s="17" t="n">
        <v>762044</v>
      </c>
      <c r="C677" s="18" t="n">
        <v>6</v>
      </c>
      <c r="D677" s="18" t="n">
        <v>132</v>
      </c>
      <c r="E677" s="18" t="n">
        <v>65</v>
      </c>
      <c r="F677" s="10">
        <f>IF($B677&gt;=Analysis!$P$1,IF($E677&lt;=Analysis!$P$2,"VIP","At risk"),IF($E677&lt;=Analysis!$P$2,"Loyal","Dormant"))</f>
        <v/>
      </c>
    </row>
    <row r="678">
      <c r="A678" s="10" t="inlineStr">
        <is>
          <t>C3676</t>
        </is>
      </c>
      <c r="B678" s="17" t="n">
        <v>1168689</v>
      </c>
      <c r="C678" s="18" t="n">
        <v>4</v>
      </c>
      <c r="D678" s="18" t="n">
        <v>5</v>
      </c>
      <c r="E678" s="18" t="n">
        <v>7</v>
      </c>
      <c r="F678" s="10">
        <f>IF($B678&gt;=Analysis!$P$1,IF($E678&lt;=Analysis!$P$2,"VIP","At risk"),IF($E678&lt;=Analysis!$P$2,"Loyal","Dormant"))</f>
        <v/>
      </c>
    </row>
    <row r="679">
      <c r="A679" s="10" t="inlineStr">
        <is>
          <t>C3677</t>
        </is>
      </c>
      <c r="B679" s="17" t="n">
        <v>493253</v>
      </c>
      <c r="C679" s="18" t="n">
        <v>5</v>
      </c>
      <c r="D679" s="18" t="n">
        <v>317</v>
      </c>
      <c r="E679" s="18" t="n">
        <v>110</v>
      </c>
      <c r="F679" s="10">
        <f>IF($B679&gt;=Analysis!$P$1,IF($E679&lt;=Analysis!$P$2,"VIP","At risk"),IF($E679&lt;=Analysis!$P$2,"Loyal","Dormant"))</f>
        <v/>
      </c>
    </row>
    <row r="680">
      <c r="A680" s="10" t="inlineStr">
        <is>
          <t>C3678</t>
        </is>
      </c>
      <c r="B680" s="17" t="n">
        <v>680443</v>
      </c>
      <c r="C680" s="18" t="n">
        <v>7</v>
      </c>
      <c r="D680" s="18" t="n">
        <v>515</v>
      </c>
      <c r="E680" s="18" t="n">
        <v>99</v>
      </c>
      <c r="F680" s="10">
        <f>IF($B680&gt;=Analysis!$P$1,IF($E680&lt;=Analysis!$P$2,"VIP","At risk"),IF($E680&lt;=Analysis!$P$2,"Loyal","Dormant"))</f>
        <v/>
      </c>
    </row>
    <row r="681">
      <c r="A681" s="10" t="inlineStr">
        <is>
          <t>C3679</t>
        </is>
      </c>
      <c r="B681" s="17" t="n">
        <v>530847</v>
      </c>
      <c r="C681" s="18" t="n">
        <v>6</v>
      </c>
      <c r="D681" s="18" t="n">
        <v>64</v>
      </c>
      <c r="E681" s="18" t="n">
        <v>44</v>
      </c>
      <c r="F681" s="10">
        <f>IF($B681&gt;=Analysis!$P$1,IF($E681&lt;=Analysis!$P$2,"VIP","At risk"),IF($E681&lt;=Analysis!$P$2,"Loyal","Dormant"))</f>
        <v/>
      </c>
    </row>
    <row r="682">
      <c r="A682" s="10" t="inlineStr">
        <is>
          <t>C3680</t>
        </is>
      </c>
      <c r="B682" s="17" t="n">
        <v>1064657</v>
      </c>
      <c r="C682" s="18" t="n">
        <v>3</v>
      </c>
      <c r="D682" s="18" t="n">
        <v>8</v>
      </c>
      <c r="E682" s="18" t="n">
        <v>28</v>
      </c>
      <c r="F682" s="10">
        <f>IF($B682&gt;=Analysis!$P$1,IF($E682&lt;=Analysis!$P$2,"VIP","At risk"),IF($E682&lt;=Analysis!$P$2,"Loyal","Dormant"))</f>
        <v/>
      </c>
    </row>
    <row r="683">
      <c r="A683" s="10" t="inlineStr">
        <is>
          <t>C3681</t>
        </is>
      </c>
      <c r="B683" s="17" t="n">
        <v>0</v>
      </c>
      <c r="C683" s="18" t="n">
        <v>6</v>
      </c>
      <c r="D683" s="18" t="n">
        <v>46</v>
      </c>
      <c r="E683" s="18" t="n">
        <v>5</v>
      </c>
      <c r="F683" s="10">
        <f>IF($B683&gt;=Analysis!$P$1,IF($E683&lt;=Analysis!$P$2,"VIP","At risk"),IF($E683&lt;=Analysis!$P$2,"Loyal","Dormant"))</f>
        <v/>
      </c>
    </row>
    <row r="684">
      <c r="A684" s="10" t="inlineStr">
        <is>
          <t>C3682</t>
        </is>
      </c>
      <c r="B684" s="17" t="n">
        <v>665113</v>
      </c>
      <c r="C684" s="18" t="n">
        <v>4</v>
      </c>
      <c r="D684" s="18" t="n">
        <v>110</v>
      </c>
      <c r="E684" s="18" t="n">
        <v>80</v>
      </c>
      <c r="F684" s="10">
        <f>IF($B684&gt;=Analysis!$P$1,IF($E684&lt;=Analysis!$P$2,"VIP","At risk"),IF($E684&lt;=Analysis!$P$2,"Loyal","Dormant"))</f>
        <v/>
      </c>
    </row>
    <row r="685">
      <c r="A685" s="10" t="inlineStr">
        <is>
          <t>C3683</t>
        </is>
      </c>
      <c r="B685" s="17" t="n">
        <v>954249</v>
      </c>
      <c r="C685" s="18" t="n">
        <v>3</v>
      </c>
      <c r="D685" s="18" t="n">
        <v>361</v>
      </c>
      <c r="E685" s="18" t="n">
        <v>58</v>
      </c>
      <c r="F685" s="10">
        <f>IF($B685&gt;=Analysis!$P$1,IF($E685&lt;=Analysis!$P$2,"VIP","At risk"),IF($E685&lt;=Analysis!$P$2,"Loyal","Dormant"))</f>
        <v/>
      </c>
    </row>
    <row r="686">
      <c r="A686" s="10" t="inlineStr">
        <is>
          <t>C3684</t>
        </is>
      </c>
      <c r="B686" s="17" t="n">
        <v>853740</v>
      </c>
      <c r="C686" s="18" t="n">
        <v>10</v>
      </c>
      <c r="D686" s="18" t="n">
        <v>380</v>
      </c>
      <c r="E686" s="18" t="n">
        <v>87</v>
      </c>
      <c r="F686" s="10">
        <f>IF($B686&gt;=Analysis!$P$1,IF($E686&lt;=Analysis!$P$2,"VIP","At risk"),IF($E686&lt;=Analysis!$P$2,"Loyal","Dormant"))</f>
        <v/>
      </c>
    </row>
    <row r="687">
      <c r="A687" s="10" t="inlineStr">
        <is>
          <t>C3685</t>
        </is>
      </c>
      <c r="B687" s="17" t="n">
        <v>1177390</v>
      </c>
      <c r="C687" s="18" t="n">
        <v>3</v>
      </c>
      <c r="D687" s="18" t="n">
        <v>369</v>
      </c>
      <c r="E687" s="18" t="n">
        <v>59</v>
      </c>
      <c r="F687" s="10">
        <f>IF($B687&gt;=Analysis!$P$1,IF($E687&lt;=Analysis!$P$2,"VIP","At risk"),IF($E687&lt;=Analysis!$P$2,"Loyal","Dormant"))</f>
        <v/>
      </c>
    </row>
    <row r="688">
      <c r="A688" s="10" t="inlineStr">
        <is>
          <t>C3686</t>
        </is>
      </c>
      <c r="B688" s="17" t="n">
        <v>1115882</v>
      </c>
      <c r="C688" s="18" t="n">
        <v>1</v>
      </c>
      <c r="D688" s="18" t="n">
        <v>599</v>
      </c>
      <c r="E688" s="18" t="n">
        <v>49</v>
      </c>
      <c r="F688" s="10">
        <f>IF($B688&gt;=Analysis!$P$1,IF($E688&lt;=Analysis!$P$2,"VIP","At risk"),IF($E688&lt;=Analysis!$P$2,"Loyal","Dormant"))</f>
        <v/>
      </c>
    </row>
    <row r="689">
      <c r="A689" s="10" t="inlineStr">
        <is>
          <t>C3687</t>
        </is>
      </c>
      <c r="B689" s="17" t="n">
        <v>1283259</v>
      </c>
      <c r="C689" s="18" t="n">
        <v>1</v>
      </c>
      <c r="D689" s="18" t="n">
        <v>138</v>
      </c>
      <c r="E689" s="18" t="n">
        <v>36</v>
      </c>
      <c r="F689" s="10">
        <f>IF($B689&gt;=Analysis!$P$1,IF($E689&lt;=Analysis!$P$2,"VIP","At risk"),IF($E689&lt;=Analysis!$P$2,"Loyal","Dormant"))</f>
        <v/>
      </c>
    </row>
    <row r="690">
      <c r="A690" s="10" t="inlineStr">
        <is>
          <t>C3688</t>
        </is>
      </c>
      <c r="B690" s="17" t="n">
        <v>3578622</v>
      </c>
      <c r="C690" s="18" t="n">
        <v>15</v>
      </c>
      <c r="D690" s="18" t="n">
        <v>289</v>
      </c>
      <c r="E690" s="18" t="n">
        <v>29</v>
      </c>
      <c r="F690" s="10">
        <f>IF($B690&gt;=Analysis!$P$1,IF($E690&lt;=Analysis!$P$2,"VIP","At risk"),IF($E690&lt;=Analysis!$P$2,"Loyal","Dormant"))</f>
        <v/>
      </c>
    </row>
    <row r="691">
      <c r="A691" s="10" t="inlineStr">
        <is>
          <t>C3689</t>
        </is>
      </c>
      <c r="B691" s="17" t="n">
        <v>5256477</v>
      </c>
      <c r="C691" s="18" t="n">
        <v>16</v>
      </c>
      <c r="D691" s="18" t="n">
        <v>47</v>
      </c>
      <c r="E691" s="18" t="n">
        <v>22</v>
      </c>
      <c r="F691" s="10">
        <f>IF($B691&gt;=Analysis!$P$1,IF($E691&lt;=Analysis!$P$2,"VIP","At risk"),IF($E691&lt;=Analysis!$P$2,"Loyal","Dormant"))</f>
        <v/>
      </c>
    </row>
    <row r="692">
      <c r="A692" s="10" t="inlineStr">
        <is>
          <t>C3690</t>
        </is>
      </c>
      <c r="B692" s="17" t="n">
        <v>1632606</v>
      </c>
      <c r="C692" s="18" t="n">
        <v>1</v>
      </c>
      <c r="D692" s="18" t="n">
        <v>106</v>
      </c>
      <c r="E692" s="18" t="n">
        <v>14</v>
      </c>
      <c r="F692" s="10">
        <f>IF($B692&gt;=Analysis!$P$1,IF($E692&lt;=Analysis!$P$2,"VIP","At risk"),IF($E692&lt;=Analysis!$P$2,"Loyal","Dormant"))</f>
        <v/>
      </c>
    </row>
    <row r="693">
      <c r="A693" s="10" t="inlineStr">
        <is>
          <t>C3691</t>
        </is>
      </c>
      <c r="B693" s="17" t="n">
        <v>0</v>
      </c>
      <c r="C693" s="18" t="n">
        <v>3</v>
      </c>
      <c r="D693" s="18" t="n">
        <v>435</v>
      </c>
      <c r="E693" s="18" t="n">
        <v>89</v>
      </c>
      <c r="F693" s="10">
        <f>IF($B693&gt;=Analysis!$P$1,IF($E693&lt;=Analysis!$P$2,"VIP","At risk"),IF($E693&lt;=Analysis!$P$2,"Loyal","Dormant"))</f>
        <v/>
      </c>
    </row>
    <row r="694">
      <c r="A694" s="10" t="inlineStr">
        <is>
          <t>C3692</t>
        </is>
      </c>
      <c r="B694" s="17" t="n">
        <v>8520130</v>
      </c>
      <c r="C694" s="18" t="n">
        <v>33</v>
      </c>
      <c r="D694" s="18" t="n">
        <v>590</v>
      </c>
      <c r="E694" s="18" t="n">
        <v>29</v>
      </c>
      <c r="F694" s="10">
        <f>IF($B694&gt;=Analysis!$P$1,IF($E694&lt;=Analysis!$P$2,"VIP","At risk"),IF($E694&lt;=Analysis!$P$2,"Loyal","Dormant"))</f>
        <v/>
      </c>
    </row>
    <row r="695">
      <c r="A695" s="10" t="inlineStr">
        <is>
          <t>C3693</t>
        </is>
      </c>
      <c r="B695" s="17" t="n">
        <v>3812399</v>
      </c>
      <c r="C695" s="18" t="n">
        <v>13</v>
      </c>
      <c r="D695" s="18" t="n">
        <v>661</v>
      </c>
      <c r="E695" s="18" t="n">
        <v>36</v>
      </c>
      <c r="F695" s="10">
        <f>IF($B695&gt;=Analysis!$P$1,IF($E695&lt;=Analysis!$P$2,"VIP","At risk"),IF($E695&lt;=Analysis!$P$2,"Loyal","Dormant"))</f>
        <v/>
      </c>
    </row>
    <row r="696">
      <c r="A696" s="10" t="inlineStr">
        <is>
          <t>C3694</t>
        </is>
      </c>
      <c r="B696" s="17" t="n">
        <v>4206371</v>
      </c>
      <c r="C696" s="18" t="n">
        <v>12</v>
      </c>
      <c r="D696" s="18" t="n">
        <v>248</v>
      </c>
      <c r="E696" s="18" t="n">
        <v>39</v>
      </c>
      <c r="F696" s="10">
        <f>IF($B696&gt;=Analysis!$P$1,IF($E696&lt;=Analysis!$P$2,"VIP","At risk"),IF($E696&lt;=Analysis!$P$2,"Loyal","Dormant"))</f>
        <v/>
      </c>
    </row>
    <row r="697">
      <c r="A697" s="10" t="inlineStr">
        <is>
          <t>C3695</t>
        </is>
      </c>
      <c r="B697" s="17" t="n">
        <v>1146457</v>
      </c>
      <c r="C697" s="18" t="n">
        <v>2</v>
      </c>
      <c r="D697" s="18" t="n">
        <v>454</v>
      </c>
      <c r="E697" s="18" t="n">
        <v>116</v>
      </c>
      <c r="F697" s="10">
        <f>IF($B697&gt;=Analysis!$P$1,IF($E697&lt;=Analysis!$P$2,"VIP","At risk"),IF($E697&lt;=Analysis!$P$2,"Loyal","Dormant"))</f>
        <v/>
      </c>
    </row>
    <row r="698">
      <c r="A698" s="10" t="inlineStr">
        <is>
          <t>C3696</t>
        </is>
      </c>
      <c r="B698" s="17" t="n">
        <v>1245027</v>
      </c>
      <c r="C698" s="18" t="n">
        <v>2</v>
      </c>
      <c r="D698" s="18" t="n">
        <v>357</v>
      </c>
      <c r="E698" s="18" t="n">
        <v>40</v>
      </c>
      <c r="F698" s="10">
        <f>IF($B698&gt;=Analysis!$P$1,IF($E698&lt;=Analysis!$P$2,"VIP","At risk"),IF($E698&lt;=Analysis!$P$2,"Loyal","Dormant"))</f>
        <v/>
      </c>
    </row>
    <row r="699">
      <c r="A699" s="10" t="inlineStr">
        <is>
          <t>C3697</t>
        </is>
      </c>
      <c r="B699" s="17" t="n">
        <v>3812997</v>
      </c>
      <c r="C699" s="18" t="n">
        <v>14</v>
      </c>
      <c r="D699" s="18" t="n">
        <v>262</v>
      </c>
      <c r="E699" s="18" t="n">
        <v>20</v>
      </c>
      <c r="F699" s="10">
        <f>IF($B699&gt;=Analysis!$P$1,IF($E699&lt;=Analysis!$P$2,"VIP","At risk"),IF($E699&lt;=Analysis!$P$2,"Loyal","Dormant"))</f>
        <v/>
      </c>
    </row>
    <row r="700">
      <c r="A700" s="10" t="inlineStr">
        <is>
          <t>C3698</t>
        </is>
      </c>
      <c r="B700" s="17" t="n">
        <v>11653452</v>
      </c>
      <c r="C700" s="18" t="n">
        <v>38</v>
      </c>
      <c r="D700" s="18" t="n">
        <v>654</v>
      </c>
      <c r="E700" s="18" t="n">
        <v>1</v>
      </c>
      <c r="F700" s="10">
        <f>IF($B700&gt;=Analysis!$P$1,IF($E700&lt;=Analysis!$P$2,"VIP","At risk"),IF($E700&lt;=Analysis!$P$2,"Loyal","Dormant"))</f>
        <v/>
      </c>
    </row>
    <row r="701">
      <c r="A701" s="10" t="inlineStr">
        <is>
          <t>C3699</t>
        </is>
      </c>
      <c r="B701" s="17" t="n">
        <v>7619435</v>
      </c>
      <c r="C701" s="18" t="n">
        <v>26</v>
      </c>
      <c r="D701" s="18" t="n">
        <v>699</v>
      </c>
      <c r="E701" s="18" t="n">
        <v>25</v>
      </c>
      <c r="F701" s="10">
        <f>IF($B701&gt;=Analysis!$P$1,IF($E701&lt;=Analysis!$P$2,"VIP","At risk"),IF($E701&lt;=Analysis!$P$2,"Loyal","Dormant"))</f>
        <v/>
      </c>
    </row>
    <row r="702">
      <c r="A702" s="10" t="inlineStr">
        <is>
          <t>C3700</t>
        </is>
      </c>
      <c r="B702" s="17" t="n">
        <v>2857222</v>
      </c>
      <c r="C702" s="18" t="n">
        <v>4</v>
      </c>
      <c r="D702" s="18" t="n">
        <v>114</v>
      </c>
      <c r="E702" s="18" t="n">
        <v>26</v>
      </c>
      <c r="F702" s="10">
        <f>IF($B702&gt;=Analysis!$P$1,IF($E702&lt;=Analysis!$P$2,"VIP","At risk"),IF($E702&lt;=Analysis!$P$2,"Loyal","Dormant"))</f>
        <v/>
      </c>
    </row>
    <row r="703">
      <c r="A703" s="10" t="inlineStr">
        <is>
          <t>C3701</t>
        </is>
      </c>
      <c r="B703" s="17" t="n">
        <v>525728</v>
      </c>
      <c r="C703" s="18" t="n">
        <v>2</v>
      </c>
      <c r="D703" s="18" t="n">
        <v>5</v>
      </c>
      <c r="E703" s="18" t="n">
        <v>27</v>
      </c>
      <c r="F703" s="10">
        <f>IF($B703&gt;=Analysis!$P$1,IF($E703&lt;=Analysis!$P$2,"VIP","At risk"),IF($E703&lt;=Analysis!$P$2,"Loyal","Dormant"))</f>
        <v/>
      </c>
    </row>
    <row r="704">
      <c r="A704" s="10" t="inlineStr">
        <is>
          <t>C3702</t>
        </is>
      </c>
      <c r="B704" s="17" t="n">
        <v>1880257</v>
      </c>
      <c r="C704" s="18" t="n">
        <v>2</v>
      </c>
      <c r="D704" s="18" t="n">
        <v>311</v>
      </c>
      <c r="E704" s="18" t="n">
        <v>2</v>
      </c>
      <c r="F704" s="10">
        <f>IF($B704&gt;=Analysis!$P$1,IF($E704&lt;=Analysis!$P$2,"VIP","At risk"),IF($E704&lt;=Analysis!$P$2,"Loyal","Dormant"))</f>
        <v/>
      </c>
    </row>
    <row r="705">
      <c r="A705" s="10" t="inlineStr">
        <is>
          <t>C3703</t>
        </is>
      </c>
      <c r="B705" s="17" t="n">
        <v>3939211</v>
      </c>
      <c r="C705" s="18" t="n">
        <v>13</v>
      </c>
      <c r="D705" s="18" t="n">
        <v>47</v>
      </c>
      <c r="E705" s="18" t="n">
        <v>3</v>
      </c>
      <c r="F705" s="10">
        <f>IF($B705&gt;=Analysis!$P$1,IF($E705&lt;=Analysis!$P$2,"VIP","At risk"),IF($E705&lt;=Analysis!$P$2,"Loyal","Dormant"))</f>
        <v/>
      </c>
    </row>
    <row r="706">
      <c r="A706" s="10" t="inlineStr">
        <is>
          <t>C3704</t>
        </is>
      </c>
      <c r="B706" s="17" t="n">
        <v>4627169</v>
      </c>
      <c r="C706" s="18" t="n">
        <v>14</v>
      </c>
      <c r="D706" s="18" t="n">
        <v>371</v>
      </c>
      <c r="E706" s="18" t="n">
        <v>29</v>
      </c>
      <c r="F706" s="10">
        <f>IF($B706&gt;=Analysis!$P$1,IF($E706&lt;=Analysis!$P$2,"VIP","At risk"),IF($E706&lt;=Analysis!$P$2,"Loyal","Dormant"))</f>
        <v/>
      </c>
    </row>
    <row r="707">
      <c r="A707" s="10" t="inlineStr">
        <is>
          <t>C3705</t>
        </is>
      </c>
      <c r="B707" s="17" t="n">
        <v>584992</v>
      </c>
      <c r="C707" s="18" t="n">
        <v>5</v>
      </c>
      <c r="D707" s="18" t="n">
        <v>368</v>
      </c>
      <c r="E707" s="18" t="n">
        <v>53</v>
      </c>
      <c r="F707" s="10">
        <f>IF($B707&gt;=Analysis!$P$1,IF($E707&lt;=Analysis!$P$2,"VIP","At risk"),IF($E707&lt;=Analysis!$P$2,"Loyal","Dormant"))</f>
        <v/>
      </c>
    </row>
    <row r="708">
      <c r="A708" s="10" t="inlineStr">
        <is>
          <t>C3706</t>
        </is>
      </c>
      <c r="B708" s="17" t="n">
        <v>700435</v>
      </c>
      <c r="C708" s="18" t="n">
        <v>4</v>
      </c>
      <c r="D708" s="18" t="n">
        <v>120</v>
      </c>
      <c r="E708" s="18" t="n">
        <v>51</v>
      </c>
      <c r="F708" s="10">
        <f>IF($B708&gt;=Analysis!$P$1,IF($E708&lt;=Analysis!$P$2,"VIP","At risk"),IF($E708&lt;=Analysis!$P$2,"Loyal","Dormant"))</f>
        <v/>
      </c>
    </row>
    <row r="709">
      <c r="A709" s="10" t="inlineStr">
        <is>
          <t>C3707</t>
        </is>
      </c>
      <c r="B709" s="17" t="n">
        <v>903509</v>
      </c>
      <c r="C709" s="18" t="n">
        <v>4</v>
      </c>
      <c r="D709" s="18" t="n">
        <v>144</v>
      </c>
      <c r="E709" s="18" t="n">
        <v>63</v>
      </c>
      <c r="F709" s="10">
        <f>IF($B709&gt;=Analysis!$P$1,IF($E709&lt;=Analysis!$P$2,"VIP","At risk"),IF($E709&lt;=Analysis!$P$2,"Loyal","Dormant"))</f>
        <v/>
      </c>
    </row>
    <row r="710">
      <c r="A710" s="10" t="inlineStr">
        <is>
          <t>C3708</t>
        </is>
      </c>
      <c r="B710" s="17" t="n">
        <v>0</v>
      </c>
      <c r="C710" s="18" t="n">
        <v>6</v>
      </c>
      <c r="D710" s="18" t="n">
        <v>226</v>
      </c>
      <c r="E710" s="18" t="n">
        <v>158</v>
      </c>
      <c r="F710" s="10">
        <f>IF($B710&gt;=Analysis!$P$1,IF($E710&lt;=Analysis!$P$2,"VIP","At risk"),IF($E710&lt;=Analysis!$P$2,"Loyal","Dormant"))</f>
        <v/>
      </c>
    </row>
    <row r="711">
      <c r="A711" s="10" t="inlineStr">
        <is>
          <t>C3709</t>
        </is>
      </c>
      <c r="B711" s="17" t="n">
        <v>932642</v>
      </c>
      <c r="C711" s="18" t="n">
        <v>4</v>
      </c>
      <c r="D711" s="18" t="n">
        <v>323</v>
      </c>
      <c r="E711" s="18" t="n">
        <v>182</v>
      </c>
      <c r="F711" s="10">
        <f>IF($B711&gt;=Analysis!$P$1,IF($E711&lt;=Analysis!$P$2,"VIP","At risk"),IF($E711&lt;=Analysis!$P$2,"Loyal","Dormant"))</f>
        <v/>
      </c>
    </row>
    <row r="712">
      <c r="A712" s="10" t="inlineStr">
        <is>
          <t>C3710</t>
        </is>
      </c>
      <c r="B712" s="17" t="n">
        <v>882340</v>
      </c>
      <c r="C712" s="18" t="n">
        <v>1</v>
      </c>
      <c r="D712" s="18" t="n">
        <v>131</v>
      </c>
      <c r="E712" s="18" t="n">
        <v>33</v>
      </c>
      <c r="F712" s="10">
        <f>IF($B712&gt;=Analysis!$P$1,IF($E712&lt;=Analysis!$P$2,"VIP","At risk"),IF($E712&lt;=Analysis!$P$2,"Loyal","Dormant"))</f>
        <v/>
      </c>
    </row>
    <row r="713">
      <c r="A713" s="10" t="inlineStr">
        <is>
          <t>C3711</t>
        </is>
      </c>
      <c r="B713" s="17" t="n">
        <v>1046365</v>
      </c>
      <c r="C713" s="18" t="n">
        <v>3</v>
      </c>
      <c r="D713" s="18" t="n">
        <v>16</v>
      </c>
      <c r="E713" s="18" t="n">
        <v>37</v>
      </c>
      <c r="F713" s="10">
        <f>IF($B713&gt;=Analysis!$P$1,IF($E713&lt;=Analysis!$P$2,"VIP","At risk"),IF($E713&lt;=Analysis!$P$2,"Loyal","Dormant"))</f>
        <v/>
      </c>
    </row>
    <row r="714">
      <c r="A714" s="10" t="inlineStr">
        <is>
          <t>C3712</t>
        </is>
      </c>
      <c r="B714" s="17" t="n">
        <v>414225</v>
      </c>
      <c r="C714" s="18" t="n">
        <v>7</v>
      </c>
      <c r="D714" s="18" t="n">
        <v>193</v>
      </c>
      <c r="E714" s="18" t="n">
        <v>91</v>
      </c>
      <c r="F714" s="10">
        <f>IF($B714&gt;=Analysis!$P$1,IF($E714&lt;=Analysis!$P$2,"VIP","At risk"),IF($E714&lt;=Analysis!$P$2,"Loyal","Dormant"))</f>
        <v/>
      </c>
    </row>
    <row r="715">
      <c r="A715" s="10" t="inlineStr">
        <is>
          <t>C3713</t>
        </is>
      </c>
      <c r="B715" s="17" t="n">
        <v>240663</v>
      </c>
      <c r="C715" s="18" t="n">
        <v>8</v>
      </c>
      <c r="D715" s="18" t="n">
        <v>493</v>
      </c>
      <c r="E715" s="18" t="n">
        <v>93</v>
      </c>
      <c r="F715" s="10">
        <f>IF($B715&gt;=Analysis!$P$1,IF($E715&lt;=Analysis!$P$2,"VIP","At risk"),IF($E715&lt;=Analysis!$P$2,"Loyal","Dormant"))</f>
        <v/>
      </c>
    </row>
    <row r="716">
      <c r="A716" s="10" t="inlineStr">
        <is>
          <t>C3714</t>
        </is>
      </c>
      <c r="B716" s="17" t="n">
        <v>2802634</v>
      </c>
      <c r="C716" s="18" t="n">
        <v>3</v>
      </c>
      <c r="D716" s="18" t="n">
        <v>31</v>
      </c>
      <c r="E716" s="18" t="n">
        <v>22</v>
      </c>
      <c r="F716" s="10">
        <f>IF($B716&gt;=Analysis!$P$1,IF($E716&lt;=Analysis!$P$2,"VIP","At risk"),IF($E716&lt;=Analysis!$P$2,"Loyal","Dormant"))</f>
        <v/>
      </c>
    </row>
    <row r="717">
      <c r="A717" s="10" t="inlineStr">
        <is>
          <t>C3715</t>
        </is>
      </c>
      <c r="B717" s="17" t="n">
        <v>2725123</v>
      </c>
      <c r="C717" s="18" t="n">
        <v>2</v>
      </c>
      <c r="D717" s="18" t="n">
        <v>106</v>
      </c>
      <c r="E717" s="18" t="n">
        <v>16</v>
      </c>
      <c r="F717" s="10">
        <f>IF($B717&gt;=Analysis!$P$1,IF($E717&lt;=Analysis!$P$2,"VIP","At risk"),IF($E717&lt;=Analysis!$P$2,"Loyal","Dormant"))</f>
        <v/>
      </c>
    </row>
    <row r="718">
      <c r="A718" s="10" t="inlineStr">
        <is>
          <t>C3716</t>
        </is>
      </c>
      <c r="B718" s="17" t="n">
        <v>3171853</v>
      </c>
      <c r="C718" s="18" t="n">
        <v>12</v>
      </c>
      <c r="D718" s="18" t="n">
        <v>470</v>
      </c>
      <c r="E718" s="18" t="n">
        <v>28</v>
      </c>
      <c r="F718" s="10">
        <f>IF($B718&gt;=Analysis!$P$1,IF($E718&lt;=Analysis!$P$2,"VIP","At risk"),IF($E718&lt;=Analysis!$P$2,"Loyal","Dormant"))</f>
        <v/>
      </c>
    </row>
    <row r="719">
      <c r="A719" s="10" t="inlineStr">
        <is>
          <t>C3717</t>
        </is>
      </c>
      <c r="B719" s="17" t="n">
        <v>4101172</v>
      </c>
      <c r="C719" s="18" t="n">
        <v>12</v>
      </c>
      <c r="D719" s="18" t="n">
        <v>560</v>
      </c>
      <c r="E719" s="18" t="n">
        <v>29</v>
      </c>
      <c r="F719" s="10">
        <f>IF($B719&gt;=Analysis!$P$1,IF($E719&lt;=Analysis!$P$2,"VIP","At risk"),IF($E719&lt;=Analysis!$P$2,"Loyal","Dormant"))</f>
        <v/>
      </c>
    </row>
    <row r="720">
      <c r="A720" s="10" t="inlineStr">
        <is>
          <t>C3718</t>
        </is>
      </c>
      <c r="B720" s="17" t="n">
        <v>1293674</v>
      </c>
      <c r="C720" s="18" t="n">
        <v>6</v>
      </c>
      <c r="D720" s="18" t="n">
        <v>335</v>
      </c>
      <c r="E720" s="18" t="n">
        <v>174</v>
      </c>
      <c r="F720" s="10">
        <f>IF($B720&gt;=Analysis!$P$1,IF($E720&lt;=Analysis!$P$2,"VIP","At risk"),IF($E720&lt;=Analysis!$P$2,"Loyal","Dormant"))</f>
        <v/>
      </c>
    </row>
    <row r="721">
      <c r="A721" s="10" t="inlineStr">
        <is>
          <t>C3719</t>
        </is>
      </c>
      <c r="B721" s="17" t="n">
        <v>728748</v>
      </c>
      <c r="C721" s="18" t="n">
        <v>2</v>
      </c>
      <c r="D721" s="18" t="n">
        <v>123</v>
      </c>
      <c r="E721" s="18" t="n">
        <v>51</v>
      </c>
      <c r="F721" s="10">
        <f>IF($B721&gt;=Analysis!$P$1,IF($E721&lt;=Analysis!$P$2,"VIP","At risk"),IF($E721&lt;=Analysis!$P$2,"Loyal","Dormant"))</f>
        <v/>
      </c>
    </row>
    <row r="722">
      <c r="A722" s="10" t="inlineStr">
        <is>
          <t>C3720</t>
        </is>
      </c>
      <c r="B722" s="17" t="n">
        <v>1454705</v>
      </c>
      <c r="C722" s="18" t="n">
        <v>5</v>
      </c>
      <c r="D722" s="18" t="n">
        <v>284</v>
      </c>
      <c r="E722" s="18" t="n">
        <v>46</v>
      </c>
      <c r="F722" s="10">
        <f>IF($B722&gt;=Analysis!$P$1,IF($E722&lt;=Analysis!$P$2,"VIP","At risk"),IF($E722&lt;=Analysis!$P$2,"Loyal","Dormant"))</f>
        <v/>
      </c>
    </row>
    <row r="723">
      <c r="A723" s="10" t="inlineStr">
        <is>
          <t>C3721</t>
        </is>
      </c>
      <c r="B723" s="17" t="n">
        <v>1518453</v>
      </c>
      <c r="C723" s="18" t="n">
        <v>5</v>
      </c>
      <c r="D723" s="18" t="n">
        <v>5</v>
      </c>
      <c r="E723" s="18" t="n">
        <v>49</v>
      </c>
      <c r="F723" s="10">
        <f>IF($B723&gt;=Analysis!$P$1,IF($E723&lt;=Analysis!$P$2,"VIP","At risk"),IF($E723&lt;=Analysis!$P$2,"Loyal","Dormant"))</f>
        <v/>
      </c>
    </row>
    <row r="724">
      <c r="A724" s="10" t="inlineStr">
        <is>
          <t>C3722</t>
        </is>
      </c>
      <c r="B724" s="17" t="n">
        <v>2914764</v>
      </c>
      <c r="C724" s="18" t="n">
        <v>19</v>
      </c>
      <c r="D724" s="18" t="n">
        <v>727</v>
      </c>
      <c r="E724" s="18" t="n">
        <v>28</v>
      </c>
      <c r="F724" s="10">
        <f>IF($B724&gt;=Analysis!$P$1,IF($E724&lt;=Analysis!$P$2,"VIP","At risk"),IF($E724&lt;=Analysis!$P$2,"Loyal","Dormant"))</f>
        <v/>
      </c>
    </row>
    <row r="725">
      <c r="A725" s="10" t="inlineStr">
        <is>
          <t>C3723</t>
        </is>
      </c>
      <c r="B725" s="17" t="n">
        <v>875278</v>
      </c>
      <c r="C725" s="18" t="n">
        <v>3</v>
      </c>
      <c r="D725" s="18" t="n">
        <v>270</v>
      </c>
      <c r="E725" s="18" t="n">
        <v>19</v>
      </c>
      <c r="F725" s="10">
        <f>IF($B725&gt;=Analysis!$P$1,IF($E725&lt;=Analysis!$P$2,"VIP","At risk"),IF($E725&lt;=Analysis!$P$2,"Loyal","Dormant"))</f>
        <v/>
      </c>
    </row>
    <row r="726">
      <c r="A726" s="10" t="inlineStr">
        <is>
          <t>C3724</t>
        </is>
      </c>
      <c r="B726" s="17" t="n">
        <v>2613772</v>
      </c>
      <c r="C726" s="18" t="n">
        <v>14</v>
      </c>
      <c r="D726" s="18" t="n">
        <v>369</v>
      </c>
      <c r="E726" s="18" t="n">
        <v>15</v>
      </c>
      <c r="F726" s="10">
        <f>IF($B726&gt;=Analysis!$P$1,IF($E726&lt;=Analysis!$P$2,"VIP","At risk"),IF($E726&lt;=Analysis!$P$2,"Loyal","Dormant"))</f>
        <v/>
      </c>
    </row>
    <row r="727">
      <c r="A727" s="10" t="inlineStr">
        <is>
          <t>C3725</t>
        </is>
      </c>
      <c r="B727" s="17" t="n">
        <v>1422596</v>
      </c>
      <c r="C727" s="18" t="n">
        <v>2</v>
      </c>
      <c r="D727" s="18" t="n">
        <v>202</v>
      </c>
      <c r="E727" s="18" t="n">
        <v>116</v>
      </c>
      <c r="F727" s="10">
        <f>IF($B727&gt;=Analysis!$P$1,IF($E727&lt;=Analysis!$P$2,"VIP","At risk"),IF($E727&lt;=Analysis!$P$2,"Loyal","Dormant"))</f>
        <v/>
      </c>
    </row>
    <row r="728">
      <c r="A728" s="10" t="inlineStr">
        <is>
          <t>C3726</t>
        </is>
      </c>
      <c r="B728" s="17" t="n">
        <v>1043665</v>
      </c>
      <c r="C728" s="18" t="n">
        <v>4</v>
      </c>
      <c r="D728" s="18" t="n">
        <v>274</v>
      </c>
      <c r="E728" s="18" t="n">
        <v>18</v>
      </c>
      <c r="F728" s="10">
        <f>IF($B728&gt;=Analysis!$P$1,IF($E728&lt;=Analysis!$P$2,"VIP","At risk"),IF($E728&lt;=Analysis!$P$2,"Loyal","Dormant"))</f>
        <v/>
      </c>
    </row>
    <row r="729">
      <c r="A729" s="10" t="inlineStr">
        <is>
          <t>C3727</t>
        </is>
      </c>
      <c r="B729" s="17" t="n">
        <v>661860</v>
      </c>
      <c r="C729" s="18" t="n">
        <v>3</v>
      </c>
      <c r="D729" s="18" t="n">
        <v>232</v>
      </c>
      <c r="E729" s="18" t="n">
        <v>102</v>
      </c>
      <c r="F729" s="10">
        <f>IF($B729&gt;=Analysis!$P$1,IF($E729&lt;=Analysis!$P$2,"VIP","At risk"),IF($E729&lt;=Analysis!$P$2,"Loyal","Dormant"))</f>
        <v/>
      </c>
    </row>
    <row r="730">
      <c r="A730" s="10" t="inlineStr">
        <is>
          <t>C3728</t>
        </is>
      </c>
      <c r="B730" s="17" t="n">
        <v>805415</v>
      </c>
      <c r="C730" s="18" t="n">
        <v>1</v>
      </c>
      <c r="D730" s="18" t="n">
        <v>13</v>
      </c>
      <c r="E730" s="18" t="n">
        <v>1</v>
      </c>
      <c r="F730" s="10">
        <f>IF($B730&gt;=Analysis!$P$1,IF($E730&lt;=Analysis!$P$2,"VIP","At risk"),IF($E730&lt;=Analysis!$P$2,"Loyal","Dormant"))</f>
        <v/>
      </c>
    </row>
    <row r="731">
      <c r="A731" s="10" t="inlineStr">
        <is>
          <t>C3729</t>
        </is>
      </c>
      <c r="B731" s="17" t="n">
        <v>1284653</v>
      </c>
      <c r="C731" s="18" t="n">
        <v>4</v>
      </c>
      <c r="D731" s="18" t="n">
        <v>18</v>
      </c>
      <c r="E731" s="18" t="n">
        <v>11</v>
      </c>
      <c r="F731" s="10">
        <f>IF($B731&gt;=Analysis!$P$1,IF($E731&lt;=Analysis!$P$2,"VIP","At risk"),IF($E731&lt;=Analysis!$P$2,"Loyal","Dormant"))</f>
        <v/>
      </c>
    </row>
    <row r="732">
      <c r="A732" s="10" t="inlineStr">
        <is>
          <t>C3730</t>
        </is>
      </c>
      <c r="B732" s="17" t="n">
        <v>2629205</v>
      </c>
      <c r="C732" s="18" t="n">
        <v>9</v>
      </c>
      <c r="D732" s="18" t="n">
        <v>56</v>
      </c>
      <c r="E732" s="18" t="n">
        <v>24</v>
      </c>
      <c r="F732" s="10">
        <f>IF($B732&gt;=Analysis!$P$1,IF($E732&lt;=Analysis!$P$2,"VIP","At risk"),IF($E732&lt;=Analysis!$P$2,"Loyal","Dormant"))</f>
        <v/>
      </c>
    </row>
    <row r="733">
      <c r="A733" s="10" t="inlineStr">
        <is>
          <t>C3731</t>
        </is>
      </c>
      <c r="B733" s="17" t="n">
        <v>3037313</v>
      </c>
      <c r="C733" s="18" t="n">
        <v>22</v>
      </c>
      <c r="D733" s="18" t="n">
        <v>335</v>
      </c>
      <c r="E733" s="18" t="n">
        <v>39</v>
      </c>
      <c r="F733" s="10">
        <f>IF($B733&gt;=Analysis!$P$1,IF($E733&lt;=Analysis!$P$2,"VIP","At risk"),IF($E733&lt;=Analysis!$P$2,"Loyal","Dormant"))</f>
        <v/>
      </c>
    </row>
    <row r="734">
      <c r="A734" s="10" t="inlineStr">
        <is>
          <t>C3732</t>
        </is>
      </c>
      <c r="B734" s="17" t="n">
        <v>306868</v>
      </c>
      <c r="C734" s="18" t="n">
        <v>3</v>
      </c>
      <c r="D734" s="18" t="n">
        <v>373</v>
      </c>
      <c r="E734" s="18" t="n">
        <v>49</v>
      </c>
      <c r="F734" s="10">
        <f>IF($B734&gt;=Analysis!$P$1,IF($E734&lt;=Analysis!$P$2,"VIP","At risk"),IF($E734&lt;=Analysis!$P$2,"Loyal","Dormant"))</f>
        <v/>
      </c>
    </row>
    <row r="735">
      <c r="A735" s="10" t="inlineStr">
        <is>
          <t>C3733</t>
        </is>
      </c>
      <c r="B735" s="17" t="n">
        <v>3218954</v>
      </c>
      <c r="C735" s="18" t="n">
        <v>19</v>
      </c>
      <c r="D735" s="18" t="n">
        <v>435</v>
      </c>
      <c r="E735" s="18" t="n">
        <v>39</v>
      </c>
      <c r="F735" s="10">
        <f>IF($B735&gt;=Analysis!$P$1,IF($E735&lt;=Analysis!$P$2,"VIP","At risk"),IF($E735&lt;=Analysis!$P$2,"Loyal","Dormant"))</f>
        <v/>
      </c>
    </row>
    <row r="736">
      <c r="A736" s="10" t="inlineStr">
        <is>
          <t>C3734</t>
        </is>
      </c>
      <c r="B736" s="17" t="n">
        <v>3734863</v>
      </c>
      <c r="C736" s="18" t="n">
        <v>16</v>
      </c>
      <c r="D736" s="18" t="n">
        <v>378</v>
      </c>
      <c r="E736" s="18" t="n">
        <v>35</v>
      </c>
      <c r="F736" s="10">
        <f>IF($B736&gt;=Analysis!$P$1,IF($E736&lt;=Analysis!$P$2,"VIP","At risk"),IF($E736&lt;=Analysis!$P$2,"Loyal","Dormant"))</f>
        <v/>
      </c>
    </row>
    <row r="737">
      <c r="A737" s="10" t="inlineStr">
        <is>
          <t>C3735</t>
        </is>
      </c>
      <c r="B737" s="17" t="n">
        <v>445477</v>
      </c>
      <c r="C737" s="18" t="n">
        <v>6</v>
      </c>
      <c r="D737" s="18" t="n">
        <v>50</v>
      </c>
      <c r="E737" s="18" t="n">
        <v>9</v>
      </c>
      <c r="F737" s="10">
        <f>IF($B737&gt;=Analysis!$P$1,IF($E737&lt;=Analysis!$P$2,"VIP","At risk"),IF($E737&lt;=Analysis!$P$2,"Loyal","Dormant"))</f>
        <v/>
      </c>
    </row>
    <row r="738">
      <c r="A738" s="10" t="inlineStr">
        <is>
          <t>C3736</t>
        </is>
      </c>
      <c r="B738" s="17" t="n">
        <v>1110609</v>
      </c>
      <c r="C738" s="18" t="n">
        <v>4</v>
      </c>
      <c r="D738" s="18" t="n">
        <v>419</v>
      </c>
      <c r="E738" s="18" t="n">
        <v>161</v>
      </c>
      <c r="F738" s="10">
        <f>IF($B738&gt;=Analysis!$P$1,IF($E738&lt;=Analysis!$P$2,"VIP","At risk"),IF($E738&lt;=Analysis!$P$2,"Loyal","Dormant"))</f>
        <v/>
      </c>
    </row>
    <row r="739">
      <c r="A739" s="10" t="inlineStr">
        <is>
          <t>C3737</t>
        </is>
      </c>
      <c r="B739" s="17" t="n">
        <v>1257939</v>
      </c>
      <c r="C739" s="18" t="n">
        <v>6</v>
      </c>
      <c r="D739" s="18" t="n">
        <v>184</v>
      </c>
      <c r="E739" s="18" t="n">
        <v>22</v>
      </c>
      <c r="F739" s="10">
        <f>IF($B739&gt;=Analysis!$P$1,IF($E739&lt;=Analysis!$P$2,"VIP","At risk"),IF($E739&lt;=Analysis!$P$2,"Loyal","Dormant"))</f>
        <v/>
      </c>
    </row>
    <row r="740">
      <c r="A740" s="10" t="inlineStr">
        <is>
          <t>C3738</t>
        </is>
      </c>
      <c r="B740" s="17" t="n">
        <v>1420880</v>
      </c>
      <c r="C740" s="18" t="n">
        <v>1</v>
      </c>
      <c r="D740" s="18" t="n">
        <v>250</v>
      </c>
      <c r="E740" s="18" t="n">
        <v>178</v>
      </c>
      <c r="F740" s="10">
        <f>IF($B740&gt;=Analysis!$P$1,IF($E740&lt;=Analysis!$P$2,"VIP","At risk"),IF($E740&lt;=Analysis!$P$2,"Loyal","Dormant"))</f>
        <v/>
      </c>
    </row>
    <row r="741">
      <c r="A741" s="10" t="inlineStr">
        <is>
          <t>C3739</t>
        </is>
      </c>
      <c r="B741" s="17" t="n">
        <v>2695472</v>
      </c>
      <c r="C741" s="18" t="n">
        <v>4</v>
      </c>
      <c r="D741" s="18" t="n">
        <v>82</v>
      </c>
      <c r="E741" s="18" t="n">
        <v>20</v>
      </c>
      <c r="F741" s="10">
        <f>IF($B741&gt;=Analysis!$P$1,IF($E741&lt;=Analysis!$P$2,"VIP","At risk"),IF($E741&lt;=Analysis!$P$2,"Loyal","Dormant"))</f>
        <v/>
      </c>
    </row>
    <row r="742">
      <c r="A742" s="10" t="inlineStr">
        <is>
          <t>C3740</t>
        </is>
      </c>
      <c r="B742" s="17" t="n">
        <v>1368620</v>
      </c>
      <c r="C742" s="18" t="n">
        <v>3</v>
      </c>
      <c r="D742" s="18" t="n">
        <v>117</v>
      </c>
      <c r="E742" s="18" t="n">
        <v>42</v>
      </c>
      <c r="F742" s="10">
        <f>IF($B742&gt;=Analysis!$P$1,IF($E742&lt;=Analysis!$P$2,"VIP","At risk"),IF($E742&lt;=Analysis!$P$2,"Loyal","Dormant"))</f>
        <v/>
      </c>
    </row>
    <row r="743">
      <c r="A743" s="10" t="inlineStr">
        <is>
          <t>C3741</t>
        </is>
      </c>
      <c r="B743" s="17" t="n">
        <v>1122321</v>
      </c>
      <c r="C743" s="18" t="n">
        <v>5</v>
      </c>
      <c r="D743" s="18" t="n">
        <v>432</v>
      </c>
      <c r="E743" s="18" t="n">
        <v>74</v>
      </c>
      <c r="F743" s="10">
        <f>IF($B743&gt;=Analysis!$P$1,IF($E743&lt;=Analysis!$P$2,"VIP","At risk"),IF($E743&lt;=Analysis!$P$2,"Loyal","Dormant"))</f>
        <v/>
      </c>
    </row>
    <row r="744">
      <c r="A744" s="10" t="inlineStr">
        <is>
          <t>C3742</t>
        </is>
      </c>
      <c r="B744" s="17" t="n">
        <v>924706</v>
      </c>
      <c r="C744" s="18" t="n">
        <v>3</v>
      </c>
      <c r="D744" s="18" t="n">
        <v>177</v>
      </c>
      <c r="E744" s="18" t="n">
        <v>75</v>
      </c>
      <c r="F744" s="10">
        <f>IF($B744&gt;=Analysis!$P$1,IF($E744&lt;=Analysis!$P$2,"VIP","At risk"),IF($E744&lt;=Analysis!$P$2,"Loyal","Dormant"))</f>
        <v/>
      </c>
    </row>
    <row r="745">
      <c r="A745" s="10" t="inlineStr">
        <is>
          <t>C3743</t>
        </is>
      </c>
      <c r="B745" s="17" t="n">
        <v>2760716</v>
      </c>
      <c r="C745" s="18" t="n">
        <v>1</v>
      </c>
      <c r="D745" s="18" t="n">
        <v>20</v>
      </c>
      <c r="E745" s="18" t="n">
        <v>16</v>
      </c>
      <c r="F745" s="10">
        <f>IF($B745&gt;=Analysis!$P$1,IF($E745&lt;=Analysis!$P$2,"VIP","At risk"),IF($E745&lt;=Analysis!$P$2,"Loyal","Dormant"))</f>
        <v/>
      </c>
    </row>
    <row r="746">
      <c r="A746" s="10" t="inlineStr">
        <is>
          <t>C3744</t>
        </is>
      </c>
      <c r="B746" s="17" t="n">
        <v>2300202</v>
      </c>
      <c r="C746" s="18" t="n">
        <v>17</v>
      </c>
      <c r="D746" s="18" t="n">
        <v>424</v>
      </c>
      <c r="E746" s="18" t="n">
        <v>41</v>
      </c>
      <c r="F746" s="10">
        <f>IF($B746&gt;=Analysis!$P$1,IF($E746&lt;=Analysis!$P$2,"VIP","At risk"),IF($E746&lt;=Analysis!$P$2,"Loyal","Dormant"))</f>
        <v/>
      </c>
    </row>
    <row r="747">
      <c r="A747" s="10" t="inlineStr">
        <is>
          <t>C3745</t>
        </is>
      </c>
      <c r="B747" s="17" t="n">
        <v>1058625</v>
      </c>
      <c r="C747" s="18" t="n">
        <v>4</v>
      </c>
      <c r="D747" s="18" t="n">
        <v>346</v>
      </c>
      <c r="E747" s="18" t="n">
        <v>110</v>
      </c>
      <c r="F747" s="10">
        <f>IF($B747&gt;=Analysis!$P$1,IF($E747&lt;=Analysis!$P$2,"VIP","At risk"),IF($E747&lt;=Analysis!$P$2,"Loyal","Dormant"))</f>
        <v/>
      </c>
    </row>
    <row r="748">
      <c r="A748" s="10" t="inlineStr">
        <is>
          <t>C3746</t>
        </is>
      </c>
      <c r="B748" s="17" t="n">
        <v>138520</v>
      </c>
      <c r="C748" s="18" t="n">
        <v>1</v>
      </c>
      <c r="D748" s="18" t="n">
        <v>54</v>
      </c>
      <c r="E748" s="18" t="n">
        <v>1</v>
      </c>
      <c r="F748" s="10">
        <f>IF($B748&gt;=Analysis!$P$1,IF($E748&lt;=Analysis!$P$2,"VIP","At risk"),IF($E748&lt;=Analysis!$P$2,"Loyal","Dormant"))</f>
        <v/>
      </c>
    </row>
    <row r="749">
      <c r="A749" s="10" t="inlineStr">
        <is>
          <t>C3747</t>
        </is>
      </c>
      <c r="B749" s="17" t="n">
        <v>4169521</v>
      </c>
      <c r="C749" s="18" t="n">
        <v>17</v>
      </c>
      <c r="D749" s="18" t="n">
        <v>217</v>
      </c>
      <c r="E749" s="18" t="n">
        <v>18</v>
      </c>
      <c r="F749" s="10">
        <f>IF($B749&gt;=Analysis!$P$1,IF($E749&lt;=Analysis!$P$2,"VIP","At risk"),IF($E749&lt;=Analysis!$P$2,"Loyal","Dormant"))</f>
        <v/>
      </c>
    </row>
    <row r="750">
      <c r="A750" s="10" t="inlineStr">
        <is>
          <t>C3748</t>
        </is>
      </c>
      <c r="B750" s="17" t="n">
        <v>3295287</v>
      </c>
      <c r="C750" s="18" t="n">
        <v>16</v>
      </c>
      <c r="D750" s="18" t="n">
        <v>235</v>
      </c>
      <c r="E750" s="18" t="n">
        <v>29</v>
      </c>
      <c r="F750" s="10">
        <f>IF($B750&gt;=Analysis!$P$1,IF($E750&lt;=Analysis!$P$2,"VIP","At risk"),IF($E750&lt;=Analysis!$P$2,"Loyal","Dormant"))</f>
        <v/>
      </c>
    </row>
    <row r="751">
      <c r="A751" s="10" t="inlineStr">
        <is>
          <t>C3749</t>
        </is>
      </c>
      <c r="B751" s="17" t="n">
        <v>1296638</v>
      </c>
      <c r="C751" s="18" t="n">
        <v>2</v>
      </c>
      <c r="D751" s="18" t="n">
        <v>477</v>
      </c>
      <c r="E751" s="18" t="n">
        <v>54</v>
      </c>
      <c r="F751" s="10">
        <f>IF($B751&gt;=Analysis!$P$1,IF($E751&lt;=Analysis!$P$2,"VIP","At risk"),IF($E751&lt;=Analysis!$P$2,"Loyal","Dormant"))</f>
        <v/>
      </c>
    </row>
    <row r="752">
      <c r="A752" s="10" t="inlineStr">
        <is>
          <t>C3750</t>
        </is>
      </c>
      <c r="B752" s="17" t="n">
        <v>2945859</v>
      </c>
      <c r="C752" s="18" t="n">
        <v>13</v>
      </c>
      <c r="D752" s="18" t="n">
        <v>399</v>
      </c>
      <c r="E752" s="18" t="n">
        <v>17</v>
      </c>
      <c r="F752" s="10">
        <f>IF($B752&gt;=Analysis!$P$1,IF($E752&lt;=Analysis!$P$2,"VIP","At risk"),IF($E752&lt;=Analysis!$P$2,"Loyal","Dormant"))</f>
        <v/>
      </c>
    </row>
    <row r="753">
      <c r="A753" s="10" t="inlineStr">
        <is>
          <t>C3751</t>
        </is>
      </c>
      <c r="B753" s="17" t="n">
        <v>566444</v>
      </c>
      <c r="C753" s="18" t="n">
        <v>5</v>
      </c>
      <c r="D753" s="18" t="n">
        <v>171</v>
      </c>
      <c r="E753" s="18" t="n">
        <v>48</v>
      </c>
      <c r="F753" s="10">
        <f>IF($B753&gt;=Analysis!$P$1,IF($E753&lt;=Analysis!$P$2,"VIP","At risk"),IF($E753&lt;=Analysis!$P$2,"Loyal","Dormant"))</f>
        <v/>
      </c>
    </row>
    <row r="754">
      <c r="A754" s="10" t="inlineStr">
        <is>
          <t>C3752</t>
        </is>
      </c>
      <c r="B754" s="17" t="n">
        <v>3411636</v>
      </c>
      <c r="C754" s="18" t="n">
        <v>15</v>
      </c>
      <c r="D754" s="18" t="n">
        <v>396</v>
      </c>
      <c r="E754" s="18" t="n">
        <v>14</v>
      </c>
      <c r="F754" s="10">
        <f>IF($B754&gt;=Analysis!$P$1,IF($E754&lt;=Analysis!$P$2,"VIP","At risk"),IF($E754&lt;=Analysis!$P$2,"Loyal","Dormant"))</f>
        <v/>
      </c>
    </row>
    <row r="755">
      <c r="A755" s="10" t="inlineStr">
        <is>
          <t>C3753</t>
        </is>
      </c>
      <c r="B755" s="17" t="n">
        <v>4887568</v>
      </c>
      <c r="C755" s="18" t="n">
        <v>7</v>
      </c>
      <c r="D755" s="18" t="n">
        <v>173</v>
      </c>
      <c r="E755" s="18" t="n">
        <v>29</v>
      </c>
      <c r="F755" s="10">
        <f>IF($B755&gt;=Analysis!$P$1,IF($E755&lt;=Analysis!$P$2,"VIP","At risk"),IF($E755&lt;=Analysis!$P$2,"Loyal","Dormant"))</f>
        <v/>
      </c>
    </row>
    <row r="756">
      <c r="A756" s="10" t="inlineStr">
        <is>
          <t>C3754</t>
        </is>
      </c>
      <c r="B756" s="17" t="n">
        <v>784620</v>
      </c>
      <c r="C756" s="18" t="n">
        <v>4</v>
      </c>
      <c r="D756" s="18" t="n">
        <v>252</v>
      </c>
      <c r="E756" s="18" t="n">
        <v>46</v>
      </c>
      <c r="F756" s="10">
        <f>IF($B756&gt;=Analysis!$P$1,IF($E756&lt;=Analysis!$P$2,"VIP","At risk"),IF($E756&lt;=Analysis!$P$2,"Loyal","Dormant"))</f>
        <v/>
      </c>
    </row>
    <row r="757">
      <c r="A757" s="10" t="inlineStr">
        <is>
          <t>C3755</t>
        </is>
      </c>
      <c r="B757" s="17" t="n">
        <v>3770441</v>
      </c>
      <c r="C757" s="18" t="n">
        <v>9</v>
      </c>
      <c r="D757" s="18" t="n">
        <v>439</v>
      </c>
      <c r="E757" s="18" t="n">
        <v>11</v>
      </c>
      <c r="F757" s="10">
        <f>IF($B757&gt;=Analysis!$P$1,IF($E757&lt;=Analysis!$P$2,"VIP","At risk"),IF($E757&lt;=Analysis!$P$2,"Loyal","Dormant"))</f>
        <v/>
      </c>
    </row>
    <row r="758">
      <c r="A758" s="10" t="inlineStr">
        <is>
          <t>C3756</t>
        </is>
      </c>
      <c r="B758" s="17" t="n">
        <v>3675550</v>
      </c>
      <c r="C758" s="18" t="n">
        <v>7</v>
      </c>
      <c r="D758" s="18" t="n">
        <v>365</v>
      </c>
      <c r="E758" s="18" t="n">
        <v>34</v>
      </c>
      <c r="F758" s="10">
        <f>IF($B758&gt;=Analysis!$P$1,IF($E758&lt;=Analysis!$P$2,"VIP","At risk"),IF($E758&lt;=Analysis!$P$2,"Loyal","Dormant"))</f>
        <v/>
      </c>
    </row>
    <row r="759">
      <c r="A759" s="10" t="inlineStr">
        <is>
          <t>C3757</t>
        </is>
      </c>
      <c r="B759" s="17" t="n">
        <v>7591348</v>
      </c>
      <c r="C759" s="18" t="n">
        <v>29</v>
      </c>
      <c r="D759" s="18" t="n">
        <v>662</v>
      </c>
      <c r="E759" s="18" t="n">
        <v>16</v>
      </c>
      <c r="F759" s="10">
        <f>IF($B759&gt;=Analysis!$P$1,IF($E759&lt;=Analysis!$P$2,"VIP","At risk"),IF($E759&lt;=Analysis!$P$2,"Loyal","Dormant"))</f>
        <v/>
      </c>
    </row>
    <row r="760">
      <c r="A760" s="10" t="inlineStr">
        <is>
          <t>C3758</t>
        </is>
      </c>
      <c r="B760" s="17" t="n">
        <v>1743690</v>
      </c>
      <c r="C760" s="18" t="n">
        <v>5</v>
      </c>
      <c r="D760" s="18" t="n">
        <v>409</v>
      </c>
      <c r="E760" s="18" t="n">
        <v>134</v>
      </c>
      <c r="F760" s="10">
        <f>IF($B760&gt;=Analysis!$P$1,IF($E760&lt;=Analysis!$P$2,"VIP","At risk"),IF($E760&lt;=Analysis!$P$2,"Loyal","Dormant"))</f>
        <v/>
      </c>
    </row>
    <row r="761">
      <c r="A761" s="10" t="inlineStr">
        <is>
          <t>C3759</t>
        </is>
      </c>
      <c r="B761" s="17" t="n">
        <v>624127</v>
      </c>
      <c r="C761" s="18" t="n">
        <v>3</v>
      </c>
      <c r="D761" s="18" t="n">
        <v>413</v>
      </c>
      <c r="E761" s="18" t="n">
        <v>103</v>
      </c>
      <c r="F761" s="10">
        <f>IF($B761&gt;=Analysis!$P$1,IF($E761&lt;=Analysis!$P$2,"VIP","At risk"),IF($E761&lt;=Analysis!$P$2,"Loyal","Dormant"))</f>
        <v/>
      </c>
    </row>
    <row r="762">
      <c r="A762" s="10" t="inlineStr">
        <is>
          <t>C3760</t>
        </is>
      </c>
      <c r="B762" s="17" t="n">
        <v>3575074</v>
      </c>
      <c r="C762" s="18" t="n">
        <v>21</v>
      </c>
      <c r="D762" s="18" t="n">
        <v>305</v>
      </c>
      <c r="E762" s="18" t="n">
        <v>8</v>
      </c>
      <c r="F762" s="10">
        <f>IF($B762&gt;=Analysis!$P$1,IF($E762&lt;=Analysis!$P$2,"VIP","At risk"),IF($E762&lt;=Analysis!$P$2,"Loyal","Dormant"))</f>
        <v/>
      </c>
    </row>
    <row r="763">
      <c r="A763" s="10" t="inlineStr">
        <is>
          <t>C3761</t>
        </is>
      </c>
      <c r="B763" s="17" t="n">
        <v>10291106</v>
      </c>
      <c r="C763" s="18" t="n">
        <v>29</v>
      </c>
      <c r="D763" s="18" t="n">
        <v>457</v>
      </c>
      <c r="E763" s="18" t="n">
        <v>17</v>
      </c>
      <c r="F763" s="10">
        <f>IF($B763&gt;=Analysis!$P$1,IF($E763&lt;=Analysis!$P$2,"VIP","At risk"),IF($E763&lt;=Analysis!$P$2,"Loyal","Dormant"))</f>
        <v/>
      </c>
    </row>
    <row r="764">
      <c r="A764" s="10" t="inlineStr">
        <is>
          <t>C3762</t>
        </is>
      </c>
      <c r="B764" s="17" t="n">
        <v>1418036</v>
      </c>
      <c r="C764" s="18" t="n">
        <v>2</v>
      </c>
      <c r="D764" s="18" t="n">
        <v>28</v>
      </c>
      <c r="E764" s="18" t="n">
        <v>7</v>
      </c>
      <c r="F764" s="10">
        <f>IF($B764&gt;=Analysis!$P$1,IF($E764&lt;=Analysis!$P$2,"VIP","At risk"),IF($E764&lt;=Analysis!$P$2,"Loyal","Dormant"))</f>
        <v/>
      </c>
    </row>
    <row r="765">
      <c r="A765" s="10" t="inlineStr">
        <is>
          <t>C3763</t>
        </is>
      </c>
      <c r="B765" s="17" t="n">
        <v>1017984</v>
      </c>
      <c r="C765" s="18" t="n">
        <v>3</v>
      </c>
      <c r="D765" s="18" t="n">
        <v>82</v>
      </c>
      <c r="E765" s="18" t="n">
        <v>27</v>
      </c>
      <c r="F765" s="10">
        <f>IF($B765&gt;=Analysis!$P$1,IF($E765&lt;=Analysis!$P$2,"VIP","At risk"),IF($E765&lt;=Analysis!$P$2,"Loyal","Dormant"))</f>
        <v/>
      </c>
    </row>
    <row r="766">
      <c r="A766" s="10" t="inlineStr">
        <is>
          <t>C3764</t>
        </is>
      </c>
      <c r="B766" s="17" t="n">
        <v>4777887</v>
      </c>
      <c r="C766" s="18" t="n">
        <v>15</v>
      </c>
      <c r="D766" s="18" t="n">
        <v>456</v>
      </c>
      <c r="E766" s="18" t="n">
        <v>46</v>
      </c>
      <c r="F766" s="10">
        <f>IF($B766&gt;=Analysis!$P$1,IF($E766&lt;=Analysis!$P$2,"VIP","At risk"),IF($E766&lt;=Analysis!$P$2,"Loyal","Dormant"))</f>
        <v/>
      </c>
    </row>
    <row r="767">
      <c r="A767" s="10" t="inlineStr">
        <is>
          <t>C3765</t>
        </is>
      </c>
      <c r="B767" s="17" t="n">
        <v>2628955</v>
      </c>
      <c r="C767" s="18" t="n">
        <v>16</v>
      </c>
      <c r="D767" s="18" t="n">
        <v>414</v>
      </c>
      <c r="E767" s="18" t="n">
        <v>16</v>
      </c>
      <c r="F767" s="10">
        <f>IF($B767&gt;=Analysis!$P$1,IF($E767&lt;=Analysis!$P$2,"VIP","At risk"),IF($E767&lt;=Analysis!$P$2,"Loyal","Dormant"))</f>
        <v/>
      </c>
    </row>
    <row r="768">
      <c r="A768" s="10" t="inlineStr">
        <is>
          <t>C3766</t>
        </is>
      </c>
      <c r="B768" s="17" t="n">
        <v>824597</v>
      </c>
      <c r="C768" s="18" t="n">
        <v>4</v>
      </c>
      <c r="D768" s="18" t="n">
        <v>371</v>
      </c>
      <c r="E768" s="18" t="n">
        <v>39</v>
      </c>
      <c r="F768" s="10">
        <f>IF($B768&gt;=Analysis!$P$1,IF($E768&lt;=Analysis!$P$2,"VIP","At risk"),IF($E768&lt;=Analysis!$P$2,"Loyal","Dormant"))</f>
        <v/>
      </c>
    </row>
    <row r="769">
      <c r="A769" s="10" t="inlineStr">
        <is>
          <t>C3767</t>
        </is>
      </c>
      <c r="B769" s="17" t="n">
        <v>3621910</v>
      </c>
      <c r="C769" s="18" t="n">
        <v>17</v>
      </c>
      <c r="D769" s="18" t="n">
        <v>525</v>
      </c>
      <c r="E769" s="18" t="n">
        <v>35</v>
      </c>
      <c r="F769" s="10">
        <f>IF($B769&gt;=Analysis!$P$1,IF($E769&lt;=Analysis!$P$2,"VIP","At risk"),IF($E769&lt;=Analysis!$P$2,"Loyal","Dormant"))</f>
        <v/>
      </c>
    </row>
    <row r="770">
      <c r="A770" s="10" t="inlineStr">
        <is>
          <t>C3768</t>
        </is>
      </c>
      <c r="B770" s="17" t="n">
        <v>1255663</v>
      </c>
      <c r="C770" s="18" t="n">
        <v>1</v>
      </c>
      <c r="D770" s="18" t="n">
        <v>280</v>
      </c>
      <c r="E770" s="18" t="n">
        <v>47</v>
      </c>
      <c r="F770" s="10">
        <f>IF($B770&gt;=Analysis!$P$1,IF($E770&lt;=Analysis!$P$2,"VIP","At risk"),IF($E770&lt;=Analysis!$P$2,"Loyal","Dormant"))</f>
        <v/>
      </c>
    </row>
    <row r="771">
      <c r="A771" s="10" t="inlineStr">
        <is>
          <t>C3769</t>
        </is>
      </c>
      <c r="B771" s="17" t="n">
        <v>4281809</v>
      </c>
      <c r="C771" s="18" t="n">
        <v>11</v>
      </c>
      <c r="D771" s="18" t="n">
        <v>580</v>
      </c>
      <c r="E771" s="18" t="n">
        <v>26</v>
      </c>
      <c r="F771" s="10">
        <f>IF($B771&gt;=Analysis!$P$1,IF($E771&lt;=Analysis!$P$2,"VIP","At risk"),IF($E771&lt;=Analysis!$P$2,"Loyal","Dormant"))</f>
        <v/>
      </c>
    </row>
    <row r="772">
      <c r="A772" s="10" t="inlineStr">
        <is>
          <t>C3770</t>
        </is>
      </c>
      <c r="B772" s="17" t="n">
        <v>756579</v>
      </c>
      <c r="C772" s="18" t="n">
        <v>2</v>
      </c>
      <c r="D772" s="18" t="n">
        <v>191</v>
      </c>
      <c r="E772" s="18" t="n">
        <v>116</v>
      </c>
      <c r="F772" s="10">
        <f>IF($B772&gt;=Analysis!$P$1,IF($E772&lt;=Analysis!$P$2,"VIP","At risk"),IF($E772&lt;=Analysis!$P$2,"Loyal","Dormant"))</f>
        <v/>
      </c>
    </row>
    <row r="773">
      <c r="A773" s="10" t="inlineStr">
        <is>
          <t>C3771</t>
        </is>
      </c>
      <c r="B773" s="17" t="n">
        <v>502360</v>
      </c>
      <c r="C773" s="18" t="n">
        <v>4</v>
      </c>
      <c r="D773" s="18" t="n">
        <v>240</v>
      </c>
      <c r="E773" s="18" t="n">
        <v>1</v>
      </c>
      <c r="F773" s="10">
        <f>IF($B773&gt;=Analysis!$P$1,IF($E773&lt;=Analysis!$P$2,"VIP","At risk"),IF($E773&lt;=Analysis!$P$2,"Loyal","Dormant"))</f>
        <v/>
      </c>
    </row>
    <row r="774">
      <c r="A774" s="10" t="inlineStr">
        <is>
          <t>C3772</t>
        </is>
      </c>
      <c r="B774" s="17" t="n">
        <v>1923835</v>
      </c>
      <c r="C774" s="18" t="n">
        <v>1</v>
      </c>
      <c r="D774" s="18" t="n">
        <v>49</v>
      </c>
      <c r="E774" s="18" t="n">
        <v>1</v>
      </c>
      <c r="F774" s="10">
        <f>IF($B774&gt;=Analysis!$P$1,IF($E774&lt;=Analysis!$P$2,"VIP","At risk"),IF($E774&lt;=Analysis!$P$2,"Loyal","Dormant"))</f>
        <v/>
      </c>
    </row>
    <row r="775">
      <c r="A775" s="10" t="inlineStr">
        <is>
          <t>C3773</t>
        </is>
      </c>
      <c r="B775" s="17" t="n">
        <v>1443256</v>
      </c>
      <c r="C775" s="18" t="n">
        <v>3</v>
      </c>
      <c r="D775" s="18" t="n">
        <v>120</v>
      </c>
      <c r="E775" s="18" t="n">
        <v>9</v>
      </c>
      <c r="F775" s="10">
        <f>IF($B775&gt;=Analysis!$P$1,IF($E775&lt;=Analysis!$P$2,"VIP","At risk"),IF($E775&lt;=Analysis!$P$2,"Loyal","Dormant"))</f>
        <v/>
      </c>
    </row>
    <row r="776">
      <c r="A776" s="10" t="inlineStr">
        <is>
          <t>C3774</t>
        </is>
      </c>
      <c r="B776" s="17" t="n">
        <v>4232714</v>
      </c>
      <c r="C776" s="18" t="n">
        <v>12</v>
      </c>
      <c r="D776" s="18" t="n">
        <v>196</v>
      </c>
      <c r="E776" s="18" t="n">
        <v>37</v>
      </c>
      <c r="F776" s="10">
        <f>IF($B776&gt;=Analysis!$P$1,IF($E776&lt;=Analysis!$P$2,"VIP","At risk"),IF($E776&lt;=Analysis!$P$2,"Loyal","Dormant"))</f>
        <v/>
      </c>
    </row>
    <row r="777">
      <c r="A777" s="10" t="inlineStr">
        <is>
          <t>C3775</t>
        </is>
      </c>
      <c r="B777" s="17" t="n">
        <v>1035344</v>
      </c>
      <c r="C777" s="18" t="n">
        <v>3</v>
      </c>
      <c r="D777" s="18" t="n">
        <v>247</v>
      </c>
      <c r="E777" s="18" t="n">
        <v>98</v>
      </c>
      <c r="F777" s="10">
        <f>IF($B777&gt;=Analysis!$P$1,IF($E777&lt;=Analysis!$P$2,"VIP","At risk"),IF($E777&lt;=Analysis!$P$2,"Loyal","Dormant"))</f>
        <v/>
      </c>
    </row>
    <row r="778">
      <c r="A778" s="10" t="inlineStr">
        <is>
          <t>C3776</t>
        </is>
      </c>
      <c r="B778" s="17" t="n">
        <v>170545</v>
      </c>
      <c r="C778" s="18" t="n">
        <v>3</v>
      </c>
      <c r="D778" s="18" t="n">
        <v>224</v>
      </c>
      <c r="E778" s="18" t="n">
        <v>100</v>
      </c>
      <c r="F778" s="10">
        <f>IF($B778&gt;=Analysis!$P$1,IF($E778&lt;=Analysis!$P$2,"VIP","At risk"),IF($E778&lt;=Analysis!$P$2,"Loyal","Dormant"))</f>
        <v/>
      </c>
    </row>
    <row r="779">
      <c r="A779" s="10" t="inlineStr">
        <is>
          <t>C3777</t>
        </is>
      </c>
      <c r="B779" s="17" t="n">
        <v>445491</v>
      </c>
      <c r="C779" s="18" t="n">
        <v>2</v>
      </c>
      <c r="D779" s="18" t="n">
        <v>539</v>
      </c>
      <c r="E779" s="18" t="n">
        <v>40</v>
      </c>
      <c r="F779" s="10">
        <f>IF($B779&gt;=Analysis!$P$1,IF($E779&lt;=Analysis!$P$2,"VIP","At risk"),IF($E779&lt;=Analysis!$P$2,"Loyal","Dormant"))</f>
        <v/>
      </c>
    </row>
    <row r="780">
      <c r="A780" s="10" t="inlineStr">
        <is>
          <t>C3778</t>
        </is>
      </c>
      <c r="B780" s="17" t="n">
        <v>1271985</v>
      </c>
      <c r="C780" s="18" t="n">
        <v>3</v>
      </c>
      <c r="D780" s="18" t="n">
        <v>300</v>
      </c>
      <c r="E780" s="18" t="n">
        <v>80</v>
      </c>
      <c r="F780" s="10">
        <f>IF($B780&gt;=Analysis!$P$1,IF($E780&lt;=Analysis!$P$2,"VIP","At risk"),IF($E780&lt;=Analysis!$P$2,"Loyal","Dormant"))</f>
        <v/>
      </c>
    </row>
    <row r="781">
      <c r="A781" s="10" t="inlineStr">
        <is>
          <t>C3779</t>
        </is>
      </c>
      <c r="B781" s="17" t="n">
        <v>1340380</v>
      </c>
      <c r="C781" s="18" t="n">
        <v>2</v>
      </c>
      <c r="D781" s="18" t="n">
        <v>27</v>
      </c>
      <c r="E781" s="18" t="n">
        <v>6</v>
      </c>
      <c r="F781" s="10">
        <f>IF($B781&gt;=Analysis!$P$1,IF($E781&lt;=Analysis!$P$2,"VIP","At risk"),IF($E781&lt;=Analysis!$P$2,"Loyal","Dormant"))</f>
        <v/>
      </c>
    </row>
    <row r="782">
      <c r="A782" s="10" t="inlineStr">
        <is>
          <t>C3780</t>
        </is>
      </c>
      <c r="B782" s="17" t="n">
        <v>7209286</v>
      </c>
      <c r="C782" s="18" t="n">
        <v>26</v>
      </c>
      <c r="D782" s="18" t="n">
        <v>717</v>
      </c>
      <c r="E782" s="18" t="n">
        <v>3</v>
      </c>
      <c r="F782" s="10">
        <f>IF($B782&gt;=Analysis!$P$1,IF($E782&lt;=Analysis!$P$2,"VIP","At risk"),IF($E782&lt;=Analysis!$P$2,"Loyal","Dormant"))</f>
        <v/>
      </c>
    </row>
    <row r="783">
      <c r="A783" s="10" t="inlineStr">
        <is>
          <t>C3781</t>
        </is>
      </c>
      <c r="B783" s="17" t="n">
        <v>871232</v>
      </c>
      <c r="C783" s="18" t="n">
        <v>5</v>
      </c>
      <c r="D783" s="18" t="n">
        <v>518</v>
      </c>
      <c r="E783" s="18" t="n">
        <v>52</v>
      </c>
      <c r="F783" s="10">
        <f>IF($B783&gt;=Analysis!$P$1,IF($E783&lt;=Analysis!$P$2,"VIP","At risk"),IF($E783&lt;=Analysis!$P$2,"Loyal","Dormant"))</f>
        <v/>
      </c>
    </row>
    <row r="784">
      <c r="A784" s="10" t="inlineStr">
        <is>
          <t>C3782</t>
        </is>
      </c>
      <c r="B784" s="17" t="n">
        <v>1723671</v>
      </c>
      <c r="C784" s="18" t="n">
        <v>5</v>
      </c>
      <c r="D784" s="18" t="n">
        <v>367</v>
      </c>
      <c r="E784" s="18" t="n">
        <v>116</v>
      </c>
      <c r="F784" s="10">
        <f>IF($B784&gt;=Analysis!$P$1,IF($E784&lt;=Analysis!$P$2,"VIP","At risk"),IF($E784&lt;=Analysis!$P$2,"Loyal","Dormant"))</f>
        <v/>
      </c>
    </row>
    <row r="785">
      <c r="A785" s="10" t="inlineStr">
        <is>
          <t>C3783</t>
        </is>
      </c>
      <c r="B785" s="17" t="n">
        <v>2611585</v>
      </c>
      <c r="C785" s="18" t="n">
        <v>5</v>
      </c>
      <c r="D785" s="18" t="n">
        <v>41</v>
      </c>
      <c r="E785" s="18" t="n">
        <v>2</v>
      </c>
      <c r="F785" s="10">
        <f>IF($B785&gt;=Analysis!$P$1,IF($E785&lt;=Analysis!$P$2,"VIP","At risk"),IF($E785&lt;=Analysis!$P$2,"Loyal","Dormant"))</f>
        <v/>
      </c>
    </row>
    <row r="786">
      <c r="A786" s="10" t="inlineStr">
        <is>
          <t>C3784</t>
        </is>
      </c>
      <c r="B786" s="17" t="n">
        <v>2833839</v>
      </c>
      <c r="C786" s="18" t="n">
        <v>18</v>
      </c>
      <c r="D786" s="18" t="n">
        <v>478</v>
      </c>
      <c r="E786" s="18" t="n">
        <v>39</v>
      </c>
      <c r="F786" s="10">
        <f>IF($B786&gt;=Analysis!$P$1,IF($E786&lt;=Analysis!$P$2,"VIP","At risk"),IF($E786&lt;=Analysis!$P$2,"Loyal","Dormant"))</f>
        <v/>
      </c>
    </row>
    <row r="787">
      <c r="A787" s="10" t="inlineStr">
        <is>
          <t>C3785</t>
        </is>
      </c>
      <c r="B787" s="17" t="n">
        <v>778602</v>
      </c>
      <c r="C787" s="18" t="n">
        <v>4</v>
      </c>
      <c r="D787" s="18" t="n">
        <v>533</v>
      </c>
      <c r="E787" s="18" t="n">
        <v>1</v>
      </c>
      <c r="F787" s="10">
        <f>IF($B787&gt;=Analysis!$P$1,IF($E787&lt;=Analysis!$P$2,"VIP","At risk"),IF($E787&lt;=Analysis!$P$2,"Loyal","Dormant"))</f>
        <v/>
      </c>
    </row>
    <row r="788">
      <c r="A788" s="10" t="inlineStr">
        <is>
          <t>C3786</t>
        </is>
      </c>
      <c r="B788" s="17" t="n">
        <v>1218922</v>
      </c>
      <c r="C788" s="18" t="n">
        <v>5</v>
      </c>
      <c r="D788" s="18" t="n">
        <v>205</v>
      </c>
      <c r="E788" s="18" t="n">
        <v>39</v>
      </c>
      <c r="F788" s="10">
        <f>IF($B788&gt;=Analysis!$P$1,IF($E788&lt;=Analysis!$P$2,"VIP","At risk"),IF($E788&lt;=Analysis!$P$2,"Loyal","Dormant"))</f>
        <v/>
      </c>
    </row>
    <row r="789">
      <c r="A789" s="10" t="inlineStr">
        <is>
          <t>C3787</t>
        </is>
      </c>
      <c r="B789" s="17" t="n">
        <v>196717</v>
      </c>
      <c r="C789" s="18" t="n">
        <v>5</v>
      </c>
      <c r="D789" s="18" t="n">
        <v>329</v>
      </c>
      <c r="E789" s="18" t="n">
        <v>64</v>
      </c>
      <c r="F789" s="10">
        <f>IF($B789&gt;=Analysis!$P$1,IF($E789&lt;=Analysis!$P$2,"VIP","At risk"),IF($E789&lt;=Analysis!$P$2,"Loyal","Dormant"))</f>
        <v/>
      </c>
    </row>
    <row r="790">
      <c r="A790" s="10" t="inlineStr">
        <is>
          <t>C3788</t>
        </is>
      </c>
      <c r="B790" s="17" t="n">
        <v>1001428</v>
      </c>
      <c r="C790" s="18" t="n">
        <v>10</v>
      </c>
      <c r="D790" s="18" t="n">
        <v>243</v>
      </c>
      <c r="E790" s="18" t="n">
        <v>161</v>
      </c>
      <c r="F790" s="10">
        <f>IF($B790&gt;=Analysis!$P$1,IF($E790&lt;=Analysis!$P$2,"VIP","At risk"),IF($E790&lt;=Analysis!$P$2,"Loyal","Dormant"))</f>
        <v/>
      </c>
    </row>
    <row r="791">
      <c r="A791" s="10" t="inlineStr">
        <is>
          <t>C3789</t>
        </is>
      </c>
      <c r="B791" s="17" t="n">
        <v>1226144</v>
      </c>
      <c r="C791" s="18" t="n">
        <v>3</v>
      </c>
      <c r="D791" s="18" t="n">
        <v>92</v>
      </c>
      <c r="E791" s="18" t="n">
        <v>37</v>
      </c>
      <c r="F791" s="10">
        <f>IF($B791&gt;=Analysis!$P$1,IF($E791&lt;=Analysis!$P$2,"VIP","At risk"),IF($E791&lt;=Analysis!$P$2,"Loyal","Dormant"))</f>
        <v/>
      </c>
    </row>
    <row r="792">
      <c r="A792" s="10" t="inlineStr">
        <is>
          <t>C3790</t>
        </is>
      </c>
      <c r="B792" s="17" t="n">
        <v>3381573</v>
      </c>
      <c r="C792" s="18" t="n">
        <v>15</v>
      </c>
      <c r="D792" s="18" t="n">
        <v>380</v>
      </c>
      <c r="E792" s="18" t="n">
        <v>56</v>
      </c>
      <c r="F792" s="10">
        <f>IF($B792&gt;=Analysis!$P$1,IF($E792&lt;=Analysis!$P$2,"VIP","At risk"),IF($E792&lt;=Analysis!$P$2,"Loyal","Dormant"))</f>
        <v/>
      </c>
    </row>
    <row r="793">
      <c r="A793" s="10" t="inlineStr">
        <is>
          <t>C3791</t>
        </is>
      </c>
      <c r="B793" s="17" t="n">
        <v>239522</v>
      </c>
      <c r="C793" s="18" t="n">
        <v>6</v>
      </c>
      <c r="D793" s="18" t="n">
        <v>380</v>
      </c>
      <c r="E793" s="18" t="n">
        <v>79</v>
      </c>
      <c r="F793" s="10">
        <f>IF($B793&gt;=Analysis!$P$1,IF($E793&lt;=Analysis!$P$2,"VIP","At risk"),IF($E793&lt;=Analysis!$P$2,"Loyal","Dormant"))</f>
        <v/>
      </c>
    </row>
    <row r="794">
      <c r="A794" s="10" t="inlineStr">
        <is>
          <t>C3792</t>
        </is>
      </c>
      <c r="B794" s="17" t="n">
        <v>2453334</v>
      </c>
      <c r="C794" s="18" t="n">
        <v>17</v>
      </c>
      <c r="D794" s="18" t="n">
        <v>506</v>
      </c>
      <c r="E794" s="18" t="n">
        <v>38</v>
      </c>
      <c r="F794" s="10">
        <f>IF($B794&gt;=Analysis!$P$1,IF($E794&lt;=Analysis!$P$2,"VIP","At risk"),IF($E794&lt;=Analysis!$P$2,"Loyal","Dormant"))</f>
        <v/>
      </c>
    </row>
    <row r="795">
      <c r="A795" s="10" t="inlineStr">
        <is>
          <t>C3793</t>
        </is>
      </c>
      <c r="B795" s="17" t="n">
        <v>782919</v>
      </c>
      <c r="C795" s="18" t="n">
        <v>5</v>
      </c>
      <c r="D795" s="18" t="n">
        <v>129</v>
      </c>
      <c r="E795" s="18" t="n">
        <v>65</v>
      </c>
      <c r="F795" s="10">
        <f>IF($B795&gt;=Analysis!$P$1,IF($E795&lt;=Analysis!$P$2,"VIP","At risk"),IF($E795&lt;=Analysis!$P$2,"Loyal","Dormant"))</f>
        <v/>
      </c>
    </row>
    <row r="796">
      <c r="A796" s="10" t="inlineStr">
        <is>
          <t>C3794</t>
        </is>
      </c>
      <c r="B796" s="17" t="n">
        <v>724221</v>
      </c>
      <c r="C796" s="18" t="n">
        <v>7</v>
      </c>
      <c r="D796" s="18" t="n">
        <v>150</v>
      </c>
      <c r="E796" s="18" t="n">
        <v>135</v>
      </c>
      <c r="F796" s="10">
        <f>IF($B796&gt;=Analysis!$P$1,IF($E796&lt;=Analysis!$P$2,"VIP","At risk"),IF($E796&lt;=Analysis!$P$2,"Loyal","Dormant"))</f>
        <v/>
      </c>
    </row>
    <row r="797">
      <c r="A797" s="10" t="inlineStr">
        <is>
          <t>C3795</t>
        </is>
      </c>
      <c r="B797" s="17" t="n">
        <v>3472923</v>
      </c>
      <c r="C797" s="18" t="n">
        <v>16</v>
      </c>
      <c r="D797" s="18" t="n">
        <v>442</v>
      </c>
      <c r="E797" s="18" t="n">
        <v>52</v>
      </c>
      <c r="F797" s="10">
        <f>IF($B797&gt;=Analysis!$P$1,IF($E797&lt;=Analysis!$P$2,"VIP","At risk"),IF($E797&lt;=Analysis!$P$2,"Loyal","Dormant"))</f>
        <v/>
      </c>
    </row>
    <row r="798">
      <c r="A798" s="10" t="inlineStr">
        <is>
          <t>C3796</t>
        </is>
      </c>
      <c r="B798" s="17" t="n">
        <v>12089701</v>
      </c>
      <c r="C798" s="18" t="n">
        <v>28</v>
      </c>
      <c r="D798" s="18" t="n">
        <v>665</v>
      </c>
      <c r="E798" s="18" t="n">
        <v>5</v>
      </c>
      <c r="F798" s="10">
        <f>IF($B798&gt;=Analysis!$P$1,IF($E798&lt;=Analysis!$P$2,"VIP","At risk"),IF($E798&lt;=Analysis!$P$2,"Loyal","Dormant"))</f>
        <v/>
      </c>
    </row>
    <row r="799">
      <c r="A799" s="10" t="inlineStr">
        <is>
          <t>C3797</t>
        </is>
      </c>
      <c r="B799" s="17" t="n">
        <v>1861117</v>
      </c>
      <c r="C799" s="18" t="n">
        <v>3</v>
      </c>
      <c r="D799" s="18" t="n">
        <v>102</v>
      </c>
      <c r="E799" s="18" t="n">
        <v>14</v>
      </c>
      <c r="F799" s="10">
        <f>IF($B799&gt;=Analysis!$P$1,IF($E799&lt;=Analysis!$P$2,"VIP","At risk"),IF($E799&lt;=Analysis!$P$2,"Loyal","Dormant"))</f>
        <v/>
      </c>
    </row>
    <row r="800">
      <c r="A800" s="10" t="inlineStr">
        <is>
          <t>C3798</t>
        </is>
      </c>
      <c r="B800" s="17" t="n">
        <v>2614489</v>
      </c>
      <c r="C800" s="18" t="n">
        <v>16</v>
      </c>
      <c r="D800" s="18" t="n">
        <v>89</v>
      </c>
      <c r="E800" s="18" t="n">
        <v>24</v>
      </c>
      <c r="F800" s="10">
        <f>IF($B800&gt;=Analysis!$P$1,IF($E800&lt;=Analysis!$P$2,"VIP","At risk"),IF($E800&lt;=Analysis!$P$2,"Loyal","Dormant"))</f>
        <v/>
      </c>
    </row>
    <row r="801">
      <c r="A801" s="10" t="inlineStr">
        <is>
          <t>C3799</t>
        </is>
      </c>
      <c r="B801" s="17" t="n">
        <v>596139</v>
      </c>
      <c r="C801" s="18" t="n">
        <v>1</v>
      </c>
      <c r="D801" s="18" t="n">
        <v>684</v>
      </c>
      <c r="E801" s="18" t="n">
        <v>72</v>
      </c>
      <c r="F801" s="10">
        <f>IF($B801&gt;=Analysis!$P$1,IF($E801&lt;=Analysis!$P$2,"VIP","At risk"),IF($E801&lt;=Analysis!$P$2,"Loyal","Dormant"))</f>
        <v/>
      </c>
    </row>
    <row r="802">
      <c r="A802" s="10" t="inlineStr">
        <is>
          <t>C3800</t>
        </is>
      </c>
      <c r="B802" s="17" t="n">
        <v>3336547</v>
      </c>
      <c r="C802" s="18" t="n">
        <v>18</v>
      </c>
      <c r="D802" s="18" t="n">
        <v>270</v>
      </c>
      <c r="E802" s="18" t="n">
        <v>12</v>
      </c>
      <c r="F802" s="10">
        <f>IF($B802&gt;=Analysis!$P$1,IF($E802&lt;=Analysis!$P$2,"VIP","At risk"),IF($E802&lt;=Analysis!$P$2,"Loyal","Dormant"))</f>
        <v/>
      </c>
    </row>
    <row r="803">
      <c r="A803" s="10" t="inlineStr">
        <is>
          <t>C3801</t>
        </is>
      </c>
      <c r="B803" s="17" t="n">
        <v>853985</v>
      </c>
      <c r="C803" s="18" t="n">
        <v>3</v>
      </c>
      <c r="D803" s="18" t="n">
        <v>277</v>
      </c>
      <c r="E803" s="18" t="n">
        <v>45</v>
      </c>
      <c r="F803" s="10">
        <f>IF($B803&gt;=Analysis!$P$1,IF($E803&lt;=Analysis!$P$2,"VIP","At risk"),IF($E803&lt;=Analysis!$P$2,"Loyal","Dormant"))</f>
        <v/>
      </c>
    </row>
    <row r="804">
      <c r="A804" s="10" t="inlineStr">
        <is>
          <t>C3802</t>
        </is>
      </c>
      <c r="B804" s="17" t="n">
        <v>5309394</v>
      </c>
      <c r="C804" s="18" t="n">
        <v>20</v>
      </c>
      <c r="D804" s="18" t="n">
        <v>695</v>
      </c>
      <c r="E804" s="18" t="n">
        <v>26</v>
      </c>
      <c r="F804" s="10">
        <f>IF($B804&gt;=Analysis!$P$1,IF($E804&lt;=Analysis!$P$2,"VIP","At risk"),IF($E804&lt;=Analysis!$P$2,"Loyal","Dormant"))</f>
        <v/>
      </c>
    </row>
    <row r="805">
      <c r="A805" s="10" t="inlineStr">
        <is>
          <t>C3803</t>
        </is>
      </c>
      <c r="B805" s="17" t="n">
        <v>535545</v>
      </c>
      <c r="C805" s="18" t="n">
        <v>3</v>
      </c>
      <c r="D805" s="18" t="n">
        <v>141</v>
      </c>
      <c r="E805" s="18" t="n">
        <v>86</v>
      </c>
      <c r="F805" s="10">
        <f>IF($B805&gt;=Analysis!$P$1,IF($E805&lt;=Analysis!$P$2,"VIP","At risk"),IF($E805&lt;=Analysis!$P$2,"Loyal","Dormant"))</f>
        <v/>
      </c>
    </row>
    <row r="806">
      <c r="A806" s="10" t="inlineStr">
        <is>
          <t>C3804</t>
        </is>
      </c>
      <c r="B806" s="17" t="n">
        <v>1623825</v>
      </c>
      <c r="C806" s="18" t="n">
        <v>23</v>
      </c>
      <c r="D806" s="18" t="n">
        <v>570</v>
      </c>
      <c r="E806" s="18" t="n">
        <v>30</v>
      </c>
      <c r="F806" s="10">
        <f>IF($B806&gt;=Analysis!$P$1,IF($E806&lt;=Analysis!$P$2,"VIP","At risk"),IF($E806&lt;=Analysis!$P$2,"Loyal","Dormant"))</f>
        <v/>
      </c>
    </row>
    <row r="807">
      <c r="A807" s="10" t="inlineStr">
        <is>
          <t>C3805</t>
        </is>
      </c>
      <c r="B807" s="17" t="n">
        <v>1003832</v>
      </c>
      <c r="C807" s="18" t="n">
        <v>4</v>
      </c>
      <c r="D807" s="18" t="n">
        <v>195</v>
      </c>
      <c r="E807" s="18" t="n">
        <v>70</v>
      </c>
      <c r="F807" s="10">
        <f>IF($B807&gt;=Analysis!$P$1,IF($E807&lt;=Analysis!$P$2,"VIP","At risk"),IF($E807&lt;=Analysis!$P$2,"Loyal","Dormant"))</f>
        <v/>
      </c>
    </row>
    <row r="808">
      <c r="A808" s="10" t="inlineStr">
        <is>
          <t>C3806</t>
        </is>
      </c>
      <c r="B808" s="17" t="n">
        <v>923460</v>
      </c>
      <c r="C808" s="18" t="n">
        <v>5</v>
      </c>
      <c r="D808" s="18" t="n">
        <v>201</v>
      </c>
      <c r="E808" s="18" t="n">
        <v>27</v>
      </c>
      <c r="F808" s="10">
        <f>IF($B808&gt;=Analysis!$P$1,IF($E808&lt;=Analysis!$P$2,"VIP","At risk"),IF($E808&lt;=Analysis!$P$2,"Loyal","Dormant"))</f>
        <v/>
      </c>
    </row>
    <row r="809">
      <c r="A809" s="10" t="inlineStr">
        <is>
          <t>C3807</t>
        </is>
      </c>
      <c r="B809" s="17" t="n">
        <v>2661256</v>
      </c>
      <c r="C809" s="18" t="n">
        <v>14</v>
      </c>
      <c r="D809" s="18" t="n">
        <v>186</v>
      </c>
      <c r="E809" s="18" t="n">
        <v>1</v>
      </c>
      <c r="F809" s="10">
        <f>IF($B809&gt;=Analysis!$P$1,IF($E809&lt;=Analysis!$P$2,"VIP","At risk"),IF($E809&lt;=Analysis!$P$2,"Loyal","Dormant"))</f>
        <v/>
      </c>
    </row>
    <row r="810">
      <c r="A810" s="10" t="inlineStr">
        <is>
          <t>C3808</t>
        </is>
      </c>
      <c r="B810" s="17" t="n">
        <v>3060109</v>
      </c>
      <c r="C810" s="18" t="n">
        <v>11</v>
      </c>
      <c r="D810" s="18" t="n">
        <v>579</v>
      </c>
      <c r="E810" s="18" t="n">
        <v>43</v>
      </c>
      <c r="F810" s="10">
        <f>IF($B810&gt;=Analysis!$P$1,IF($E810&lt;=Analysis!$P$2,"VIP","At risk"),IF($E810&lt;=Analysis!$P$2,"Loyal","Dormant"))</f>
        <v/>
      </c>
    </row>
    <row r="811">
      <c r="A811" s="10" t="inlineStr">
        <is>
          <t>C3809</t>
        </is>
      </c>
      <c r="B811" s="17" t="n">
        <v>432651</v>
      </c>
      <c r="C811" s="18" t="n">
        <v>5</v>
      </c>
      <c r="D811" s="18" t="n">
        <v>68</v>
      </c>
      <c r="E811" s="18" t="n">
        <v>15</v>
      </c>
      <c r="F811" s="10">
        <f>IF($B811&gt;=Analysis!$P$1,IF($E811&lt;=Analysis!$P$2,"VIP","At risk"),IF($E811&lt;=Analysis!$P$2,"Loyal","Dormant"))</f>
        <v/>
      </c>
    </row>
    <row r="812">
      <c r="A812" s="10" t="inlineStr">
        <is>
          <t>C3810</t>
        </is>
      </c>
      <c r="B812" s="17" t="n">
        <v>2663792</v>
      </c>
      <c r="C812" s="18" t="n">
        <v>11</v>
      </c>
      <c r="D812" s="18" t="n">
        <v>433</v>
      </c>
      <c r="E812" s="18" t="n">
        <v>21</v>
      </c>
      <c r="F812" s="10">
        <f>IF($B812&gt;=Analysis!$P$1,IF($E812&lt;=Analysis!$P$2,"VIP","At risk"),IF($E812&lt;=Analysis!$P$2,"Loyal","Dormant"))</f>
        <v/>
      </c>
    </row>
    <row r="813">
      <c r="A813" s="10" t="inlineStr">
        <is>
          <t>C3811</t>
        </is>
      </c>
      <c r="B813" s="17" t="n">
        <v>2448542</v>
      </c>
      <c r="C813" s="18" t="n">
        <v>14</v>
      </c>
      <c r="D813" s="18" t="n">
        <v>487</v>
      </c>
      <c r="E813" s="18" t="n">
        <v>3</v>
      </c>
      <c r="F813" s="10">
        <f>IF($B813&gt;=Analysis!$P$1,IF($E813&lt;=Analysis!$P$2,"VIP","At risk"),IF($E813&lt;=Analysis!$P$2,"Loyal","Dormant"))</f>
        <v/>
      </c>
    </row>
    <row r="814">
      <c r="A814" s="10" t="inlineStr">
        <is>
          <t>C3812</t>
        </is>
      </c>
      <c r="B814" s="17" t="n">
        <v>1082975</v>
      </c>
      <c r="C814" s="18" t="n">
        <v>2</v>
      </c>
      <c r="D814" s="18" t="n">
        <v>335</v>
      </c>
      <c r="E814" s="18" t="n">
        <v>130</v>
      </c>
      <c r="F814" s="10">
        <f>IF($B814&gt;=Analysis!$P$1,IF($E814&lt;=Analysis!$P$2,"VIP","At risk"),IF($E814&lt;=Analysis!$P$2,"Loyal","Dormant"))</f>
        <v/>
      </c>
    </row>
    <row r="815">
      <c r="A815" s="10" t="inlineStr">
        <is>
          <t>C3813</t>
        </is>
      </c>
      <c r="B815" s="17" t="n">
        <v>2880141</v>
      </c>
      <c r="C815" s="18" t="n">
        <v>14</v>
      </c>
      <c r="D815" s="18" t="n">
        <v>461</v>
      </c>
      <c r="E815" s="18" t="n">
        <v>11</v>
      </c>
      <c r="F815" s="10">
        <f>IF($B815&gt;=Analysis!$P$1,IF($E815&lt;=Analysis!$P$2,"VIP","At risk"),IF($E815&lt;=Analysis!$P$2,"Loyal","Dormant"))</f>
        <v/>
      </c>
    </row>
    <row r="816">
      <c r="A816" s="10" t="inlineStr">
        <is>
          <t>C3814</t>
        </is>
      </c>
      <c r="B816" s="17" t="n">
        <v>2526694</v>
      </c>
      <c r="C816" s="18" t="n">
        <v>13</v>
      </c>
      <c r="D816" s="18" t="n">
        <v>547</v>
      </c>
      <c r="E816" s="18" t="n">
        <v>25</v>
      </c>
      <c r="F816" s="10">
        <f>IF($B816&gt;=Analysis!$P$1,IF($E816&lt;=Analysis!$P$2,"VIP","At risk"),IF($E816&lt;=Analysis!$P$2,"Loyal","Dormant"))</f>
        <v/>
      </c>
    </row>
    <row r="817">
      <c r="A817" s="10" t="inlineStr">
        <is>
          <t>C3815</t>
        </is>
      </c>
      <c r="B817" s="17" t="n">
        <v>1251108</v>
      </c>
      <c r="C817" s="18" t="n">
        <v>4</v>
      </c>
      <c r="D817" s="18" t="n">
        <v>77</v>
      </c>
      <c r="E817" s="18" t="n">
        <v>27</v>
      </c>
      <c r="F817" s="10">
        <f>IF($B817&gt;=Analysis!$P$1,IF($E817&lt;=Analysis!$P$2,"VIP","At risk"),IF($E817&lt;=Analysis!$P$2,"Loyal","Dormant"))</f>
        <v/>
      </c>
    </row>
    <row r="818">
      <c r="A818" s="10" t="inlineStr">
        <is>
          <t>C3816</t>
        </is>
      </c>
      <c r="B818" s="17" t="n">
        <v>1525539</v>
      </c>
      <c r="C818" s="18" t="n">
        <v>2</v>
      </c>
      <c r="D818" s="18" t="n">
        <v>378</v>
      </c>
      <c r="E818" s="18" t="n">
        <v>98</v>
      </c>
      <c r="F818" s="10">
        <f>IF($B818&gt;=Analysis!$P$1,IF($E818&lt;=Analysis!$P$2,"VIP","At risk"),IF($E818&lt;=Analysis!$P$2,"Loyal","Dormant"))</f>
        <v/>
      </c>
    </row>
    <row r="819">
      <c r="A819" s="10" t="inlineStr">
        <is>
          <t>C3817</t>
        </is>
      </c>
      <c r="B819" s="17" t="n">
        <v>2783339</v>
      </c>
      <c r="C819" s="18" t="n">
        <v>16</v>
      </c>
      <c r="D819" s="18" t="n">
        <v>511</v>
      </c>
      <c r="E819" s="18" t="n">
        <v>29</v>
      </c>
      <c r="F819" s="10">
        <f>IF($B819&gt;=Analysis!$P$1,IF($E819&lt;=Analysis!$P$2,"VIP","At risk"),IF($E819&lt;=Analysis!$P$2,"Loyal","Dormant"))</f>
        <v/>
      </c>
    </row>
    <row r="820">
      <c r="A820" s="10" t="inlineStr">
        <is>
          <t>C3818</t>
        </is>
      </c>
      <c r="B820" s="17" t="n">
        <v>4679729</v>
      </c>
      <c r="C820" s="18" t="n">
        <v>18</v>
      </c>
      <c r="D820" s="18" t="n">
        <v>528</v>
      </c>
      <c r="E820" s="18" t="n">
        <v>30</v>
      </c>
      <c r="F820" s="10">
        <f>IF($B820&gt;=Analysis!$P$1,IF($E820&lt;=Analysis!$P$2,"VIP","At risk"),IF($E820&lt;=Analysis!$P$2,"Loyal","Dormant"))</f>
        <v/>
      </c>
    </row>
    <row r="821">
      <c r="A821" s="10" t="inlineStr">
        <is>
          <t>C3819</t>
        </is>
      </c>
      <c r="B821" s="17" t="n">
        <v>8073072</v>
      </c>
      <c r="C821" s="18" t="n">
        <v>33</v>
      </c>
      <c r="D821" s="18" t="n">
        <v>585</v>
      </c>
      <c r="E821" s="18" t="n">
        <v>11</v>
      </c>
      <c r="F821" s="10">
        <f>IF($B821&gt;=Analysis!$P$1,IF($E821&lt;=Analysis!$P$2,"VIP","At risk"),IF($E821&lt;=Analysis!$P$2,"Loyal","Dormant"))</f>
        <v/>
      </c>
    </row>
    <row r="822">
      <c r="A822" s="10" t="inlineStr">
        <is>
          <t>C3820</t>
        </is>
      </c>
      <c r="B822" s="17" t="n">
        <v>1384929</v>
      </c>
      <c r="C822" s="18" t="n">
        <v>4</v>
      </c>
      <c r="D822" s="18" t="n">
        <v>12</v>
      </c>
      <c r="E822" s="18" t="n">
        <v>13</v>
      </c>
      <c r="F822" s="10">
        <f>IF($B822&gt;=Analysis!$P$1,IF($E822&lt;=Analysis!$P$2,"VIP","At risk"),IF($E822&lt;=Analysis!$P$2,"Loyal","Dormant"))</f>
        <v/>
      </c>
    </row>
    <row r="823">
      <c r="A823" s="10" t="inlineStr">
        <is>
          <t>C3821</t>
        </is>
      </c>
      <c r="B823" s="17" t="n">
        <v>3664439</v>
      </c>
      <c r="C823" s="18" t="n">
        <v>18</v>
      </c>
      <c r="D823" s="18" t="n">
        <v>491</v>
      </c>
      <c r="E823" s="18" t="n">
        <v>45</v>
      </c>
      <c r="F823" s="10">
        <f>IF($B823&gt;=Analysis!$P$1,IF($E823&lt;=Analysis!$P$2,"VIP","At risk"),IF($E823&lt;=Analysis!$P$2,"Loyal","Dormant"))</f>
        <v/>
      </c>
    </row>
    <row r="824">
      <c r="A824" s="10" t="inlineStr">
        <is>
          <t>C3822</t>
        </is>
      </c>
      <c r="B824" s="17" t="n">
        <v>3520869</v>
      </c>
      <c r="C824" s="18" t="n">
        <v>11</v>
      </c>
      <c r="D824" s="18" t="n">
        <v>420</v>
      </c>
      <c r="E824" s="18" t="n">
        <v>2</v>
      </c>
      <c r="F824" s="10">
        <f>IF($B824&gt;=Analysis!$P$1,IF($E824&lt;=Analysis!$P$2,"VIP","At risk"),IF($E824&lt;=Analysis!$P$2,"Loyal","Dormant"))</f>
        <v/>
      </c>
    </row>
    <row r="825">
      <c r="A825" s="10" t="inlineStr">
        <is>
          <t>C3823</t>
        </is>
      </c>
      <c r="B825" s="17" t="n">
        <v>610244</v>
      </c>
      <c r="C825" s="18" t="n">
        <v>7</v>
      </c>
      <c r="D825" s="18" t="n">
        <v>396</v>
      </c>
      <c r="E825" s="18" t="n">
        <v>36</v>
      </c>
      <c r="F825" s="10">
        <f>IF($B825&gt;=Analysis!$P$1,IF($E825&lt;=Analysis!$P$2,"VIP","At risk"),IF($E825&lt;=Analysis!$P$2,"Loyal","Dormant"))</f>
        <v/>
      </c>
    </row>
    <row r="826">
      <c r="A826" s="10" t="inlineStr">
        <is>
          <t>C3824</t>
        </is>
      </c>
      <c r="B826" s="17" t="n">
        <v>2030376</v>
      </c>
      <c r="C826" s="18" t="n">
        <v>8</v>
      </c>
      <c r="D826" s="18" t="n">
        <v>440</v>
      </c>
      <c r="E826" s="18" t="n">
        <v>11</v>
      </c>
      <c r="F826" s="10">
        <f>IF($B826&gt;=Analysis!$P$1,IF($E826&lt;=Analysis!$P$2,"VIP","At risk"),IF($E826&lt;=Analysis!$P$2,"Loyal","Dormant"))</f>
        <v/>
      </c>
    </row>
    <row r="827">
      <c r="A827" s="10" t="inlineStr">
        <is>
          <t>C3825</t>
        </is>
      </c>
      <c r="B827" s="17" t="n">
        <v>1639349</v>
      </c>
      <c r="C827" s="18" t="n">
        <v>1</v>
      </c>
      <c r="D827" s="18" t="n">
        <v>70</v>
      </c>
      <c r="E827" s="18" t="n">
        <v>33</v>
      </c>
      <c r="F827" s="10">
        <f>IF($B827&gt;=Analysis!$P$1,IF($E827&lt;=Analysis!$P$2,"VIP","At risk"),IF($E827&lt;=Analysis!$P$2,"Loyal","Dormant"))</f>
        <v/>
      </c>
    </row>
    <row r="828">
      <c r="A828" s="10" t="inlineStr">
        <is>
          <t>C3826</t>
        </is>
      </c>
      <c r="B828" s="17" t="n">
        <v>1224776</v>
      </c>
      <c r="C828" s="18" t="n">
        <v>5</v>
      </c>
      <c r="D828" s="18" t="n">
        <v>311</v>
      </c>
      <c r="E828" s="18" t="n">
        <v>50</v>
      </c>
      <c r="F828" s="10">
        <f>IF($B828&gt;=Analysis!$P$1,IF($E828&lt;=Analysis!$P$2,"VIP","At risk"),IF($E828&lt;=Analysis!$P$2,"Loyal","Dormant"))</f>
        <v/>
      </c>
    </row>
    <row r="829">
      <c r="A829" s="10" t="inlineStr">
        <is>
          <t>C3827</t>
        </is>
      </c>
      <c r="B829" s="17" t="n">
        <v>770237</v>
      </c>
      <c r="C829" s="18" t="n">
        <v>4</v>
      </c>
      <c r="D829" s="18" t="n">
        <v>384</v>
      </c>
      <c r="E829" s="18" t="n">
        <v>128</v>
      </c>
      <c r="F829" s="10">
        <f>IF($B829&gt;=Analysis!$P$1,IF($E829&lt;=Analysis!$P$2,"VIP","At risk"),IF($E829&lt;=Analysis!$P$2,"Loyal","Dormant"))</f>
        <v/>
      </c>
    </row>
    <row r="830">
      <c r="A830" s="10" t="inlineStr">
        <is>
          <t>C3828</t>
        </is>
      </c>
      <c r="B830" s="17" t="n">
        <v>841085</v>
      </c>
      <c r="C830" s="18" t="n">
        <v>4</v>
      </c>
      <c r="D830" s="18" t="n">
        <v>164</v>
      </c>
      <c r="E830" s="18" t="n">
        <v>44</v>
      </c>
      <c r="F830" s="10">
        <f>IF($B830&gt;=Analysis!$P$1,IF($E830&lt;=Analysis!$P$2,"VIP","At risk"),IF($E830&lt;=Analysis!$P$2,"Loyal","Dormant"))</f>
        <v/>
      </c>
    </row>
    <row r="831">
      <c r="A831" s="10" t="inlineStr">
        <is>
          <t>C3829</t>
        </is>
      </c>
      <c r="B831" s="17" t="n">
        <v>881282</v>
      </c>
      <c r="C831" s="18" t="n">
        <v>1</v>
      </c>
      <c r="D831" s="18" t="n">
        <v>462</v>
      </c>
      <c r="E831" s="18" t="n">
        <v>91</v>
      </c>
      <c r="F831" s="10">
        <f>IF($B831&gt;=Analysis!$P$1,IF($E831&lt;=Analysis!$P$2,"VIP","At risk"),IF($E831&lt;=Analysis!$P$2,"Loyal","Dormant"))</f>
        <v/>
      </c>
    </row>
    <row r="832">
      <c r="A832" s="10" t="inlineStr">
        <is>
          <t>C3830</t>
        </is>
      </c>
      <c r="B832" s="17" t="n">
        <v>1348210</v>
      </c>
      <c r="C832" s="18" t="n">
        <v>1</v>
      </c>
      <c r="D832" s="18" t="n">
        <v>310</v>
      </c>
      <c r="E832" s="18" t="n">
        <v>1</v>
      </c>
      <c r="F832" s="10">
        <f>IF($B832&gt;=Analysis!$P$1,IF($E832&lt;=Analysis!$P$2,"VIP","At risk"),IF($E832&lt;=Analysis!$P$2,"Loyal","Dormant"))</f>
        <v/>
      </c>
    </row>
    <row r="833">
      <c r="A833" s="10" t="inlineStr">
        <is>
          <t>C3831</t>
        </is>
      </c>
      <c r="B833" s="17" t="n">
        <v>1121113</v>
      </c>
      <c r="C833" s="18" t="n">
        <v>6</v>
      </c>
      <c r="D833" s="18" t="n">
        <v>331</v>
      </c>
      <c r="E833" s="18" t="n">
        <v>136</v>
      </c>
      <c r="F833" s="10">
        <f>IF($B833&gt;=Analysis!$P$1,IF($E833&lt;=Analysis!$P$2,"VIP","At risk"),IF($E833&lt;=Analysis!$P$2,"Loyal","Dormant"))</f>
        <v/>
      </c>
    </row>
    <row r="834">
      <c r="A834" s="10" t="inlineStr">
        <is>
          <t>C3832</t>
        </is>
      </c>
      <c r="B834" s="17" t="n">
        <v>1179797</v>
      </c>
      <c r="C834" s="18" t="n">
        <v>17</v>
      </c>
      <c r="D834" s="18" t="n">
        <v>506</v>
      </c>
      <c r="E834" s="18" t="n">
        <v>26</v>
      </c>
      <c r="F834" s="10">
        <f>IF($B834&gt;=Analysis!$P$1,IF($E834&lt;=Analysis!$P$2,"VIP","At risk"),IF($E834&lt;=Analysis!$P$2,"Loyal","Dormant"))</f>
        <v/>
      </c>
    </row>
    <row r="835">
      <c r="A835" s="10" t="inlineStr">
        <is>
          <t>C3833</t>
        </is>
      </c>
      <c r="B835" s="17" t="n">
        <v>672484</v>
      </c>
      <c r="C835" s="18" t="n">
        <v>1</v>
      </c>
      <c r="D835" s="18" t="n">
        <v>89</v>
      </c>
      <c r="E835" s="18" t="n">
        <v>21</v>
      </c>
      <c r="F835" s="10">
        <f>IF($B835&gt;=Analysis!$P$1,IF($E835&lt;=Analysis!$P$2,"VIP","At risk"),IF($E835&lt;=Analysis!$P$2,"Loyal","Dormant"))</f>
        <v/>
      </c>
    </row>
    <row r="836">
      <c r="A836" s="10" t="inlineStr">
        <is>
          <t>C3834</t>
        </is>
      </c>
      <c r="B836" s="17" t="n">
        <v>1116501</v>
      </c>
      <c r="C836" s="18" t="n">
        <v>6</v>
      </c>
      <c r="D836" s="18" t="n">
        <v>338</v>
      </c>
      <c r="E836" s="18" t="n">
        <v>127</v>
      </c>
      <c r="F836" s="10">
        <f>IF($B836&gt;=Analysis!$P$1,IF($E836&lt;=Analysis!$P$2,"VIP","At risk"),IF($E836&lt;=Analysis!$P$2,"Loyal","Dormant"))</f>
        <v/>
      </c>
    </row>
    <row r="837">
      <c r="A837" s="10" t="inlineStr">
        <is>
          <t>C3835</t>
        </is>
      </c>
      <c r="B837" s="17" t="n">
        <v>3602717</v>
      </c>
      <c r="C837" s="18" t="n">
        <v>12</v>
      </c>
      <c r="D837" s="18" t="n">
        <v>394</v>
      </c>
      <c r="E837" s="18" t="n">
        <v>17</v>
      </c>
      <c r="F837" s="10">
        <f>IF($B837&gt;=Analysis!$P$1,IF($E837&lt;=Analysis!$P$2,"VIP","At risk"),IF($E837&lt;=Analysis!$P$2,"Loyal","Dormant"))</f>
        <v/>
      </c>
    </row>
    <row r="838">
      <c r="A838" s="10" t="inlineStr">
        <is>
          <t>C3836</t>
        </is>
      </c>
      <c r="B838" s="17" t="n">
        <v>1665440</v>
      </c>
      <c r="C838" s="18" t="n">
        <v>3</v>
      </c>
      <c r="D838" s="18" t="n">
        <v>148</v>
      </c>
      <c r="E838" s="18" t="n">
        <v>113</v>
      </c>
      <c r="F838" s="10">
        <f>IF($B838&gt;=Analysis!$P$1,IF($E838&lt;=Analysis!$P$2,"VIP","At risk"),IF($E838&lt;=Analysis!$P$2,"Loyal","Dormant"))</f>
        <v/>
      </c>
    </row>
    <row r="839">
      <c r="A839" s="10" t="inlineStr">
        <is>
          <t>C3837</t>
        </is>
      </c>
      <c r="B839" s="17" t="n">
        <v>612315</v>
      </c>
      <c r="C839" s="18" t="n">
        <v>2</v>
      </c>
      <c r="D839" s="18" t="n">
        <v>5</v>
      </c>
      <c r="E839" s="18" t="n">
        <v>104</v>
      </c>
      <c r="F839" s="10">
        <f>IF($B839&gt;=Analysis!$P$1,IF($E839&lt;=Analysis!$P$2,"VIP","At risk"),IF($E839&lt;=Analysis!$P$2,"Loyal","Dormant"))</f>
        <v/>
      </c>
    </row>
    <row r="840">
      <c r="A840" s="10" t="inlineStr">
        <is>
          <t>C3838</t>
        </is>
      </c>
      <c r="B840" s="17" t="n">
        <v>718201</v>
      </c>
      <c r="C840" s="18" t="n">
        <v>7</v>
      </c>
      <c r="D840" s="18" t="n">
        <v>173</v>
      </c>
      <c r="E840" s="18" t="n">
        <v>93</v>
      </c>
      <c r="F840" s="10">
        <f>IF($B840&gt;=Analysis!$P$1,IF($E840&lt;=Analysis!$P$2,"VIP","At risk"),IF($E840&lt;=Analysis!$P$2,"Loyal","Dormant"))</f>
        <v/>
      </c>
    </row>
    <row r="841">
      <c r="A841" s="10" t="inlineStr">
        <is>
          <t>C3839</t>
        </is>
      </c>
      <c r="B841" s="17" t="n">
        <v>723726</v>
      </c>
      <c r="C841" s="18" t="n">
        <v>3</v>
      </c>
      <c r="D841" s="18" t="n">
        <v>90</v>
      </c>
      <c r="E841" s="18" t="n">
        <v>41</v>
      </c>
      <c r="F841" s="10">
        <f>IF($B841&gt;=Analysis!$P$1,IF($E841&lt;=Analysis!$P$2,"VIP","At risk"),IF($E841&lt;=Analysis!$P$2,"Loyal","Dormant"))</f>
        <v/>
      </c>
    </row>
    <row r="842">
      <c r="A842" s="10" t="inlineStr">
        <is>
          <t>C3840</t>
        </is>
      </c>
      <c r="B842" s="17" t="n">
        <v>913850</v>
      </c>
      <c r="C842" s="18" t="n">
        <v>5</v>
      </c>
      <c r="D842" s="18" t="n">
        <v>212</v>
      </c>
      <c r="E842" s="18" t="n">
        <v>62</v>
      </c>
      <c r="F842" s="10">
        <f>IF($B842&gt;=Analysis!$P$1,IF($E842&lt;=Analysis!$P$2,"VIP","At risk"),IF($E842&lt;=Analysis!$P$2,"Loyal","Dormant"))</f>
        <v/>
      </c>
    </row>
    <row r="843">
      <c r="A843" s="10" t="inlineStr">
        <is>
          <t>C3841</t>
        </is>
      </c>
      <c r="B843" s="17" t="n">
        <v>962129</v>
      </c>
      <c r="C843" s="18" t="n">
        <v>2</v>
      </c>
      <c r="D843" s="18" t="n">
        <v>77</v>
      </c>
      <c r="E843" s="18" t="n">
        <v>14</v>
      </c>
      <c r="F843" s="10">
        <f>IF($B843&gt;=Analysis!$P$1,IF($E843&lt;=Analysis!$P$2,"VIP","At risk"),IF($E843&lt;=Analysis!$P$2,"Loyal","Dormant"))</f>
        <v/>
      </c>
    </row>
    <row r="844">
      <c r="A844" s="10" t="inlineStr">
        <is>
          <t>C3842</t>
        </is>
      </c>
      <c r="B844" s="17" t="n">
        <v>3707193</v>
      </c>
      <c r="C844" s="18" t="n">
        <v>16</v>
      </c>
      <c r="D844" s="18" t="n">
        <v>459</v>
      </c>
      <c r="E844" s="18" t="n">
        <v>41</v>
      </c>
      <c r="F844" s="10">
        <f>IF($B844&gt;=Analysis!$P$1,IF($E844&lt;=Analysis!$P$2,"VIP","At risk"),IF($E844&lt;=Analysis!$P$2,"Loyal","Dormant"))</f>
        <v/>
      </c>
    </row>
    <row r="845">
      <c r="A845" s="10" t="inlineStr">
        <is>
          <t>C3843</t>
        </is>
      </c>
      <c r="B845" s="17" t="n">
        <v>681337</v>
      </c>
      <c r="C845" s="18" t="n">
        <v>6</v>
      </c>
      <c r="D845" s="18" t="n">
        <v>126</v>
      </c>
      <c r="E845" s="18" t="n">
        <v>101</v>
      </c>
      <c r="F845" s="10">
        <f>IF($B845&gt;=Analysis!$P$1,IF($E845&lt;=Analysis!$P$2,"VIP","At risk"),IF($E845&lt;=Analysis!$P$2,"Loyal","Dormant"))</f>
        <v/>
      </c>
    </row>
    <row r="846">
      <c r="A846" s="10" t="inlineStr">
        <is>
          <t>C3844</t>
        </is>
      </c>
      <c r="B846" s="17" t="n">
        <v>8684138</v>
      </c>
      <c r="C846" s="18" t="n">
        <v>35</v>
      </c>
      <c r="D846" s="18" t="n">
        <v>551</v>
      </c>
      <c r="E846" s="18" t="n">
        <v>1</v>
      </c>
      <c r="F846" s="10">
        <f>IF($B846&gt;=Analysis!$P$1,IF($E846&lt;=Analysis!$P$2,"VIP","At risk"),IF($E846&lt;=Analysis!$P$2,"Loyal","Dormant"))</f>
        <v/>
      </c>
    </row>
    <row r="847">
      <c r="A847" s="10" t="inlineStr">
        <is>
          <t>C3845</t>
        </is>
      </c>
      <c r="B847" s="17" t="n">
        <v>1091589</v>
      </c>
      <c r="C847" s="18" t="n">
        <v>4</v>
      </c>
      <c r="D847" s="18" t="n">
        <v>331</v>
      </c>
      <c r="E847" s="18" t="n">
        <v>31</v>
      </c>
      <c r="F847" s="10">
        <f>IF($B847&gt;=Analysis!$P$1,IF($E847&lt;=Analysis!$P$2,"VIP","At risk"),IF($E847&lt;=Analysis!$P$2,"Loyal","Dormant"))</f>
        <v/>
      </c>
    </row>
    <row r="848">
      <c r="A848" s="10" t="inlineStr">
        <is>
          <t>C3846</t>
        </is>
      </c>
      <c r="B848" s="17" t="n">
        <v>1285063</v>
      </c>
      <c r="C848" s="18" t="n">
        <v>5</v>
      </c>
      <c r="D848" s="18" t="n">
        <v>98</v>
      </c>
      <c r="E848" s="18" t="n">
        <v>12</v>
      </c>
      <c r="F848" s="10">
        <f>IF($B848&gt;=Analysis!$P$1,IF($E848&lt;=Analysis!$P$2,"VIP","At risk"),IF($E848&lt;=Analysis!$P$2,"Loyal","Dormant"))</f>
        <v/>
      </c>
    </row>
    <row r="849">
      <c r="A849" s="10" t="inlineStr">
        <is>
          <t>C3847</t>
        </is>
      </c>
      <c r="B849" s="17" t="n">
        <v>6237622</v>
      </c>
      <c r="C849" s="18" t="n">
        <v>21</v>
      </c>
      <c r="D849" s="18" t="n">
        <v>733</v>
      </c>
      <c r="E849" s="18" t="n">
        <v>3</v>
      </c>
      <c r="F849" s="10">
        <f>IF($B849&gt;=Analysis!$P$1,IF($E849&lt;=Analysis!$P$2,"VIP","At risk"),IF($E849&lt;=Analysis!$P$2,"Loyal","Dormant"))</f>
        <v/>
      </c>
    </row>
    <row r="850">
      <c r="A850" s="10" t="inlineStr">
        <is>
          <t>C3848</t>
        </is>
      </c>
      <c r="B850" s="17" t="n">
        <v>1018421</v>
      </c>
      <c r="C850" s="18" t="n">
        <v>4</v>
      </c>
      <c r="D850" s="18" t="n">
        <v>321</v>
      </c>
      <c r="E850" s="18" t="n">
        <v>55</v>
      </c>
      <c r="F850" s="10">
        <f>IF($B850&gt;=Analysis!$P$1,IF($E850&lt;=Analysis!$P$2,"VIP","At risk"),IF($E850&lt;=Analysis!$P$2,"Loyal","Dormant"))</f>
        <v/>
      </c>
    </row>
    <row r="851">
      <c r="A851" s="10" t="inlineStr">
        <is>
          <t>C3849</t>
        </is>
      </c>
      <c r="B851" s="17" t="n">
        <v>1043742</v>
      </c>
      <c r="C851" s="18" t="n">
        <v>3</v>
      </c>
      <c r="D851" s="18" t="n">
        <v>64</v>
      </c>
      <c r="E851" s="18" t="n">
        <v>1</v>
      </c>
      <c r="F851" s="10">
        <f>IF($B851&gt;=Analysis!$P$1,IF($E851&lt;=Analysis!$P$2,"VIP","At risk"),IF($E851&lt;=Analysis!$P$2,"Loyal","Dormant"))</f>
        <v/>
      </c>
    </row>
    <row r="852">
      <c r="A852" s="10" t="inlineStr">
        <is>
          <t>C3850</t>
        </is>
      </c>
      <c r="B852" s="17" t="n">
        <v>2043987</v>
      </c>
      <c r="C852" s="18" t="n">
        <v>1</v>
      </c>
      <c r="D852" s="18" t="n">
        <v>5</v>
      </c>
      <c r="E852" s="18" t="n">
        <v>19</v>
      </c>
      <c r="F852" s="10">
        <f>IF($B852&gt;=Analysis!$P$1,IF($E852&lt;=Analysis!$P$2,"VIP","At risk"),IF($E852&lt;=Analysis!$P$2,"Loyal","Dormant"))</f>
        <v/>
      </c>
    </row>
    <row r="853">
      <c r="A853" s="10" t="inlineStr">
        <is>
          <t>C3851</t>
        </is>
      </c>
      <c r="B853" s="17" t="n">
        <v>475383</v>
      </c>
      <c r="C853" s="18" t="n">
        <v>5</v>
      </c>
      <c r="D853" s="18" t="n">
        <v>469</v>
      </c>
      <c r="E853" s="18" t="n">
        <v>58</v>
      </c>
      <c r="F853" s="10">
        <f>IF($B853&gt;=Analysis!$P$1,IF($E853&lt;=Analysis!$P$2,"VIP","At risk"),IF($E853&lt;=Analysis!$P$2,"Loyal","Dormant"))</f>
        <v/>
      </c>
    </row>
    <row r="854">
      <c r="A854" s="10" t="inlineStr">
        <is>
          <t>C3852</t>
        </is>
      </c>
      <c r="B854" s="17" t="n">
        <v>1320539</v>
      </c>
      <c r="C854" s="18" t="n">
        <v>1</v>
      </c>
      <c r="D854" s="18" t="n">
        <v>550</v>
      </c>
      <c r="E854" s="18" t="n">
        <v>117</v>
      </c>
      <c r="F854" s="10">
        <f>IF($B854&gt;=Analysis!$P$1,IF($E854&lt;=Analysis!$P$2,"VIP","At risk"),IF($E854&lt;=Analysis!$P$2,"Loyal","Dormant"))</f>
        <v/>
      </c>
    </row>
    <row r="855">
      <c r="A855" s="10" t="inlineStr">
        <is>
          <t>C3853</t>
        </is>
      </c>
      <c r="B855" s="17" t="n">
        <v>1333440</v>
      </c>
      <c r="C855" s="18" t="n">
        <v>3</v>
      </c>
      <c r="D855" s="18" t="n">
        <v>185</v>
      </c>
      <c r="E855" s="18" t="n">
        <v>59</v>
      </c>
      <c r="F855" s="10">
        <f>IF($B855&gt;=Analysis!$P$1,IF($E855&lt;=Analysis!$P$2,"VIP","At risk"),IF($E855&lt;=Analysis!$P$2,"Loyal","Dormant"))</f>
        <v/>
      </c>
    </row>
    <row r="856">
      <c r="A856" s="10" t="inlineStr">
        <is>
          <t>C3854</t>
        </is>
      </c>
      <c r="B856" s="17" t="n">
        <v>1042636</v>
      </c>
      <c r="C856" s="18" t="n">
        <v>1</v>
      </c>
      <c r="D856" s="18" t="n">
        <v>48</v>
      </c>
      <c r="E856" s="18" t="n">
        <v>6</v>
      </c>
      <c r="F856" s="10">
        <f>IF($B856&gt;=Analysis!$P$1,IF($E856&lt;=Analysis!$P$2,"VIP","At risk"),IF($E856&lt;=Analysis!$P$2,"Loyal","Dormant"))</f>
        <v/>
      </c>
    </row>
    <row r="857">
      <c r="A857" s="10" t="inlineStr">
        <is>
          <t>C3855</t>
        </is>
      </c>
      <c r="B857" s="17" t="n">
        <v>460557</v>
      </c>
      <c r="C857" s="18" t="n">
        <v>2</v>
      </c>
      <c r="D857" s="18" t="n">
        <v>270</v>
      </c>
      <c r="E857" s="18" t="n">
        <v>78</v>
      </c>
      <c r="F857" s="10">
        <f>IF($B857&gt;=Analysis!$P$1,IF($E857&lt;=Analysis!$P$2,"VIP","At risk"),IF($E857&lt;=Analysis!$P$2,"Loyal","Dormant"))</f>
        <v/>
      </c>
    </row>
    <row r="858">
      <c r="A858" s="10" t="inlineStr">
        <is>
          <t>C3856</t>
        </is>
      </c>
      <c r="B858" s="17" t="n">
        <v>851086</v>
      </c>
      <c r="C858" s="18" t="n">
        <v>2</v>
      </c>
      <c r="D858" s="18" t="n">
        <v>40</v>
      </c>
      <c r="E858" s="18" t="n">
        <v>36</v>
      </c>
      <c r="F858" s="10">
        <f>IF($B858&gt;=Analysis!$P$1,IF($E858&lt;=Analysis!$P$2,"VIP","At risk"),IF($E858&lt;=Analysis!$P$2,"Loyal","Dormant"))</f>
        <v/>
      </c>
    </row>
    <row r="859">
      <c r="A859" s="10" t="inlineStr">
        <is>
          <t>C3857</t>
        </is>
      </c>
      <c r="B859" s="17" t="n">
        <v>1261178</v>
      </c>
      <c r="C859" s="18" t="n">
        <v>4</v>
      </c>
      <c r="D859" s="18" t="n">
        <v>192</v>
      </c>
      <c r="E859" s="18" t="n">
        <v>121</v>
      </c>
      <c r="F859" s="10">
        <f>IF($B859&gt;=Analysis!$P$1,IF($E859&lt;=Analysis!$P$2,"VIP","At risk"),IF($E859&lt;=Analysis!$P$2,"Loyal","Dormant"))</f>
        <v/>
      </c>
    </row>
    <row r="860">
      <c r="A860" s="10" t="inlineStr">
        <is>
          <t>C3858</t>
        </is>
      </c>
      <c r="B860" s="17" t="n">
        <v>3354205</v>
      </c>
      <c r="C860" s="18" t="n">
        <v>14</v>
      </c>
      <c r="D860" s="18" t="n">
        <v>360</v>
      </c>
      <c r="E860" s="18" t="n">
        <v>40</v>
      </c>
      <c r="F860" s="10">
        <f>IF($B860&gt;=Analysis!$P$1,IF($E860&lt;=Analysis!$P$2,"VIP","At risk"),IF($E860&lt;=Analysis!$P$2,"Loyal","Dormant"))</f>
        <v/>
      </c>
    </row>
    <row r="861">
      <c r="A861" s="10" t="inlineStr">
        <is>
          <t>C3859</t>
        </is>
      </c>
      <c r="B861" s="17" t="n">
        <v>403341</v>
      </c>
      <c r="C861" s="18" t="n">
        <v>5</v>
      </c>
      <c r="D861" s="18" t="n">
        <v>5</v>
      </c>
      <c r="E861" s="18" t="n">
        <v>67</v>
      </c>
      <c r="F861" s="10">
        <f>IF($B861&gt;=Analysis!$P$1,IF($E861&lt;=Analysis!$P$2,"VIP","At risk"),IF($E861&lt;=Analysis!$P$2,"Loyal","Dormant"))</f>
        <v/>
      </c>
    </row>
    <row r="862">
      <c r="A862" s="10" t="inlineStr">
        <is>
          <t>C3860</t>
        </is>
      </c>
      <c r="B862" s="17" t="n">
        <v>3259938</v>
      </c>
      <c r="C862" s="18" t="n">
        <v>23</v>
      </c>
      <c r="D862" s="18" t="n">
        <v>531</v>
      </c>
      <c r="E862" s="18" t="n">
        <v>23</v>
      </c>
      <c r="F862" s="10">
        <f>IF($B862&gt;=Analysis!$P$1,IF($E862&lt;=Analysis!$P$2,"VIP","At risk"),IF($E862&lt;=Analysis!$P$2,"Loyal","Dormant"))</f>
        <v/>
      </c>
    </row>
    <row r="863">
      <c r="A863" s="10" t="inlineStr">
        <is>
          <t>C3861</t>
        </is>
      </c>
      <c r="B863" s="17" t="n">
        <v>6807982</v>
      </c>
      <c r="C863" s="18" t="n">
        <v>29</v>
      </c>
      <c r="D863" s="18" t="n">
        <v>461</v>
      </c>
      <c r="E863" s="18" t="n">
        <v>20</v>
      </c>
      <c r="F863" s="10">
        <f>IF($B863&gt;=Analysis!$P$1,IF($E863&lt;=Analysis!$P$2,"VIP","At risk"),IF($E863&lt;=Analysis!$P$2,"Loyal","Dormant"))</f>
        <v/>
      </c>
    </row>
    <row r="864">
      <c r="A864" s="10" t="inlineStr">
        <is>
          <t>C3862</t>
        </is>
      </c>
      <c r="B864" s="17" t="n">
        <v>3556595</v>
      </c>
      <c r="C864" s="18" t="n">
        <v>18</v>
      </c>
      <c r="D864" s="18" t="n">
        <v>344</v>
      </c>
      <c r="E864" s="18" t="n">
        <v>17</v>
      </c>
      <c r="F864" s="10">
        <f>IF($B864&gt;=Analysis!$P$1,IF($E864&lt;=Analysis!$P$2,"VIP","At risk"),IF($E864&lt;=Analysis!$P$2,"Loyal","Dormant"))</f>
        <v/>
      </c>
    </row>
    <row r="865">
      <c r="A865" s="10" t="inlineStr">
        <is>
          <t>C3863</t>
        </is>
      </c>
      <c r="B865" s="17" t="n">
        <v>227781</v>
      </c>
      <c r="C865" s="18" t="n">
        <v>1</v>
      </c>
      <c r="D865" s="18" t="n">
        <v>467</v>
      </c>
      <c r="E865" s="18" t="n">
        <v>142</v>
      </c>
      <c r="F865" s="10">
        <f>IF($B865&gt;=Analysis!$P$1,IF($E865&lt;=Analysis!$P$2,"VIP","At risk"),IF($E865&lt;=Analysis!$P$2,"Loyal","Dormant"))</f>
        <v/>
      </c>
    </row>
    <row r="866">
      <c r="A866" s="10" t="inlineStr">
        <is>
          <t>C3864</t>
        </is>
      </c>
      <c r="B866" s="17" t="n">
        <v>3584202</v>
      </c>
      <c r="C866" s="18" t="n">
        <v>23</v>
      </c>
      <c r="D866" s="18" t="n">
        <v>666</v>
      </c>
      <c r="E866" s="18" t="n">
        <v>14</v>
      </c>
      <c r="F866" s="10">
        <f>IF($B866&gt;=Analysis!$P$1,IF($E866&lt;=Analysis!$P$2,"VIP","At risk"),IF($E866&lt;=Analysis!$P$2,"Loyal","Dormant"))</f>
        <v/>
      </c>
    </row>
    <row r="867">
      <c r="A867" s="10" t="inlineStr">
        <is>
          <t>C3865</t>
        </is>
      </c>
      <c r="B867" s="17" t="n">
        <v>636882</v>
      </c>
      <c r="C867" s="18" t="n">
        <v>5</v>
      </c>
      <c r="D867" s="18" t="n">
        <v>352</v>
      </c>
      <c r="E867" s="18" t="n">
        <v>40</v>
      </c>
      <c r="F867" s="10">
        <f>IF($B867&gt;=Analysis!$P$1,IF($E867&lt;=Analysis!$P$2,"VIP","At risk"),IF($E867&lt;=Analysis!$P$2,"Loyal","Dormant"))</f>
        <v/>
      </c>
    </row>
    <row r="868">
      <c r="A868" s="10" t="inlineStr">
        <is>
          <t>C3866</t>
        </is>
      </c>
      <c r="B868" s="17" t="n">
        <v>1257496</v>
      </c>
      <c r="C868" s="18" t="n">
        <v>6</v>
      </c>
      <c r="D868" s="18" t="n">
        <v>339</v>
      </c>
      <c r="E868" s="18" t="n">
        <v>91</v>
      </c>
      <c r="F868" s="10">
        <f>IF($B868&gt;=Analysis!$P$1,IF($E868&lt;=Analysis!$P$2,"VIP","At risk"),IF($E868&lt;=Analysis!$P$2,"Loyal","Dormant"))</f>
        <v/>
      </c>
    </row>
    <row r="869">
      <c r="A869" s="10" t="inlineStr">
        <is>
          <t>C3867</t>
        </is>
      </c>
      <c r="B869" s="17" t="n">
        <v>886334</v>
      </c>
      <c r="C869" s="18" t="n">
        <v>6</v>
      </c>
      <c r="D869" s="18" t="n">
        <v>5</v>
      </c>
      <c r="E869" s="18" t="n">
        <v>21</v>
      </c>
      <c r="F869" s="10">
        <f>IF($B869&gt;=Analysis!$P$1,IF($E869&lt;=Analysis!$P$2,"VIP","At risk"),IF($E869&lt;=Analysis!$P$2,"Loyal","Dormant"))</f>
        <v/>
      </c>
    </row>
    <row r="870">
      <c r="A870" s="10" t="inlineStr">
        <is>
          <t>C3868</t>
        </is>
      </c>
      <c r="B870" s="17" t="n">
        <v>0</v>
      </c>
      <c r="C870" s="18" t="n">
        <v>6</v>
      </c>
      <c r="D870" s="18" t="n">
        <v>160</v>
      </c>
      <c r="E870" s="18" t="n">
        <v>101</v>
      </c>
      <c r="F870" s="10">
        <f>IF($B870&gt;=Analysis!$P$1,IF($E870&lt;=Analysis!$P$2,"VIP","At risk"),IF($E870&lt;=Analysis!$P$2,"Loyal","Dormant"))</f>
        <v/>
      </c>
    </row>
    <row r="871">
      <c r="A871" s="10" t="inlineStr">
        <is>
          <t>C3869</t>
        </is>
      </c>
      <c r="B871" s="17" t="n">
        <v>8835438</v>
      </c>
      <c r="C871" s="18" t="n">
        <v>21</v>
      </c>
      <c r="D871" s="18" t="n">
        <v>514</v>
      </c>
      <c r="E871" s="18" t="n">
        <v>15</v>
      </c>
      <c r="F871" s="10">
        <f>IF($B871&gt;=Analysis!$P$1,IF($E871&lt;=Analysis!$P$2,"VIP","At risk"),IF($E871&lt;=Analysis!$P$2,"Loyal","Dormant"))</f>
        <v/>
      </c>
    </row>
    <row r="872">
      <c r="A872" s="10" t="inlineStr">
        <is>
          <t>C3870</t>
        </is>
      </c>
      <c r="B872" s="17" t="n">
        <v>1133481</v>
      </c>
      <c r="C872" s="18" t="n">
        <v>4</v>
      </c>
      <c r="D872" s="18" t="n">
        <v>51</v>
      </c>
      <c r="E872" s="18" t="n">
        <v>10</v>
      </c>
      <c r="F872" s="10">
        <f>IF($B872&gt;=Analysis!$P$1,IF($E872&lt;=Analysis!$P$2,"VIP","At risk"),IF($E872&lt;=Analysis!$P$2,"Loyal","Dormant"))</f>
        <v/>
      </c>
    </row>
    <row r="873">
      <c r="A873" s="10" t="inlineStr">
        <is>
          <t>C3871</t>
        </is>
      </c>
      <c r="B873" s="17" t="n">
        <v>660912</v>
      </c>
      <c r="C873" s="18" t="n">
        <v>1</v>
      </c>
      <c r="D873" s="18" t="n">
        <v>471</v>
      </c>
      <c r="E873" s="18" t="n">
        <v>26</v>
      </c>
      <c r="F873" s="10">
        <f>IF($B873&gt;=Analysis!$P$1,IF($E873&lt;=Analysis!$P$2,"VIP","At risk"),IF($E873&lt;=Analysis!$P$2,"Loyal","Dormant"))</f>
        <v/>
      </c>
    </row>
    <row r="874">
      <c r="A874" s="10" t="inlineStr">
        <is>
          <t>C3872</t>
        </is>
      </c>
      <c r="B874" s="17" t="n">
        <v>211128</v>
      </c>
      <c r="C874" s="18" t="n">
        <v>4</v>
      </c>
      <c r="D874" s="18" t="n">
        <v>79</v>
      </c>
      <c r="E874" s="18" t="n">
        <v>43</v>
      </c>
      <c r="F874" s="10">
        <f>IF($B874&gt;=Analysis!$P$1,IF($E874&lt;=Analysis!$P$2,"VIP","At risk"),IF($E874&lt;=Analysis!$P$2,"Loyal","Dormant"))</f>
        <v/>
      </c>
    </row>
    <row r="875">
      <c r="A875" s="10" t="inlineStr">
        <is>
          <t>C3873</t>
        </is>
      </c>
      <c r="B875" s="17" t="n">
        <v>833150</v>
      </c>
      <c r="C875" s="18" t="n">
        <v>3</v>
      </c>
      <c r="D875" s="18" t="n">
        <v>138</v>
      </c>
      <c r="E875" s="18" t="n">
        <v>78</v>
      </c>
      <c r="F875" s="10">
        <f>IF($B875&gt;=Analysis!$P$1,IF($E875&lt;=Analysis!$P$2,"VIP","At risk"),IF($E875&lt;=Analysis!$P$2,"Loyal","Dormant"))</f>
        <v/>
      </c>
    </row>
    <row r="876">
      <c r="A876" s="10" t="inlineStr">
        <is>
          <t>C3874</t>
        </is>
      </c>
      <c r="B876" s="17" t="n">
        <v>985310</v>
      </c>
      <c r="C876" s="18" t="n">
        <v>2</v>
      </c>
      <c r="D876" s="18" t="n">
        <v>5</v>
      </c>
      <c r="E876" s="18" t="n">
        <v>16</v>
      </c>
      <c r="F876" s="10">
        <f>IF($B876&gt;=Analysis!$P$1,IF($E876&lt;=Analysis!$P$2,"VIP","At risk"),IF($E876&lt;=Analysis!$P$2,"Loyal","Dormant"))</f>
        <v/>
      </c>
    </row>
    <row r="877">
      <c r="A877" s="10" t="inlineStr">
        <is>
          <t>C3875</t>
        </is>
      </c>
      <c r="B877" s="17" t="n">
        <v>1464150</v>
      </c>
      <c r="C877" s="18" t="n">
        <v>4</v>
      </c>
      <c r="D877" s="18" t="n">
        <v>449</v>
      </c>
      <c r="E877" s="18" t="n">
        <v>56</v>
      </c>
      <c r="F877" s="10">
        <f>IF($B877&gt;=Analysis!$P$1,IF($E877&lt;=Analysis!$P$2,"VIP","At risk"),IF($E877&lt;=Analysis!$P$2,"Loyal","Dormant"))</f>
        <v/>
      </c>
    </row>
    <row r="878">
      <c r="A878" s="10" t="inlineStr">
        <is>
          <t>C3876</t>
        </is>
      </c>
      <c r="B878" s="17" t="n">
        <v>829932</v>
      </c>
      <c r="C878" s="18" t="n">
        <v>1</v>
      </c>
      <c r="D878" s="18" t="n">
        <v>318</v>
      </c>
      <c r="E878" s="18" t="n">
        <v>118</v>
      </c>
      <c r="F878" s="10">
        <f>IF($B878&gt;=Analysis!$P$1,IF($E878&lt;=Analysis!$P$2,"VIP","At risk"),IF($E878&lt;=Analysis!$P$2,"Loyal","Dormant"))</f>
        <v/>
      </c>
    </row>
    <row r="879">
      <c r="A879" s="10" t="inlineStr">
        <is>
          <t>C3877</t>
        </is>
      </c>
      <c r="B879" s="17" t="n">
        <v>4265143</v>
      </c>
      <c r="C879" s="18" t="n">
        <v>9</v>
      </c>
      <c r="D879" s="18" t="n">
        <v>387</v>
      </c>
      <c r="E879" s="18" t="n">
        <v>46</v>
      </c>
      <c r="F879" s="10">
        <f>IF($B879&gt;=Analysis!$P$1,IF($E879&lt;=Analysis!$P$2,"VIP","At risk"),IF($E879&lt;=Analysis!$P$2,"Loyal","Dormant"))</f>
        <v/>
      </c>
    </row>
    <row r="880">
      <c r="A880" s="10" t="inlineStr">
        <is>
          <t>C3878</t>
        </is>
      </c>
      <c r="B880" s="17" t="n">
        <v>3628330</v>
      </c>
      <c r="C880" s="18" t="n">
        <v>9</v>
      </c>
      <c r="D880" s="18" t="n">
        <v>444</v>
      </c>
      <c r="E880" s="18" t="n">
        <v>34</v>
      </c>
      <c r="F880" s="10">
        <f>IF($B880&gt;=Analysis!$P$1,IF($E880&lt;=Analysis!$P$2,"VIP","At risk"),IF($E880&lt;=Analysis!$P$2,"Loyal","Dormant"))</f>
        <v/>
      </c>
    </row>
    <row r="881">
      <c r="A881" s="10" t="inlineStr">
        <is>
          <t>C3879</t>
        </is>
      </c>
      <c r="B881" s="17" t="n">
        <v>9316343</v>
      </c>
      <c r="C881" s="18" t="n">
        <v>23</v>
      </c>
      <c r="D881" s="18" t="n">
        <v>627</v>
      </c>
      <c r="E881" s="18" t="n">
        <v>5</v>
      </c>
      <c r="F881" s="10">
        <f>IF($B881&gt;=Analysis!$P$1,IF($E881&lt;=Analysis!$P$2,"VIP","At risk"),IF($E881&lt;=Analysis!$P$2,"Loyal","Dormant"))</f>
        <v/>
      </c>
    </row>
    <row r="882">
      <c r="A882" s="10" t="inlineStr">
        <is>
          <t>C3880</t>
        </is>
      </c>
      <c r="B882" s="17" t="n">
        <v>2632180</v>
      </c>
      <c r="C882" s="18" t="n">
        <v>1</v>
      </c>
      <c r="D882" s="18" t="n">
        <v>5</v>
      </c>
      <c r="E882" s="18" t="n">
        <v>29</v>
      </c>
      <c r="F882" s="10">
        <f>IF($B882&gt;=Analysis!$P$1,IF($E882&lt;=Analysis!$P$2,"VIP","At risk"),IF($E882&lt;=Analysis!$P$2,"Loyal","Dormant"))</f>
        <v/>
      </c>
    </row>
    <row r="883">
      <c r="A883" s="10" t="inlineStr">
        <is>
          <t>C3881</t>
        </is>
      </c>
      <c r="B883" s="17" t="n">
        <v>761762</v>
      </c>
      <c r="C883" s="18" t="n">
        <v>6</v>
      </c>
      <c r="D883" s="18" t="n">
        <v>124</v>
      </c>
      <c r="E883" s="18" t="n">
        <v>11</v>
      </c>
      <c r="F883" s="10">
        <f>IF($B883&gt;=Analysis!$P$1,IF($E883&lt;=Analysis!$P$2,"VIP","At risk"),IF($E883&lt;=Analysis!$P$2,"Loyal","Dormant"))</f>
        <v/>
      </c>
    </row>
    <row r="884">
      <c r="A884" s="10" t="inlineStr">
        <is>
          <t>C3882</t>
        </is>
      </c>
      <c r="B884" s="17" t="n">
        <v>7482129</v>
      </c>
      <c r="C884" s="18" t="n">
        <v>33</v>
      </c>
      <c r="D884" s="18" t="n">
        <v>694</v>
      </c>
      <c r="E884" s="18" t="n">
        <v>15</v>
      </c>
      <c r="F884" s="10">
        <f>IF($B884&gt;=Analysis!$P$1,IF($E884&lt;=Analysis!$P$2,"VIP","At risk"),IF($E884&lt;=Analysis!$P$2,"Loyal","Dormant"))</f>
        <v/>
      </c>
    </row>
    <row r="885">
      <c r="A885" s="10" t="inlineStr">
        <is>
          <t>C3883</t>
        </is>
      </c>
      <c r="B885" s="17" t="n">
        <v>5446823</v>
      </c>
      <c r="C885" s="18" t="n">
        <v>18</v>
      </c>
      <c r="D885" s="18" t="n">
        <v>330</v>
      </c>
      <c r="E885" s="18" t="n">
        <v>30</v>
      </c>
      <c r="F885" s="10">
        <f>IF($B885&gt;=Analysis!$P$1,IF($E885&lt;=Analysis!$P$2,"VIP","At risk"),IF($E885&lt;=Analysis!$P$2,"Loyal","Dormant"))</f>
        <v/>
      </c>
    </row>
    <row r="886">
      <c r="A886" s="10" t="inlineStr">
        <is>
          <t>C3884</t>
        </is>
      </c>
      <c r="B886" s="17" t="n">
        <v>3658020</v>
      </c>
      <c r="C886" s="18" t="n">
        <v>13</v>
      </c>
      <c r="D886" s="18" t="n">
        <v>250</v>
      </c>
      <c r="E886" s="18" t="n">
        <v>21</v>
      </c>
      <c r="F886" s="10">
        <f>IF($B886&gt;=Analysis!$P$1,IF($E886&lt;=Analysis!$P$2,"VIP","At risk"),IF($E886&lt;=Analysis!$P$2,"Loyal","Dormant"))</f>
        <v/>
      </c>
    </row>
    <row r="887">
      <c r="A887" s="10" t="inlineStr">
        <is>
          <t>C3885</t>
        </is>
      </c>
      <c r="B887" s="17" t="n">
        <v>1286452</v>
      </c>
      <c r="C887" s="18" t="n">
        <v>1</v>
      </c>
      <c r="D887" s="18" t="n">
        <v>207</v>
      </c>
      <c r="E887" s="18" t="n">
        <v>26</v>
      </c>
      <c r="F887" s="10">
        <f>IF($B887&gt;=Analysis!$P$1,IF($E887&lt;=Analysis!$P$2,"VIP","At risk"),IF($E887&lt;=Analysis!$P$2,"Loyal","Dormant"))</f>
        <v/>
      </c>
    </row>
    <row r="888">
      <c r="A888" s="10" t="inlineStr">
        <is>
          <t>C3886</t>
        </is>
      </c>
      <c r="B888" s="17" t="n">
        <v>794761</v>
      </c>
      <c r="C888" s="18" t="n">
        <v>3</v>
      </c>
      <c r="D888" s="18" t="n">
        <v>230</v>
      </c>
      <c r="E888" s="18" t="n">
        <v>111</v>
      </c>
      <c r="F888" s="10">
        <f>IF($B888&gt;=Analysis!$P$1,IF($E888&lt;=Analysis!$P$2,"VIP","At risk"),IF($E888&lt;=Analysis!$P$2,"Loyal","Dormant"))</f>
        <v/>
      </c>
    </row>
    <row r="889">
      <c r="A889" s="10" t="inlineStr">
        <is>
          <t>C3887</t>
        </is>
      </c>
      <c r="B889" s="17" t="n">
        <v>9744279</v>
      </c>
      <c r="C889" s="18" t="n">
        <v>38</v>
      </c>
      <c r="D889" s="18" t="n">
        <v>592</v>
      </c>
      <c r="E889" s="18" t="n">
        <v>13</v>
      </c>
      <c r="F889" s="10">
        <f>IF($B889&gt;=Analysis!$P$1,IF($E889&lt;=Analysis!$P$2,"VIP","At risk"),IF($E889&lt;=Analysis!$P$2,"Loyal","Dormant"))</f>
        <v/>
      </c>
    </row>
    <row r="890">
      <c r="A890" s="10" t="inlineStr">
        <is>
          <t>C3888</t>
        </is>
      </c>
      <c r="B890" s="17" t="n">
        <v>827865</v>
      </c>
      <c r="C890" s="18" t="n">
        <v>3</v>
      </c>
      <c r="D890" s="18" t="n">
        <v>307</v>
      </c>
      <c r="E890" s="18" t="n">
        <v>77</v>
      </c>
      <c r="F890" s="10">
        <f>IF($B890&gt;=Analysis!$P$1,IF($E890&lt;=Analysis!$P$2,"VIP","At risk"),IF($E890&lt;=Analysis!$P$2,"Loyal","Dormant"))</f>
        <v/>
      </c>
    </row>
    <row r="891">
      <c r="A891" s="10" t="inlineStr">
        <is>
          <t>C3889</t>
        </is>
      </c>
      <c r="B891" s="17" t="n">
        <v>1496374</v>
      </c>
      <c r="C891" s="18" t="n">
        <v>14</v>
      </c>
      <c r="D891" s="18" t="n">
        <v>518</v>
      </c>
      <c r="E891" s="18" t="n">
        <v>37</v>
      </c>
      <c r="F891" s="10">
        <f>IF($B891&gt;=Analysis!$P$1,IF($E891&lt;=Analysis!$P$2,"VIP","At risk"),IF($E891&lt;=Analysis!$P$2,"Loyal","Dormant"))</f>
        <v/>
      </c>
    </row>
    <row r="892">
      <c r="A892" s="10" t="inlineStr">
        <is>
          <t>C3890</t>
        </is>
      </c>
      <c r="B892" s="17" t="n">
        <v>575252</v>
      </c>
      <c r="C892" s="18" t="n">
        <v>2</v>
      </c>
      <c r="D892" s="18" t="n">
        <v>376</v>
      </c>
      <c r="E892" s="18" t="n">
        <v>73</v>
      </c>
      <c r="F892" s="10">
        <f>IF($B892&gt;=Analysis!$P$1,IF($E892&lt;=Analysis!$P$2,"VIP","At risk"),IF($E892&lt;=Analysis!$P$2,"Loyal","Dormant"))</f>
        <v/>
      </c>
    </row>
    <row r="893">
      <c r="A893" s="10" t="inlineStr">
        <is>
          <t>C3891</t>
        </is>
      </c>
      <c r="B893" s="17" t="n">
        <v>1077750</v>
      </c>
      <c r="C893" s="18" t="n">
        <v>1</v>
      </c>
      <c r="D893" s="18" t="n">
        <v>561</v>
      </c>
      <c r="E893" s="18" t="n">
        <v>101</v>
      </c>
      <c r="F893" s="10">
        <f>IF($B893&gt;=Analysis!$P$1,IF($E893&lt;=Analysis!$P$2,"VIP","At risk"),IF($E893&lt;=Analysis!$P$2,"Loyal","Dormant"))</f>
        <v/>
      </c>
    </row>
    <row r="894">
      <c r="A894" s="10" t="inlineStr">
        <is>
          <t>C3892</t>
        </is>
      </c>
      <c r="B894" s="17" t="n">
        <v>3067979</v>
      </c>
      <c r="C894" s="18" t="n">
        <v>16</v>
      </c>
      <c r="D894" s="18" t="n">
        <v>249</v>
      </c>
      <c r="E894" s="18" t="n">
        <v>10</v>
      </c>
      <c r="F894" s="10">
        <f>IF($B894&gt;=Analysis!$P$1,IF($E894&lt;=Analysis!$P$2,"VIP","At risk"),IF($E894&lt;=Analysis!$P$2,"Loyal","Dormant"))</f>
        <v/>
      </c>
    </row>
    <row r="895">
      <c r="A895" s="10" t="inlineStr">
        <is>
          <t>C3893</t>
        </is>
      </c>
      <c r="B895" s="17" t="n">
        <v>2709332</v>
      </c>
      <c r="C895" s="18" t="n">
        <v>10</v>
      </c>
      <c r="D895" s="18" t="n">
        <v>275</v>
      </c>
      <c r="E895" s="18" t="n">
        <v>22</v>
      </c>
      <c r="F895" s="10">
        <f>IF($B895&gt;=Analysis!$P$1,IF($E895&lt;=Analysis!$P$2,"VIP","At risk"),IF($E895&lt;=Analysis!$P$2,"Loyal","Dormant"))</f>
        <v/>
      </c>
    </row>
    <row r="896">
      <c r="A896" s="10" t="inlineStr">
        <is>
          <t>C3894</t>
        </is>
      </c>
      <c r="B896" s="17" t="n">
        <v>1056340</v>
      </c>
      <c r="C896" s="18" t="n">
        <v>5</v>
      </c>
      <c r="D896" s="18" t="n">
        <v>128</v>
      </c>
      <c r="E896" s="18" t="n">
        <v>1</v>
      </c>
      <c r="F896" s="10">
        <f>IF($B896&gt;=Analysis!$P$1,IF($E896&lt;=Analysis!$P$2,"VIP","At risk"),IF($E896&lt;=Analysis!$P$2,"Loyal","Dormant"))</f>
        <v/>
      </c>
    </row>
    <row r="897">
      <c r="A897" s="10" t="inlineStr">
        <is>
          <t>C3895</t>
        </is>
      </c>
      <c r="B897" s="17" t="n">
        <v>1083182</v>
      </c>
      <c r="C897" s="18" t="n">
        <v>2</v>
      </c>
      <c r="D897" s="18" t="n">
        <v>458</v>
      </c>
      <c r="E897" s="18" t="n">
        <v>67</v>
      </c>
      <c r="F897" s="10">
        <f>IF($B897&gt;=Analysis!$P$1,IF($E897&lt;=Analysis!$P$2,"VIP","At risk"),IF($E897&lt;=Analysis!$P$2,"Loyal","Dormant"))</f>
        <v/>
      </c>
    </row>
    <row r="898">
      <c r="A898" s="10" t="inlineStr">
        <is>
          <t>C3896</t>
        </is>
      </c>
      <c r="B898" s="17" t="n">
        <v>4590668</v>
      </c>
      <c r="C898" s="18" t="n">
        <v>10</v>
      </c>
      <c r="D898" s="18" t="n">
        <v>421</v>
      </c>
      <c r="E898" s="18" t="n">
        <v>31</v>
      </c>
      <c r="F898" s="10">
        <f>IF($B898&gt;=Analysis!$P$1,IF($E898&lt;=Analysis!$P$2,"VIP","At risk"),IF($E898&lt;=Analysis!$P$2,"Loyal","Dormant"))</f>
        <v/>
      </c>
    </row>
    <row r="899">
      <c r="A899" s="10" t="inlineStr">
        <is>
          <t>C3897</t>
        </is>
      </c>
      <c r="B899" s="17" t="n">
        <v>952211</v>
      </c>
      <c r="C899" s="18" t="n">
        <v>1</v>
      </c>
      <c r="D899" s="18" t="n">
        <v>170</v>
      </c>
      <c r="E899" s="18" t="n">
        <v>150</v>
      </c>
      <c r="F899" s="10">
        <f>IF($B899&gt;=Analysis!$P$1,IF($E899&lt;=Analysis!$P$2,"VIP","At risk"),IF($E899&lt;=Analysis!$P$2,"Loyal","Dormant"))</f>
        <v/>
      </c>
    </row>
    <row r="900">
      <c r="A900" s="10" t="inlineStr">
        <is>
          <t>C3898</t>
        </is>
      </c>
      <c r="B900" s="17" t="n">
        <v>1033203</v>
      </c>
      <c r="C900" s="18" t="n">
        <v>5</v>
      </c>
      <c r="D900" s="18" t="n">
        <v>45</v>
      </c>
      <c r="E900" s="18" t="n">
        <v>29</v>
      </c>
      <c r="F900" s="10">
        <f>IF($B900&gt;=Analysis!$P$1,IF($E900&lt;=Analysis!$P$2,"VIP","At risk"),IF($E900&lt;=Analysis!$P$2,"Loyal","Dormant"))</f>
        <v/>
      </c>
    </row>
    <row r="901">
      <c r="A901" s="10" t="inlineStr">
        <is>
          <t>C3899</t>
        </is>
      </c>
      <c r="B901" s="17" t="n">
        <v>1088853</v>
      </c>
      <c r="C901" s="18" t="n">
        <v>4</v>
      </c>
      <c r="D901" s="18" t="n">
        <v>5</v>
      </c>
      <c r="E901" s="18" t="n">
        <v>13</v>
      </c>
      <c r="F901" s="10">
        <f>IF($B901&gt;=Analysis!$P$1,IF($E901&lt;=Analysis!$P$2,"VIP","At risk"),IF($E901&lt;=Analysis!$P$2,"Loyal","Dormant"))</f>
        <v/>
      </c>
    </row>
    <row r="902">
      <c r="A902" s="10" t="inlineStr">
        <is>
          <t>C3900</t>
        </is>
      </c>
      <c r="B902" s="17" t="n">
        <v>0</v>
      </c>
      <c r="C902" s="18" t="n">
        <v>4</v>
      </c>
      <c r="D902" s="18" t="n">
        <v>124</v>
      </c>
      <c r="E902" s="18" t="n">
        <v>12</v>
      </c>
      <c r="F902" s="10">
        <f>IF($B902&gt;=Analysis!$P$1,IF($E902&lt;=Analysis!$P$2,"VIP","At risk"),IF($E902&lt;=Analysis!$P$2,"Loyal","Dormant"))</f>
        <v/>
      </c>
    </row>
    <row r="903">
      <c r="A903" s="10" t="inlineStr">
        <is>
          <t>C3901</t>
        </is>
      </c>
      <c r="B903" s="17" t="n">
        <v>1144421</v>
      </c>
      <c r="C903" s="18" t="n">
        <v>4</v>
      </c>
      <c r="D903" s="18" t="n">
        <v>52</v>
      </c>
      <c r="E903" s="18" t="n">
        <v>12</v>
      </c>
      <c r="F903" s="10">
        <f>IF($B903&gt;=Analysis!$P$1,IF($E903&lt;=Analysis!$P$2,"VIP","At risk"),IF($E903&lt;=Analysis!$P$2,"Loyal","Dormant"))</f>
        <v/>
      </c>
    </row>
    <row r="904">
      <c r="A904" s="10" t="inlineStr">
        <is>
          <t>C3902</t>
        </is>
      </c>
      <c r="B904" s="17" t="n">
        <v>540596</v>
      </c>
      <c r="C904" s="18" t="n">
        <v>5</v>
      </c>
      <c r="D904" s="18" t="n">
        <v>344</v>
      </c>
      <c r="E904" s="18" t="n">
        <v>132</v>
      </c>
      <c r="F904" s="10">
        <f>IF($B904&gt;=Analysis!$P$1,IF($E904&lt;=Analysis!$P$2,"VIP","At risk"),IF($E904&lt;=Analysis!$P$2,"Loyal","Dormant"))</f>
        <v/>
      </c>
    </row>
    <row r="905">
      <c r="A905" s="10" t="inlineStr">
        <is>
          <t>C3903</t>
        </is>
      </c>
      <c r="B905" s="17" t="n">
        <v>2291702</v>
      </c>
      <c r="C905" s="18" t="n">
        <v>11</v>
      </c>
      <c r="D905" s="18" t="n">
        <v>664</v>
      </c>
      <c r="E905" s="18" t="n">
        <v>3</v>
      </c>
      <c r="F905" s="10">
        <f>IF($B905&gt;=Analysis!$P$1,IF($E905&lt;=Analysis!$P$2,"VIP","At risk"),IF($E905&lt;=Analysis!$P$2,"Loyal","Dormant"))</f>
        <v/>
      </c>
    </row>
    <row r="906">
      <c r="A906" s="10" t="inlineStr">
        <is>
          <t>C3904</t>
        </is>
      </c>
      <c r="B906" s="17" t="n">
        <v>2627037</v>
      </c>
      <c r="C906" s="18" t="n">
        <v>15</v>
      </c>
      <c r="D906" s="18" t="n">
        <v>378</v>
      </c>
      <c r="E906" s="18" t="n">
        <v>16</v>
      </c>
      <c r="F906" s="10">
        <f>IF($B906&gt;=Analysis!$P$1,IF($E906&lt;=Analysis!$P$2,"VIP","At risk"),IF($E906&lt;=Analysis!$P$2,"Loyal","Dormant"))</f>
        <v/>
      </c>
    </row>
    <row r="907">
      <c r="A907" s="10" t="inlineStr">
        <is>
          <t>C3905</t>
        </is>
      </c>
      <c r="B907" s="17" t="n">
        <v>4394281</v>
      </c>
      <c r="C907" s="18" t="n">
        <v>18</v>
      </c>
      <c r="D907" s="18" t="n">
        <v>545</v>
      </c>
      <c r="E907" s="18" t="n">
        <v>6</v>
      </c>
      <c r="F907" s="10">
        <f>IF($B907&gt;=Analysis!$P$1,IF($E907&lt;=Analysis!$P$2,"VIP","At risk"),IF($E907&lt;=Analysis!$P$2,"Loyal","Dormant"))</f>
        <v/>
      </c>
    </row>
    <row r="908">
      <c r="A908" s="10" t="inlineStr">
        <is>
          <t>C3906</t>
        </is>
      </c>
      <c r="B908" s="17" t="n">
        <v>1101095</v>
      </c>
      <c r="C908" s="18" t="n">
        <v>7</v>
      </c>
      <c r="D908" s="18" t="n">
        <v>357</v>
      </c>
      <c r="E908" s="18" t="n">
        <v>89</v>
      </c>
      <c r="F908" s="10">
        <f>IF($B908&gt;=Analysis!$P$1,IF($E908&lt;=Analysis!$P$2,"VIP","At risk"),IF($E908&lt;=Analysis!$P$2,"Loyal","Dormant"))</f>
        <v/>
      </c>
    </row>
    <row r="909">
      <c r="A909" s="10" t="inlineStr">
        <is>
          <t>C3907</t>
        </is>
      </c>
      <c r="B909" s="17" t="n">
        <v>1037054</v>
      </c>
      <c r="C909" s="18" t="n">
        <v>3</v>
      </c>
      <c r="D909" s="18" t="n">
        <v>496</v>
      </c>
      <c r="E909" s="18" t="n">
        <v>122</v>
      </c>
      <c r="F909" s="10">
        <f>IF($B909&gt;=Analysis!$P$1,IF($E909&lt;=Analysis!$P$2,"VIP","At risk"),IF($E909&lt;=Analysis!$P$2,"Loyal","Dormant"))</f>
        <v/>
      </c>
    </row>
    <row r="910">
      <c r="A910" s="10" t="inlineStr">
        <is>
          <t>C3908</t>
        </is>
      </c>
      <c r="B910" s="17" t="n">
        <v>1376520</v>
      </c>
      <c r="C910" s="18" t="n">
        <v>4</v>
      </c>
      <c r="D910" s="18" t="n">
        <v>134</v>
      </c>
      <c r="E910" s="18" t="n">
        <v>78</v>
      </c>
      <c r="F910" s="10">
        <f>IF($B910&gt;=Analysis!$P$1,IF($E910&lt;=Analysis!$P$2,"VIP","At risk"),IF($E910&lt;=Analysis!$P$2,"Loyal","Dormant"))</f>
        <v/>
      </c>
    </row>
    <row r="911">
      <c r="A911" s="10" t="inlineStr">
        <is>
          <t>C3909</t>
        </is>
      </c>
      <c r="B911" s="17" t="n">
        <v>1132964</v>
      </c>
      <c r="C911" s="18" t="n">
        <v>2</v>
      </c>
      <c r="D911" s="18" t="n">
        <v>304</v>
      </c>
      <c r="E911" s="18" t="n">
        <v>89</v>
      </c>
      <c r="F911" s="10">
        <f>IF($B911&gt;=Analysis!$P$1,IF($E911&lt;=Analysis!$P$2,"VIP","At risk"),IF($E911&lt;=Analysis!$P$2,"Loyal","Dormant"))</f>
        <v/>
      </c>
    </row>
    <row r="912">
      <c r="A912" s="10" t="inlineStr">
        <is>
          <t>C3910</t>
        </is>
      </c>
      <c r="B912" s="17" t="n">
        <v>260616</v>
      </c>
      <c r="C912" s="18" t="n">
        <v>8</v>
      </c>
      <c r="D912" s="18" t="n">
        <v>167</v>
      </c>
      <c r="E912" s="18" t="n">
        <v>97</v>
      </c>
      <c r="F912" s="10">
        <f>IF($B912&gt;=Analysis!$P$1,IF($E912&lt;=Analysis!$P$2,"VIP","At risk"),IF($E912&lt;=Analysis!$P$2,"Loyal","Dormant"))</f>
        <v/>
      </c>
    </row>
    <row r="913">
      <c r="A913" s="10" t="inlineStr">
        <is>
          <t>C3911</t>
        </is>
      </c>
      <c r="B913" s="17" t="n">
        <v>3230151</v>
      </c>
      <c r="C913" s="18" t="n">
        <v>17</v>
      </c>
      <c r="D913" s="18" t="n">
        <v>272</v>
      </c>
      <c r="E913" s="18" t="n">
        <v>11</v>
      </c>
      <c r="F913" s="10">
        <f>IF($B913&gt;=Analysis!$P$1,IF($E913&lt;=Analysis!$P$2,"VIP","At risk"),IF($E913&lt;=Analysis!$P$2,"Loyal","Dormant"))</f>
        <v/>
      </c>
    </row>
    <row r="914">
      <c r="A914" s="10" t="inlineStr">
        <is>
          <t>C3912</t>
        </is>
      </c>
      <c r="B914" s="17" t="n">
        <v>3449092</v>
      </c>
      <c r="C914" s="18" t="n">
        <v>16</v>
      </c>
      <c r="D914" s="18" t="n">
        <v>315</v>
      </c>
      <c r="E914" s="18" t="n">
        <v>49</v>
      </c>
      <c r="F914" s="10">
        <f>IF($B914&gt;=Analysis!$P$1,IF($E914&lt;=Analysis!$P$2,"VIP","At risk"),IF($E914&lt;=Analysis!$P$2,"Loyal","Dormant"))</f>
        <v/>
      </c>
    </row>
    <row r="915">
      <c r="A915" s="10" t="inlineStr">
        <is>
          <t>C3913</t>
        </is>
      </c>
      <c r="B915" s="17" t="n">
        <v>209989</v>
      </c>
      <c r="C915" s="18" t="n">
        <v>3</v>
      </c>
      <c r="D915" s="18" t="n">
        <v>126</v>
      </c>
      <c r="E915" s="18" t="n">
        <v>1</v>
      </c>
      <c r="F915" s="10">
        <f>IF($B915&gt;=Analysis!$P$1,IF($E915&lt;=Analysis!$P$2,"VIP","At risk"),IF($E915&lt;=Analysis!$P$2,"Loyal","Dormant"))</f>
        <v/>
      </c>
    </row>
    <row r="916">
      <c r="A916" s="10" t="inlineStr">
        <is>
          <t>C3914</t>
        </is>
      </c>
      <c r="B916" s="17" t="n">
        <v>2597692</v>
      </c>
      <c r="C916" s="18" t="n">
        <v>17</v>
      </c>
      <c r="D916" s="18" t="n">
        <v>535</v>
      </c>
      <c r="E916" s="18" t="n">
        <v>16</v>
      </c>
      <c r="F916" s="10">
        <f>IF($B916&gt;=Analysis!$P$1,IF($E916&lt;=Analysis!$P$2,"VIP","At risk"),IF($E916&lt;=Analysis!$P$2,"Loyal","Dormant"))</f>
        <v/>
      </c>
    </row>
    <row r="917">
      <c r="A917" s="10" t="inlineStr">
        <is>
          <t>C3915</t>
        </is>
      </c>
      <c r="B917" s="17" t="n">
        <v>2172517</v>
      </c>
      <c r="C917" s="18" t="n">
        <v>13</v>
      </c>
      <c r="D917" s="18" t="n">
        <v>331</v>
      </c>
      <c r="E917" s="18" t="n">
        <v>26</v>
      </c>
      <c r="F917" s="10">
        <f>IF($B917&gt;=Analysis!$P$1,IF($E917&lt;=Analysis!$P$2,"VIP","At risk"),IF($E917&lt;=Analysis!$P$2,"Loyal","Dormant"))</f>
        <v/>
      </c>
    </row>
    <row r="918">
      <c r="A918" s="10" t="inlineStr">
        <is>
          <t>C3916</t>
        </is>
      </c>
      <c r="B918" s="17" t="n">
        <v>2490247</v>
      </c>
      <c r="C918" s="18" t="n">
        <v>23</v>
      </c>
      <c r="D918" s="18" t="n">
        <v>457</v>
      </c>
      <c r="E918" s="18" t="n">
        <v>29</v>
      </c>
      <c r="F918" s="10">
        <f>IF($B918&gt;=Analysis!$P$1,IF($E918&lt;=Analysis!$P$2,"VIP","At risk"),IF($E918&lt;=Analysis!$P$2,"Loyal","Dormant"))</f>
        <v/>
      </c>
    </row>
    <row r="919">
      <c r="A919" s="10" t="inlineStr">
        <is>
          <t>C3917</t>
        </is>
      </c>
      <c r="B919" s="17" t="n">
        <v>1543662</v>
      </c>
      <c r="C919" s="18" t="n">
        <v>2</v>
      </c>
      <c r="D919" s="18" t="n">
        <v>77</v>
      </c>
      <c r="E919" s="18" t="n">
        <v>14</v>
      </c>
      <c r="F919" s="10">
        <f>IF($B919&gt;=Analysis!$P$1,IF($E919&lt;=Analysis!$P$2,"VIP","At risk"),IF($E919&lt;=Analysis!$P$2,"Loyal","Dormant"))</f>
        <v/>
      </c>
    </row>
    <row r="920">
      <c r="A920" s="10" t="inlineStr">
        <is>
          <t>C3918</t>
        </is>
      </c>
      <c r="B920" s="17" t="n">
        <v>1732454</v>
      </c>
      <c r="C920" s="18" t="n">
        <v>6</v>
      </c>
      <c r="D920" s="18" t="n">
        <v>278</v>
      </c>
      <c r="E920" s="18" t="n">
        <v>154</v>
      </c>
      <c r="F920" s="10">
        <f>IF($B920&gt;=Analysis!$P$1,IF($E920&lt;=Analysis!$P$2,"VIP","At risk"),IF($E920&lt;=Analysis!$P$2,"Loyal","Dormant"))</f>
        <v/>
      </c>
    </row>
    <row r="921">
      <c r="A921" s="10" t="inlineStr">
        <is>
          <t>C3919</t>
        </is>
      </c>
      <c r="B921" s="17" t="n">
        <v>4666325</v>
      </c>
      <c r="C921" s="18" t="n">
        <v>14</v>
      </c>
      <c r="D921" s="18" t="n">
        <v>383</v>
      </c>
      <c r="E921" s="18" t="n">
        <v>9</v>
      </c>
      <c r="F921" s="10">
        <f>IF($B921&gt;=Analysis!$P$1,IF($E921&lt;=Analysis!$P$2,"VIP","At risk"),IF($E921&lt;=Analysis!$P$2,"Loyal","Dormant"))</f>
        <v/>
      </c>
    </row>
    <row r="922">
      <c r="A922" s="10" t="inlineStr">
        <is>
          <t>C3920</t>
        </is>
      </c>
      <c r="B922" s="17" t="n">
        <v>932743</v>
      </c>
      <c r="C922" s="18" t="n">
        <v>6</v>
      </c>
      <c r="D922" s="18" t="n">
        <v>255</v>
      </c>
      <c r="E922" s="18" t="n">
        <v>1</v>
      </c>
      <c r="F922" s="10">
        <f>IF($B922&gt;=Analysis!$P$1,IF($E922&lt;=Analysis!$P$2,"VIP","At risk"),IF($E922&lt;=Analysis!$P$2,"Loyal","Dormant"))</f>
        <v/>
      </c>
    </row>
    <row r="923">
      <c r="A923" s="10" t="inlineStr">
        <is>
          <t>C3921</t>
        </is>
      </c>
      <c r="B923" s="17" t="n">
        <v>2247326</v>
      </c>
      <c r="C923" s="18" t="n">
        <v>3</v>
      </c>
      <c r="D923" s="18" t="n">
        <v>5</v>
      </c>
      <c r="E923" s="18" t="n">
        <v>9</v>
      </c>
      <c r="F923" s="10">
        <f>IF($B923&gt;=Analysis!$P$1,IF($E923&lt;=Analysis!$P$2,"VIP","At risk"),IF($E923&lt;=Analysis!$P$2,"Loyal","Dormant"))</f>
        <v/>
      </c>
    </row>
    <row r="924">
      <c r="A924" s="10" t="inlineStr">
        <is>
          <t>C3922</t>
        </is>
      </c>
      <c r="B924" s="17" t="n">
        <v>1017806</v>
      </c>
      <c r="C924" s="18" t="n">
        <v>1</v>
      </c>
      <c r="D924" s="18" t="n">
        <v>104</v>
      </c>
      <c r="E924" s="18" t="n">
        <v>1</v>
      </c>
      <c r="F924" s="10">
        <f>IF($B924&gt;=Analysis!$P$1,IF($E924&lt;=Analysis!$P$2,"VIP","At risk"),IF($E924&lt;=Analysis!$P$2,"Loyal","Dormant"))</f>
        <v/>
      </c>
    </row>
    <row r="925">
      <c r="A925" s="10" t="inlineStr">
        <is>
          <t>C3923</t>
        </is>
      </c>
      <c r="B925" s="17" t="n">
        <v>4410399</v>
      </c>
      <c r="C925" s="18" t="n">
        <v>11</v>
      </c>
      <c r="D925" s="18" t="n">
        <v>266</v>
      </c>
      <c r="E925" s="18" t="n">
        <v>28</v>
      </c>
      <c r="F925" s="10">
        <f>IF($B925&gt;=Analysis!$P$1,IF($E925&lt;=Analysis!$P$2,"VIP","At risk"),IF($E925&lt;=Analysis!$P$2,"Loyal","Dormant"))</f>
        <v/>
      </c>
    </row>
    <row r="926">
      <c r="A926" s="10" t="inlineStr">
        <is>
          <t>C3924</t>
        </is>
      </c>
      <c r="B926" s="17" t="n">
        <v>4212771</v>
      </c>
      <c r="C926" s="18" t="n">
        <v>17</v>
      </c>
      <c r="D926" s="18" t="n">
        <v>518</v>
      </c>
      <c r="E926" s="18" t="n">
        <v>52</v>
      </c>
      <c r="F926" s="10">
        <f>IF($B926&gt;=Analysis!$P$1,IF($E926&lt;=Analysis!$P$2,"VIP","At risk"),IF($E926&lt;=Analysis!$P$2,"Loyal","Dormant"))</f>
        <v/>
      </c>
    </row>
    <row r="927">
      <c r="A927" s="10" t="inlineStr">
        <is>
          <t>C3925</t>
        </is>
      </c>
      <c r="B927" s="17" t="n">
        <v>1988634</v>
      </c>
      <c r="C927" s="18" t="n">
        <v>4</v>
      </c>
      <c r="D927" s="18" t="n">
        <v>103</v>
      </c>
      <c r="E927" s="18" t="n">
        <v>25</v>
      </c>
      <c r="F927" s="10">
        <f>IF($B927&gt;=Analysis!$P$1,IF($E927&lt;=Analysis!$P$2,"VIP","At risk"),IF($E927&lt;=Analysis!$P$2,"Loyal","Dormant"))</f>
        <v/>
      </c>
    </row>
    <row r="928">
      <c r="A928" s="10" t="inlineStr">
        <is>
          <t>C3926</t>
        </is>
      </c>
      <c r="B928" s="17" t="n">
        <v>661316</v>
      </c>
      <c r="C928" s="18" t="n">
        <v>6</v>
      </c>
      <c r="D928" s="18" t="n">
        <v>352</v>
      </c>
      <c r="E928" s="18" t="n">
        <v>134</v>
      </c>
      <c r="F928" s="10">
        <f>IF($B928&gt;=Analysis!$P$1,IF($E928&lt;=Analysis!$P$2,"VIP","At risk"),IF($E928&lt;=Analysis!$P$2,"Loyal","Dormant"))</f>
        <v/>
      </c>
    </row>
    <row r="929">
      <c r="A929" s="10" t="inlineStr">
        <is>
          <t>C3927</t>
        </is>
      </c>
      <c r="B929" s="17" t="n">
        <v>5239721</v>
      </c>
      <c r="C929" s="18" t="n">
        <v>17</v>
      </c>
      <c r="D929" s="18" t="n">
        <v>382</v>
      </c>
      <c r="E929" s="18" t="n">
        <v>16</v>
      </c>
      <c r="F929" s="10">
        <f>IF($B929&gt;=Analysis!$P$1,IF($E929&lt;=Analysis!$P$2,"VIP","At risk"),IF($E929&lt;=Analysis!$P$2,"Loyal","Dormant"))</f>
        <v/>
      </c>
    </row>
    <row r="930">
      <c r="A930" s="10" t="inlineStr">
        <is>
          <t>C3928</t>
        </is>
      </c>
      <c r="B930" s="17" t="n">
        <v>1361953</v>
      </c>
      <c r="C930" s="18" t="n">
        <v>6</v>
      </c>
      <c r="D930" s="18" t="n">
        <v>574</v>
      </c>
      <c r="E930" s="18" t="n">
        <v>64</v>
      </c>
      <c r="F930" s="10">
        <f>IF($B930&gt;=Analysis!$P$1,IF($E930&lt;=Analysis!$P$2,"VIP","At risk"),IF($E930&lt;=Analysis!$P$2,"Loyal","Dormant"))</f>
        <v/>
      </c>
    </row>
    <row r="931">
      <c r="A931" s="10" t="inlineStr">
        <is>
          <t>C3929</t>
        </is>
      </c>
      <c r="B931" s="17" t="n">
        <v>912044</v>
      </c>
      <c r="C931" s="18" t="n">
        <v>6</v>
      </c>
      <c r="D931" s="18" t="n">
        <v>33</v>
      </c>
      <c r="E931" s="18" t="n">
        <v>48</v>
      </c>
      <c r="F931" s="10">
        <f>IF($B931&gt;=Analysis!$P$1,IF($E931&lt;=Analysis!$P$2,"VIP","At risk"),IF($E931&lt;=Analysis!$P$2,"Loyal","Dormant"))</f>
        <v/>
      </c>
    </row>
    <row r="932">
      <c r="A932" s="10" t="inlineStr">
        <is>
          <t>C3930</t>
        </is>
      </c>
      <c r="B932" s="17" t="n">
        <v>6636558</v>
      </c>
      <c r="C932" s="18" t="n">
        <v>34</v>
      </c>
      <c r="D932" s="18" t="n">
        <v>691</v>
      </c>
      <c r="E932" s="18" t="n">
        <v>30</v>
      </c>
      <c r="F932" s="10">
        <f>IF($B932&gt;=Analysis!$P$1,IF($E932&lt;=Analysis!$P$2,"VIP","At risk"),IF($E932&lt;=Analysis!$P$2,"Loyal","Dormant"))</f>
        <v/>
      </c>
    </row>
    <row r="933">
      <c r="A933" s="10" t="inlineStr">
        <is>
          <t>C3931</t>
        </is>
      </c>
      <c r="B933" s="17" t="n">
        <v>3605667</v>
      </c>
      <c r="C933" s="18" t="n">
        <v>13</v>
      </c>
      <c r="D933" s="18" t="n">
        <v>493</v>
      </c>
      <c r="E933" s="18" t="n">
        <v>32</v>
      </c>
      <c r="F933" s="10">
        <f>IF($B933&gt;=Analysis!$P$1,IF($E933&lt;=Analysis!$P$2,"VIP","At risk"),IF($E933&lt;=Analysis!$P$2,"Loyal","Dormant"))</f>
        <v/>
      </c>
    </row>
    <row r="934">
      <c r="A934" s="10" t="inlineStr">
        <is>
          <t>C3932</t>
        </is>
      </c>
      <c r="B934" s="17" t="n">
        <v>7994631</v>
      </c>
      <c r="C934" s="18" t="n">
        <v>28</v>
      </c>
      <c r="D934" s="18" t="n">
        <v>454</v>
      </c>
      <c r="E934" s="18" t="n">
        <v>8</v>
      </c>
      <c r="F934" s="10">
        <f>IF($B934&gt;=Analysis!$P$1,IF($E934&lt;=Analysis!$P$2,"VIP","At risk"),IF($E934&lt;=Analysis!$P$2,"Loyal","Dormant"))</f>
        <v/>
      </c>
    </row>
    <row r="935">
      <c r="A935" s="10" t="inlineStr">
        <is>
          <t>C3933</t>
        </is>
      </c>
      <c r="B935" s="17" t="n">
        <v>1051644</v>
      </c>
      <c r="C935" s="18" t="n">
        <v>5</v>
      </c>
      <c r="D935" s="18" t="n">
        <v>391</v>
      </c>
      <c r="E935" s="18" t="n">
        <v>1</v>
      </c>
      <c r="F935" s="10">
        <f>IF($B935&gt;=Analysis!$P$1,IF($E935&lt;=Analysis!$P$2,"VIP","At risk"),IF($E935&lt;=Analysis!$P$2,"Loyal","Dormant"))</f>
        <v/>
      </c>
    </row>
    <row r="936">
      <c r="A936" s="10" t="inlineStr">
        <is>
          <t>C3934</t>
        </is>
      </c>
      <c r="B936" s="17" t="n">
        <v>593365</v>
      </c>
      <c r="C936" s="18" t="n">
        <v>5</v>
      </c>
      <c r="D936" s="18" t="n">
        <v>281</v>
      </c>
      <c r="E936" s="18" t="n">
        <v>39</v>
      </c>
      <c r="F936" s="10">
        <f>IF($B936&gt;=Analysis!$P$1,IF($E936&lt;=Analysis!$P$2,"VIP","At risk"),IF($E936&lt;=Analysis!$P$2,"Loyal","Dormant"))</f>
        <v/>
      </c>
    </row>
    <row r="937">
      <c r="A937" s="10" t="inlineStr">
        <is>
          <t>C3935</t>
        </is>
      </c>
      <c r="B937" s="17" t="n">
        <v>3987872</v>
      </c>
      <c r="C937" s="18" t="n">
        <v>12</v>
      </c>
      <c r="D937" s="18" t="n">
        <v>362</v>
      </c>
      <c r="E937" s="18" t="n">
        <v>35</v>
      </c>
      <c r="F937" s="10">
        <f>IF($B937&gt;=Analysis!$P$1,IF($E937&lt;=Analysis!$P$2,"VIP","At risk"),IF($E937&lt;=Analysis!$P$2,"Loyal","Dormant"))</f>
        <v/>
      </c>
    </row>
    <row r="938">
      <c r="A938" s="10" t="inlineStr">
        <is>
          <t>C3936</t>
        </is>
      </c>
      <c r="B938" s="17" t="n">
        <v>995742</v>
      </c>
      <c r="C938" s="18" t="n">
        <v>2</v>
      </c>
      <c r="D938" s="18" t="n">
        <v>451</v>
      </c>
      <c r="E938" s="18" t="n">
        <v>53</v>
      </c>
      <c r="F938" s="10">
        <f>IF($B938&gt;=Analysis!$P$1,IF($E938&lt;=Analysis!$P$2,"VIP","At risk"),IF($E938&lt;=Analysis!$P$2,"Loyal","Dormant"))</f>
        <v/>
      </c>
    </row>
    <row r="939">
      <c r="A939" s="10" t="inlineStr">
        <is>
          <t>C3937</t>
        </is>
      </c>
      <c r="B939" s="17" t="n">
        <v>387345</v>
      </c>
      <c r="C939" s="18" t="n">
        <v>1</v>
      </c>
      <c r="D939" s="18" t="n">
        <v>61</v>
      </c>
      <c r="E939" s="18" t="n">
        <v>30</v>
      </c>
      <c r="F939" s="10">
        <f>IF($B939&gt;=Analysis!$P$1,IF($E939&lt;=Analysis!$P$2,"VIP","At risk"),IF($E939&lt;=Analysis!$P$2,"Loyal","Dormant"))</f>
        <v/>
      </c>
    </row>
    <row r="940">
      <c r="A940" s="10" t="inlineStr">
        <is>
          <t>C3938</t>
        </is>
      </c>
      <c r="B940" s="17" t="n">
        <v>942611</v>
      </c>
      <c r="C940" s="18" t="n">
        <v>3</v>
      </c>
      <c r="D940" s="18" t="n">
        <v>186</v>
      </c>
      <c r="E940" s="18" t="n">
        <v>105</v>
      </c>
      <c r="F940" s="10">
        <f>IF($B940&gt;=Analysis!$P$1,IF($E940&lt;=Analysis!$P$2,"VIP","At risk"),IF($E940&lt;=Analysis!$P$2,"Loyal","Dormant"))</f>
        <v/>
      </c>
    </row>
    <row r="941">
      <c r="A941" s="10" t="inlineStr">
        <is>
          <t>C3939</t>
        </is>
      </c>
      <c r="B941" s="17" t="n">
        <v>6326378</v>
      </c>
      <c r="C941" s="18" t="n">
        <v>34</v>
      </c>
      <c r="D941" s="18" t="n">
        <v>633</v>
      </c>
      <c r="E941" s="18" t="n">
        <v>8</v>
      </c>
      <c r="F941" s="10">
        <f>IF($B941&gt;=Analysis!$P$1,IF($E941&lt;=Analysis!$P$2,"VIP","At risk"),IF($E941&lt;=Analysis!$P$2,"Loyal","Dormant"))</f>
        <v/>
      </c>
    </row>
    <row r="942">
      <c r="A942" s="10" t="inlineStr">
        <is>
          <t>C3940</t>
        </is>
      </c>
      <c r="B942" s="17" t="n">
        <v>873168</v>
      </c>
      <c r="C942" s="18" t="n">
        <v>2</v>
      </c>
      <c r="D942" s="18" t="n">
        <v>73</v>
      </c>
      <c r="E942" s="18" t="n">
        <v>28</v>
      </c>
      <c r="F942" s="10">
        <f>IF($B942&gt;=Analysis!$P$1,IF($E942&lt;=Analysis!$P$2,"VIP","At risk"),IF($E942&lt;=Analysis!$P$2,"Loyal","Dormant"))</f>
        <v/>
      </c>
    </row>
    <row r="943">
      <c r="A943" s="10" t="inlineStr">
        <is>
          <t>C3941</t>
        </is>
      </c>
      <c r="B943" s="17" t="n">
        <v>895007</v>
      </c>
      <c r="C943" s="18" t="n">
        <v>6</v>
      </c>
      <c r="D943" s="18" t="n">
        <v>50</v>
      </c>
      <c r="E943" s="18" t="n">
        <v>26</v>
      </c>
      <c r="F943" s="10">
        <f>IF($B943&gt;=Analysis!$P$1,IF($E943&lt;=Analysis!$P$2,"VIP","At risk"),IF($E943&lt;=Analysis!$P$2,"Loyal","Dormant"))</f>
        <v/>
      </c>
    </row>
    <row r="944">
      <c r="A944" s="10" t="inlineStr">
        <is>
          <t>C3942</t>
        </is>
      </c>
      <c r="B944" s="17" t="n">
        <v>1258922</v>
      </c>
      <c r="C944" s="18" t="n">
        <v>1</v>
      </c>
      <c r="D944" s="18" t="n">
        <v>290</v>
      </c>
      <c r="E944" s="18" t="n">
        <v>132</v>
      </c>
      <c r="F944" s="10">
        <f>IF($B944&gt;=Analysis!$P$1,IF($E944&lt;=Analysis!$P$2,"VIP","At risk"),IF($E944&lt;=Analysis!$P$2,"Loyal","Dormant"))</f>
        <v/>
      </c>
    </row>
    <row r="945">
      <c r="A945" s="10" t="inlineStr">
        <is>
          <t>C3943</t>
        </is>
      </c>
      <c r="B945" s="17" t="n">
        <v>7952404</v>
      </c>
      <c r="C945" s="18" t="n">
        <v>29</v>
      </c>
      <c r="D945" s="18" t="n">
        <v>524</v>
      </c>
      <c r="E945" s="18" t="n">
        <v>3</v>
      </c>
      <c r="F945" s="10">
        <f>IF($B945&gt;=Analysis!$P$1,IF($E945&lt;=Analysis!$P$2,"VIP","At risk"),IF($E945&lt;=Analysis!$P$2,"Loyal","Dormant"))</f>
        <v/>
      </c>
    </row>
    <row r="946">
      <c r="A946" s="10" t="inlineStr">
        <is>
          <t>C3944</t>
        </is>
      </c>
      <c r="B946" s="17" t="n">
        <v>1494743</v>
      </c>
      <c r="C946" s="18" t="n">
        <v>3</v>
      </c>
      <c r="D946" s="18" t="n">
        <v>17</v>
      </c>
      <c r="E946" s="18" t="n">
        <v>24</v>
      </c>
      <c r="F946" s="10">
        <f>IF($B946&gt;=Analysis!$P$1,IF($E946&lt;=Analysis!$P$2,"VIP","At risk"),IF($E946&lt;=Analysis!$P$2,"Loyal","Dormant"))</f>
        <v/>
      </c>
    </row>
    <row r="947">
      <c r="A947" s="10" t="inlineStr">
        <is>
          <t>C3945</t>
        </is>
      </c>
      <c r="B947" s="17" t="n">
        <v>3774886</v>
      </c>
      <c r="C947" s="18" t="n">
        <v>16</v>
      </c>
      <c r="D947" s="18" t="n">
        <v>131</v>
      </c>
      <c r="E947" s="18" t="n">
        <v>21</v>
      </c>
      <c r="F947" s="10">
        <f>IF($B947&gt;=Analysis!$P$1,IF($E947&lt;=Analysis!$P$2,"VIP","At risk"),IF($E947&lt;=Analysis!$P$2,"Loyal","Dormant"))</f>
        <v/>
      </c>
    </row>
    <row r="948">
      <c r="A948" s="10" t="inlineStr">
        <is>
          <t>C3946</t>
        </is>
      </c>
      <c r="B948" s="17" t="n">
        <v>326902</v>
      </c>
      <c r="C948" s="18" t="n">
        <v>9</v>
      </c>
      <c r="D948" s="18" t="n">
        <v>295</v>
      </c>
      <c r="E948" s="18" t="n">
        <v>61</v>
      </c>
      <c r="F948" s="10">
        <f>IF($B948&gt;=Analysis!$P$1,IF($E948&lt;=Analysis!$P$2,"VIP","At risk"),IF($E948&lt;=Analysis!$P$2,"Loyal","Dormant"))</f>
        <v/>
      </c>
    </row>
    <row r="949">
      <c r="A949" s="10" t="inlineStr">
        <is>
          <t>C3947</t>
        </is>
      </c>
      <c r="B949" s="17" t="n">
        <v>2202367</v>
      </c>
      <c r="C949" s="18" t="n">
        <v>11</v>
      </c>
      <c r="D949" s="18" t="n">
        <v>466</v>
      </c>
      <c r="E949" s="18" t="n">
        <v>14</v>
      </c>
      <c r="F949" s="10">
        <f>IF($B949&gt;=Analysis!$P$1,IF($E949&lt;=Analysis!$P$2,"VIP","At risk"),IF($E949&lt;=Analysis!$P$2,"Loyal","Dormant"))</f>
        <v/>
      </c>
    </row>
    <row r="950">
      <c r="A950" s="10" t="inlineStr">
        <is>
          <t>C3948</t>
        </is>
      </c>
      <c r="B950" s="17" t="n">
        <v>3029009</v>
      </c>
      <c r="C950" s="18" t="n">
        <v>15</v>
      </c>
      <c r="D950" s="18" t="n">
        <v>479</v>
      </c>
      <c r="E950" s="18" t="n">
        <v>11</v>
      </c>
      <c r="F950" s="10">
        <f>IF($B950&gt;=Analysis!$P$1,IF($E950&lt;=Analysis!$P$2,"VIP","At risk"),IF($E950&lt;=Analysis!$P$2,"Loyal","Dormant"))</f>
        <v/>
      </c>
    </row>
    <row r="951">
      <c r="A951" s="10" t="inlineStr">
        <is>
          <t>C3949</t>
        </is>
      </c>
      <c r="B951" s="17" t="n">
        <v>1113476</v>
      </c>
      <c r="C951" s="18" t="n">
        <v>3</v>
      </c>
      <c r="D951" s="18" t="n">
        <v>5</v>
      </c>
      <c r="E951" s="18" t="n">
        <v>52</v>
      </c>
      <c r="F951" s="10">
        <f>IF($B951&gt;=Analysis!$P$1,IF($E951&lt;=Analysis!$P$2,"VIP","At risk"),IF($E951&lt;=Analysis!$P$2,"Loyal","Dormant"))</f>
        <v/>
      </c>
    </row>
    <row r="952">
      <c r="A952" s="10" t="inlineStr">
        <is>
          <t>C3950</t>
        </is>
      </c>
      <c r="B952" s="17" t="n">
        <v>1295714</v>
      </c>
      <c r="C952" s="18" t="n">
        <v>1</v>
      </c>
      <c r="D952" s="18" t="n">
        <v>570</v>
      </c>
      <c r="E952" s="18" t="n">
        <v>99</v>
      </c>
      <c r="F952" s="10">
        <f>IF($B952&gt;=Analysis!$P$1,IF($E952&lt;=Analysis!$P$2,"VIP","At risk"),IF($E952&lt;=Analysis!$P$2,"Loyal","Dormant"))</f>
        <v/>
      </c>
    </row>
    <row r="953">
      <c r="A953" s="10" t="inlineStr">
        <is>
          <t>C3951</t>
        </is>
      </c>
      <c r="B953" s="17" t="n">
        <v>1640801</v>
      </c>
      <c r="C953" s="18" t="n">
        <v>5</v>
      </c>
      <c r="D953" s="18" t="n">
        <v>365</v>
      </c>
      <c r="E953" s="18" t="n">
        <v>84</v>
      </c>
      <c r="F953" s="10">
        <f>IF($B953&gt;=Analysis!$P$1,IF($E953&lt;=Analysis!$P$2,"VIP","At risk"),IF($E953&lt;=Analysis!$P$2,"Loyal","Dormant"))</f>
        <v/>
      </c>
    </row>
    <row r="954">
      <c r="A954" s="10" t="inlineStr">
        <is>
          <t>C3952</t>
        </is>
      </c>
      <c r="B954" s="17" t="n">
        <v>8643881</v>
      </c>
      <c r="C954" s="18" t="n">
        <v>20</v>
      </c>
      <c r="D954" s="18" t="n">
        <v>475</v>
      </c>
      <c r="E954" s="18" t="n">
        <v>9</v>
      </c>
      <c r="F954" s="10">
        <f>IF($B954&gt;=Analysis!$P$1,IF($E954&lt;=Analysis!$P$2,"VIP","At risk"),IF($E954&lt;=Analysis!$P$2,"Loyal","Dormant"))</f>
        <v/>
      </c>
    </row>
    <row r="955">
      <c r="A955" s="10" t="inlineStr">
        <is>
          <t>C3953</t>
        </is>
      </c>
      <c r="B955" s="17" t="n">
        <v>3478803</v>
      </c>
      <c r="C955" s="18" t="n">
        <v>12</v>
      </c>
      <c r="D955" s="18" t="n">
        <v>430</v>
      </c>
      <c r="E955" s="18" t="n">
        <v>18</v>
      </c>
      <c r="F955" s="10">
        <f>IF($B955&gt;=Analysis!$P$1,IF($E955&lt;=Analysis!$P$2,"VIP","At risk"),IF($E955&lt;=Analysis!$P$2,"Loyal","Dormant"))</f>
        <v/>
      </c>
    </row>
    <row r="956">
      <c r="A956" s="10" t="inlineStr">
        <is>
          <t>C3954</t>
        </is>
      </c>
      <c r="B956" s="17" t="n">
        <v>1327187</v>
      </c>
      <c r="C956" s="18" t="n">
        <v>6</v>
      </c>
      <c r="D956" s="18" t="n">
        <v>543</v>
      </c>
      <c r="E956" s="18" t="n">
        <v>136</v>
      </c>
      <c r="F956" s="10">
        <f>IF($B956&gt;=Analysis!$P$1,IF($E956&lt;=Analysis!$P$2,"VIP","At risk"),IF($E956&lt;=Analysis!$P$2,"Loyal","Dormant"))</f>
        <v/>
      </c>
    </row>
    <row r="957">
      <c r="A957" s="10" t="inlineStr">
        <is>
          <t>C3955</t>
        </is>
      </c>
      <c r="B957" s="17" t="n">
        <v>2077921</v>
      </c>
      <c r="C957" s="18" t="n">
        <v>3</v>
      </c>
      <c r="D957" s="18" t="n">
        <v>48</v>
      </c>
      <c r="E957" s="18" t="n">
        <v>19</v>
      </c>
      <c r="F957" s="10">
        <f>IF($B957&gt;=Analysis!$P$1,IF($E957&lt;=Analysis!$P$2,"VIP","At risk"),IF($E957&lt;=Analysis!$P$2,"Loyal","Dormant"))</f>
        <v/>
      </c>
    </row>
    <row r="958">
      <c r="A958" s="10" t="inlineStr">
        <is>
          <t>C3956</t>
        </is>
      </c>
      <c r="B958" s="17" t="n">
        <v>2568634</v>
      </c>
      <c r="C958" s="18" t="n">
        <v>20</v>
      </c>
      <c r="D958" s="18" t="n">
        <v>111</v>
      </c>
      <c r="E958" s="18" t="n">
        <v>12</v>
      </c>
      <c r="F958" s="10">
        <f>IF($B958&gt;=Analysis!$P$1,IF($E958&lt;=Analysis!$P$2,"VIP","At risk"),IF($E958&lt;=Analysis!$P$2,"Loyal","Dormant"))</f>
        <v/>
      </c>
    </row>
    <row r="959">
      <c r="A959" s="10" t="inlineStr">
        <is>
          <t>C3957</t>
        </is>
      </c>
      <c r="B959" s="17" t="n">
        <v>917444</v>
      </c>
      <c r="C959" s="18" t="n">
        <v>4</v>
      </c>
      <c r="D959" s="18" t="n">
        <v>5</v>
      </c>
      <c r="E959" s="18" t="n">
        <v>20</v>
      </c>
      <c r="F959" s="10">
        <f>IF($B959&gt;=Analysis!$P$1,IF($E959&lt;=Analysis!$P$2,"VIP","At risk"),IF($E959&lt;=Analysis!$P$2,"Loyal","Dormant"))</f>
        <v/>
      </c>
    </row>
    <row r="960">
      <c r="A960" s="10" t="inlineStr">
        <is>
          <t>C3958</t>
        </is>
      </c>
      <c r="B960" s="17" t="n">
        <v>1146150</v>
      </c>
      <c r="C960" s="18" t="n">
        <v>4</v>
      </c>
      <c r="D960" s="18" t="n">
        <v>229</v>
      </c>
      <c r="E960" s="18" t="n">
        <v>42</v>
      </c>
      <c r="F960" s="10">
        <f>IF($B960&gt;=Analysis!$P$1,IF($E960&lt;=Analysis!$P$2,"VIP","At risk"),IF($E960&lt;=Analysis!$P$2,"Loyal","Dormant"))</f>
        <v/>
      </c>
    </row>
    <row r="961">
      <c r="A961" s="10" t="inlineStr">
        <is>
          <t>C3959</t>
        </is>
      </c>
      <c r="B961" s="17" t="n">
        <v>757992</v>
      </c>
      <c r="C961" s="18" t="n">
        <v>8</v>
      </c>
      <c r="D961" s="18" t="n">
        <v>152</v>
      </c>
      <c r="E961" s="18" t="n">
        <v>77</v>
      </c>
      <c r="F961" s="10">
        <f>IF($B961&gt;=Analysis!$P$1,IF($E961&lt;=Analysis!$P$2,"VIP","At risk"),IF($E961&lt;=Analysis!$P$2,"Loyal","Dormant"))</f>
        <v/>
      </c>
    </row>
    <row r="962">
      <c r="A962" s="10" t="inlineStr">
        <is>
          <t>C3960</t>
        </is>
      </c>
      <c r="B962" s="17" t="n">
        <v>8209935</v>
      </c>
      <c r="C962" s="18" t="n">
        <v>29</v>
      </c>
      <c r="D962" s="18" t="n">
        <v>390</v>
      </c>
      <c r="E962" s="18" t="n">
        <v>22</v>
      </c>
      <c r="F962" s="10">
        <f>IF($B962&gt;=Analysis!$P$1,IF($E962&lt;=Analysis!$P$2,"VIP","At risk"),IF($E962&lt;=Analysis!$P$2,"Loyal","Dormant"))</f>
        <v/>
      </c>
    </row>
    <row r="963">
      <c r="A963" s="10" t="inlineStr">
        <is>
          <t>C3961</t>
        </is>
      </c>
      <c r="B963" s="17" t="n">
        <v>7424486</v>
      </c>
      <c r="C963" s="18" t="n">
        <v>29</v>
      </c>
      <c r="D963" s="18" t="n">
        <v>678</v>
      </c>
      <c r="E963" s="18" t="n">
        <v>9</v>
      </c>
      <c r="F963" s="10">
        <f>IF($B963&gt;=Analysis!$P$1,IF($E963&lt;=Analysis!$P$2,"VIP","At risk"),IF($E963&lt;=Analysis!$P$2,"Loyal","Dormant"))</f>
        <v/>
      </c>
    </row>
    <row r="964">
      <c r="A964" s="10" t="inlineStr">
        <is>
          <t>C3962</t>
        </is>
      </c>
      <c r="B964" s="17" t="n">
        <v>8488273</v>
      </c>
      <c r="C964" s="18" t="n">
        <v>31</v>
      </c>
      <c r="D964" s="18" t="n">
        <v>628</v>
      </c>
      <c r="E964" s="18" t="n">
        <v>25</v>
      </c>
      <c r="F964" s="10">
        <f>IF($B964&gt;=Analysis!$P$1,IF($E964&lt;=Analysis!$P$2,"VIP","At risk"),IF($E964&lt;=Analysis!$P$2,"Loyal","Dormant"))</f>
        <v/>
      </c>
    </row>
    <row r="965">
      <c r="A965" s="10" t="inlineStr">
        <is>
          <t>C3963</t>
        </is>
      </c>
      <c r="B965" s="17" t="n">
        <v>608028</v>
      </c>
      <c r="C965" s="18" t="n">
        <v>5</v>
      </c>
      <c r="D965" s="18" t="n">
        <v>350</v>
      </c>
      <c r="E965" s="18" t="n">
        <v>31</v>
      </c>
      <c r="F965" s="10">
        <f>IF($B965&gt;=Analysis!$P$1,IF($E965&lt;=Analysis!$P$2,"VIP","At risk"),IF($E965&lt;=Analysis!$P$2,"Loyal","Dormant"))</f>
        <v/>
      </c>
    </row>
    <row r="966">
      <c r="A966" s="10" t="inlineStr">
        <is>
          <t>C3964</t>
        </is>
      </c>
      <c r="B966" s="17" t="n">
        <v>8015184</v>
      </c>
      <c r="C966" s="18" t="n">
        <v>28</v>
      </c>
      <c r="D966" s="18" t="n">
        <v>611</v>
      </c>
      <c r="E966" s="18" t="n">
        <v>15</v>
      </c>
      <c r="F966" s="10">
        <f>IF($B966&gt;=Analysis!$P$1,IF($E966&lt;=Analysis!$P$2,"VIP","At risk"),IF($E966&lt;=Analysis!$P$2,"Loyal","Dormant"))</f>
        <v/>
      </c>
    </row>
    <row r="967">
      <c r="A967" s="10" t="inlineStr">
        <is>
          <t>C3965</t>
        </is>
      </c>
      <c r="B967" s="17" t="n">
        <v>1581562</v>
      </c>
      <c r="C967" s="18" t="n">
        <v>5</v>
      </c>
      <c r="D967" s="18" t="n">
        <v>58</v>
      </c>
      <c r="E967" s="18" t="n">
        <v>1</v>
      </c>
      <c r="F967" s="10">
        <f>IF($B967&gt;=Analysis!$P$1,IF($E967&lt;=Analysis!$P$2,"VIP","At risk"),IF($E967&lt;=Analysis!$P$2,"Loyal","Dormant"))</f>
        <v/>
      </c>
    </row>
    <row r="968">
      <c r="A968" s="10" t="inlineStr">
        <is>
          <t>C3966</t>
        </is>
      </c>
      <c r="B968" s="17" t="n">
        <v>3935194</v>
      </c>
      <c r="C968" s="18" t="n">
        <v>17</v>
      </c>
      <c r="D968" s="18" t="n">
        <v>698</v>
      </c>
      <c r="E968" s="18" t="n">
        <v>7</v>
      </c>
      <c r="F968" s="10">
        <f>IF($B968&gt;=Analysis!$P$1,IF($E968&lt;=Analysis!$P$2,"VIP","At risk"),IF($E968&lt;=Analysis!$P$2,"Loyal","Dormant"))</f>
        <v/>
      </c>
    </row>
    <row r="969">
      <c r="A969" s="10" t="inlineStr">
        <is>
          <t>C3967</t>
        </is>
      </c>
      <c r="B969" s="17" t="n">
        <v>1308419</v>
      </c>
      <c r="C969" s="18" t="n">
        <v>4</v>
      </c>
      <c r="D969" s="18" t="n">
        <v>91</v>
      </c>
      <c r="E969" s="18" t="n">
        <v>71</v>
      </c>
      <c r="F969" s="10">
        <f>IF($B969&gt;=Analysis!$P$1,IF($E969&lt;=Analysis!$P$2,"VIP","At risk"),IF($E969&lt;=Analysis!$P$2,"Loyal","Dormant"))</f>
        <v/>
      </c>
    </row>
    <row r="970">
      <c r="A970" s="10" t="inlineStr">
        <is>
          <t>C3968</t>
        </is>
      </c>
      <c r="B970" s="17" t="n">
        <v>4948773</v>
      </c>
      <c r="C970" s="18" t="n">
        <v>14</v>
      </c>
      <c r="D970" s="18" t="n">
        <v>621</v>
      </c>
      <c r="E970" s="18" t="n">
        <v>27</v>
      </c>
      <c r="F970" s="10">
        <f>IF($B970&gt;=Analysis!$P$1,IF($E970&lt;=Analysis!$P$2,"VIP","At risk"),IF($E970&lt;=Analysis!$P$2,"Loyal","Dormant"))</f>
        <v/>
      </c>
    </row>
    <row r="971">
      <c r="A971" s="10" t="inlineStr">
        <is>
          <t>C3969</t>
        </is>
      </c>
      <c r="B971" s="17" t="n">
        <v>0</v>
      </c>
      <c r="C971" s="18" t="n">
        <v>2</v>
      </c>
      <c r="D971" s="18" t="n">
        <v>247</v>
      </c>
      <c r="E971" s="18" t="n">
        <v>37</v>
      </c>
      <c r="F971" s="10">
        <f>IF($B971&gt;=Analysis!$P$1,IF($E971&lt;=Analysis!$P$2,"VIP","At risk"),IF($E971&lt;=Analysis!$P$2,"Loyal","Dormant"))</f>
        <v/>
      </c>
    </row>
    <row r="972">
      <c r="A972" s="10" t="inlineStr">
        <is>
          <t>C3970</t>
        </is>
      </c>
      <c r="B972" s="17" t="n">
        <v>11581505</v>
      </c>
      <c r="C972" s="18" t="n">
        <v>30</v>
      </c>
      <c r="D972" s="18" t="n">
        <v>613</v>
      </c>
      <c r="E972" s="18" t="n">
        <v>16</v>
      </c>
      <c r="F972" s="10">
        <f>IF($B972&gt;=Analysis!$P$1,IF($E972&lt;=Analysis!$P$2,"VIP","At risk"),IF($E972&lt;=Analysis!$P$2,"Loyal","Dormant"))</f>
        <v/>
      </c>
    </row>
    <row r="973">
      <c r="A973" s="10" t="inlineStr">
        <is>
          <t>C3971</t>
        </is>
      </c>
      <c r="B973" s="17" t="n">
        <v>579389</v>
      </c>
      <c r="C973" s="18" t="n">
        <v>1</v>
      </c>
      <c r="D973" s="18" t="n">
        <v>326</v>
      </c>
      <c r="E973" s="18" t="n">
        <v>83</v>
      </c>
      <c r="F973" s="10">
        <f>IF($B973&gt;=Analysis!$P$1,IF($E973&lt;=Analysis!$P$2,"VIP","At risk"),IF($E973&lt;=Analysis!$P$2,"Loyal","Dormant"))</f>
        <v/>
      </c>
    </row>
    <row r="974">
      <c r="A974" s="10" t="inlineStr">
        <is>
          <t>C3972</t>
        </is>
      </c>
      <c r="B974" s="17" t="n">
        <v>1146066</v>
      </c>
      <c r="C974" s="18" t="n">
        <v>5</v>
      </c>
      <c r="D974" s="18" t="n">
        <v>262</v>
      </c>
      <c r="E974" s="18" t="n">
        <v>6</v>
      </c>
      <c r="F974" s="10">
        <f>IF($B974&gt;=Analysis!$P$1,IF($E974&lt;=Analysis!$P$2,"VIP","At risk"),IF($E974&lt;=Analysis!$P$2,"Loyal","Dormant"))</f>
        <v/>
      </c>
    </row>
    <row r="975">
      <c r="A975" s="10" t="inlineStr">
        <is>
          <t>C3973</t>
        </is>
      </c>
      <c r="B975" s="17" t="n">
        <v>7946906</v>
      </c>
      <c r="C975" s="18" t="n">
        <v>34</v>
      </c>
      <c r="D975" s="18" t="n">
        <v>609</v>
      </c>
      <c r="E975" s="18" t="n">
        <v>12</v>
      </c>
      <c r="F975" s="10">
        <f>IF($B975&gt;=Analysis!$P$1,IF($E975&lt;=Analysis!$P$2,"VIP","At risk"),IF($E975&lt;=Analysis!$P$2,"Loyal","Dormant"))</f>
        <v/>
      </c>
    </row>
    <row r="976">
      <c r="A976" s="10" t="inlineStr">
        <is>
          <t>C3974</t>
        </is>
      </c>
      <c r="B976" s="17" t="n">
        <v>7921851</v>
      </c>
      <c r="C976" s="18" t="n">
        <v>25</v>
      </c>
      <c r="D976" s="18" t="n">
        <v>743</v>
      </c>
      <c r="E976" s="18" t="n">
        <v>12</v>
      </c>
      <c r="F976" s="10">
        <f>IF($B976&gt;=Analysis!$P$1,IF($E976&lt;=Analysis!$P$2,"VIP","At risk"),IF($E976&lt;=Analysis!$P$2,"Loyal","Dormant"))</f>
        <v/>
      </c>
    </row>
    <row r="977">
      <c r="A977" s="10" t="inlineStr">
        <is>
          <t>C3975</t>
        </is>
      </c>
      <c r="B977" s="17" t="n">
        <v>8907140</v>
      </c>
      <c r="C977" s="18" t="n">
        <v>21</v>
      </c>
      <c r="D977" s="18" t="n">
        <v>570</v>
      </c>
      <c r="E977" s="18" t="n">
        <v>15</v>
      </c>
      <c r="F977" s="10">
        <f>IF($B977&gt;=Analysis!$P$1,IF($E977&lt;=Analysis!$P$2,"VIP","At risk"),IF($E977&lt;=Analysis!$P$2,"Loyal","Dormant"))</f>
        <v/>
      </c>
    </row>
    <row r="978">
      <c r="A978" s="10" t="inlineStr">
        <is>
          <t>C3976</t>
        </is>
      </c>
      <c r="B978" s="17" t="n">
        <v>1976426</v>
      </c>
      <c r="C978" s="18" t="n">
        <v>9</v>
      </c>
      <c r="D978" s="18" t="n">
        <v>321</v>
      </c>
      <c r="E978" s="18" t="n">
        <v>26</v>
      </c>
      <c r="F978" s="10">
        <f>IF($B978&gt;=Analysis!$P$1,IF($E978&lt;=Analysis!$P$2,"VIP","At risk"),IF($E978&lt;=Analysis!$P$2,"Loyal","Dormant"))</f>
        <v/>
      </c>
    </row>
    <row r="979">
      <c r="A979" s="10" t="inlineStr">
        <is>
          <t>C3977</t>
        </is>
      </c>
      <c r="B979" s="17" t="n">
        <v>998375</v>
      </c>
      <c r="C979" s="18" t="n">
        <v>3</v>
      </c>
      <c r="D979" s="18" t="n">
        <v>231</v>
      </c>
      <c r="E979" s="18" t="n">
        <v>47</v>
      </c>
      <c r="F979" s="10">
        <f>IF($B979&gt;=Analysis!$P$1,IF($E979&lt;=Analysis!$P$2,"VIP","At risk"),IF($E979&lt;=Analysis!$P$2,"Loyal","Dormant"))</f>
        <v/>
      </c>
    </row>
    <row r="980">
      <c r="A980" s="10" t="inlineStr">
        <is>
          <t>C3978</t>
        </is>
      </c>
      <c r="B980" s="17" t="n">
        <v>2992074</v>
      </c>
      <c r="C980" s="18" t="n">
        <v>10</v>
      </c>
      <c r="D980" s="18" t="n">
        <v>360</v>
      </c>
      <c r="E980" s="18" t="n">
        <v>22</v>
      </c>
      <c r="F980" s="10">
        <f>IF($B980&gt;=Analysis!$P$1,IF($E980&lt;=Analysis!$P$2,"VIP","At risk"),IF($E980&lt;=Analysis!$P$2,"Loyal","Dormant"))</f>
        <v/>
      </c>
    </row>
    <row r="981">
      <c r="A981" s="10" t="inlineStr">
        <is>
          <t>C3979</t>
        </is>
      </c>
      <c r="B981" s="17" t="n">
        <v>4712982</v>
      </c>
      <c r="C981" s="18" t="n">
        <v>19</v>
      </c>
      <c r="D981" s="18" t="n">
        <v>696</v>
      </c>
      <c r="E981" s="18" t="n">
        <v>12</v>
      </c>
      <c r="F981" s="10">
        <f>IF($B981&gt;=Analysis!$P$1,IF($E981&lt;=Analysis!$P$2,"VIP","At risk"),IF($E981&lt;=Analysis!$P$2,"Loyal","Dormant"))</f>
        <v/>
      </c>
    </row>
    <row r="982">
      <c r="A982" s="10" t="inlineStr">
        <is>
          <t>C3980</t>
        </is>
      </c>
      <c r="B982" s="17" t="n">
        <v>897139</v>
      </c>
      <c r="C982" s="18" t="n">
        <v>3</v>
      </c>
      <c r="D982" s="18" t="n">
        <v>155</v>
      </c>
      <c r="E982" s="18" t="n">
        <v>14</v>
      </c>
      <c r="F982" s="10">
        <f>IF($B982&gt;=Analysis!$P$1,IF($E982&lt;=Analysis!$P$2,"VIP","At risk"),IF($E982&lt;=Analysis!$P$2,"Loyal","Dormant"))</f>
        <v/>
      </c>
    </row>
    <row r="983">
      <c r="A983" s="10" t="inlineStr">
        <is>
          <t>C3981</t>
        </is>
      </c>
      <c r="B983" s="17" t="n">
        <v>772841</v>
      </c>
      <c r="C983" s="18" t="n">
        <v>4</v>
      </c>
      <c r="D983" s="18" t="n">
        <v>92</v>
      </c>
      <c r="E983" s="18" t="n">
        <v>13</v>
      </c>
      <c r="F983" s="10">
        <f>IF($B983&gt;=Analysis!$P$1,IF($E983&lt;=Analysis!$P$2,"VIP","At risk"),IF($E983&lt;=Analysis!$P$2,"Loyal","Dormant"))</f>
        <v/>
      </c>
    </row>
    <row r="984">
      <c r="A984" s="10" t="inlineStr">
        <is>
          <t>C3982</t>
        </is>
      </c>
      <c r="B984" s="17" t="n">
        <v>673870</v>
      </c>
      <c r="C984" s="18" t="n">
        <v>6</v>
      </c>
      <c r="D984" s="18" t="n">
        <v>270</v>
      </c>
      <c r="E984" s="18" t="n">
        <v>97</v>
      </c>
      <c r="F984" s="10">
        <f>IF($B984&gt;=Analysis!$P$1,IF($E984&lt;=Analysis!$P$2,"VIP","At risk"),IF($E984&lt;=Analysis!$P$2,"Loyal","Dormant"))</f>
        <v/>
      </c>
    </row>
    <row r="985">
      <c r="A985" s="10" t="inlineStr">
        <is>
          <t>C3983</t>
        </is>
      </c>
      <c r="B985" s="17" t="n">
        <v>878916</v>
      </c>
      <c r="C985" s="18" t="n">
        <v>2</v>
      </c>
      <c r="D985" s="18" t="n">
        <v>343</v>
      </c>
      <c r="E985" s="18" t="n">
        <v>54</v>
      </c>
      <c r="F985" s="10">
        <f>IF($B985&gt;=Analysis!$P$1,IF($E985&lt;=Analysis!$P$2,"VIP","At risk"),IF($E985&lt;=Analysis!$P$2,"Loyal","Dormant"))</f>
        <v/>
      </c>
    </row>
    <row r="986">
      <c r="A986" s="10" t="inlineStr">
        <is>
          <t>C3984</t>
        </is>
      </c>
      <c r="B986" s="17" t="n">
        <v>3192799</v>
      </c>
      <c r="C986" s="18" t="n">
        <v>16</v>
      </c>
      <c r="D986" s="18" t="n">
        <v>238</v>
      </c>
      <c r="E986" s="18" t="n">
        <v>14</v>
      </c>
      <c r="F986" s="10">
        <f>IF($B986&gt;=Analysis!$P$1,IF($E986&lt;=Analysis!$P$2,"VIP","At risk"),IF($E986&lt;=Analysis!$P$2,"Loyal","Dormant"))</f>
        <v/>
      </c>
    </row>
    <row r="987">
      <c r="A987" s="10" t="inlineStr">
        <is>
          <t>C3985</t>
        </is>
      </c>
      <c r="B987" s="17" t="n">
        <v>3432981</v>
      </c>
      <c r="C987" s="18" t="n">
        <v>17</v>
      </c>
      <c r="D987" s="18" t="n">
        <v>329</v>
      </c>
      <c r="E987" s="18" t="n">
        <v>31</v>
      </c>
      <c r="F987" s="10">
        <f>IF($B987&gt;=Analysis!$P$1,IF($E987&lt;=Analysis!$P$2,"VIP","At risk"),IF($E987&lt;=Analysis!$P$2,"Loyal","Dormant"))</f>
        <v/>
      </c>
    </row>
    <row r="988">
      <c r="A988" s="10" t="inlineStr">
        <is>
          <t>C3986</t>
        </is>
      </c>
      <c r="B988" s="17" t="n">
        <v>1104700</v>
      </c>
      <c r="C988" s="18" t="n">
        <v>5</v>
      </c>
      <c r="D988" s="18" t="n">
        <v>260</v>
      </c>
      <c r="E988" s="18" t="n">
        <v>113</v>
      </c>
      <c r="F988" s="10">
        <f>IF($B988&gt;=Analysis!$P$1,IF($E988&lt;=Analysis!$P$2,"VIP","At risk"),IF($E988&lt;=Analysis!$P$2,"Loyal","Dormant"))</f>
        <v/>
      </c>
    </row>
    <row r="989">
      <c r="A989" s="10" t="inlineStr">
        <is>
          <t>C3987</t>
        </is>
      </c>
      <c r="B989" s="17" t="n">
        <v>1250692</v>
      </c>
      <c r="C989" s="18" t="n">
        <v>4</v>
      </c>
      <c r="D989" s="18" t="n">
        <v>467</v>
      </c>
      <c r="E989" s="18" t="n">
        <v>28</v>
      </c>
      <c r="F989" s="10">
        <f>IF($B989&gt;=Analysis!$P$1,IF($E989&lt;=Analysis!$P$2,"VIP","At risk"),IF($E989&lt;=Analysis!$P$2,"Loyal","Dormant"))</f>
        <v/>
      </c>
    </row>
    <row r="990">
      <c r="A990" s="10" t="inlineStr">
        <is>
          <t>C3988</t>
        </is>
      </c>
      <c r="B990" s="17" t="n">
        <v>3662248</v>
      </c>
      <c r="C990" s="18" t="n">
        <v>10</v>
      </c>
      <c r="D990" s="18" t="n">
        <v>122</v>
      </c>
      <c r="E990" s="18" t="n">
        <v>19</v>
      </c>
      <c r="F990" s="10">
        <f>IF($B990&gt;=Analysis!$P$1,IF($E990&lt;=Analysis!$P$2,"VIP","At risk"),IF($E990&lt;=Analysis!$P$2,"Loyal","Dormant"))</f>
        <v/>
      </c>
    </row>
    <row r="991">
      <c r="A991" s="10" t="inlineStr">
        <is>
          <t>C3989</t>
        </is>
      </c>
      <c r="B991" s="17" t="n">
        <v>305278</v>
      </c>
      <c r="C991" s="18" t="n">
        <v>6</v>
      </c>
      <c r="D991" s="18" t="n">
        <v>216</v>
      </c>
      <c r="E991" s="18" t="n">
        <v>89</v>
      </c>
      <c r="F991" s="10">
        <f>IF($B991&gt;=Analysis!$P$1,IF($E991&lt;=Analysis!$P$2,"VIP","At risk"),IF($E991&lt;=Analysis!$P$2,"Loyal","Dormant"))</f>
        <v/>
      </c>
    </row>
    <row r="992">
      <c r="A992" s="10" t="inlineStr">
        <is>
          <t>C3990</t>
        </is>
      </c>
      <c r="B992" s="17" t="n">
        <v>154402</v>
      </c>
      <c r="C992" s="18" t="n">
        <v>1</v>
      </c>
      <c r="D992" s="18" t="n">
        <v>87</v>
      </c>
      <c r="E992" s="18" t="n">
        <v>29</v>
      </c>
      <c r="F992" s="10">
        <f>IF($B992&gt;=Analysis!$P$1,IF($E992&lt;=Analysis!$P$2,"VIP","At risk"),IF($E992&lt;=Analysis!$P$2,"Loyal","Dormant"))</f>
        <v/>
      </c>
    </row>
    <row r="993">
      <c r="A993" s="10" t="inlineStr">
        <is>
          <t>C3991</t>
        </is>
      </c>
      <c r="B993" s="17" t="n">
        <v>1496999</v>
      </c>
      <c r="C993" s="18" t="n">
        <v>6</v>
      </c>
      <c r="D993" s="18" t="n">
        <v>191</v>
      </c>
      <c r="E993" s="18" t="n">
        <v>122</v>
      </c>
      <c r="F993" s="10">
        <f>IF($B993&gt;=Analysis!$P$1,IF($E993&lt;=Analysis!$P$2,"VIP","At risk"),IF($E993&lt;=Analysis!$P$2,"Loyal","Dormant"))</f>
        <v/>
      </c>
    </row>
    <row r="994">
      <c r="A994" s="10" t="inlineStr">
        <is>
          <t>C3992</t>
        </is>
      </c>
      <c r="B994" s="17" t="n">
        <v>5851414</v>
      </c>
      <c r="C994" s="18" t="n">
        <v>11</v>
      </c>
      <c r="D994" s="18" t="n">
        <v>526</v>
      </c>
      <c r="E994" s="18" t="n">
        <v>18</v>
      </c>
      <c r="F994" s="10">
        <f>IF($B994&gt;=Analysis!$P$1,IF($E994&lt;=Analysis!$P$2,"VIP","At risk"),IF($E994&lt;=Analysis!$P$2,"Loyal","Dormant"))</f>
        <v/>
      </c>
    </row>
    <row r="995">
      <c r="A995" s="10" t="inlineStr">
        <is>
          <t>C3993</t>
        </is>
      </c>
      <c r="B995" s="17" t="n">
        <v>900637</v>
      </c>
      <c r="C995" s="18" t="n">
        <v>4</v>
      </c>
      <c r="D995" s="18" t="n">
        <v>50</v>
      </c>
      <c r="E995" s="18" t="n">
        <v>32</v>
      </c>
      <c r="F995" s="10">
        <f>IF($B995&gt;=Analysis!$P$1,IF($E995&lt;=Analysis!$P$2,"VIP","At risk"),IF($E995&lt;=Analysis!$P$2,"Loyal","Dormant"))</f>
        <v/>
      </c>
    </row>
    <row r="996">
      <c r="A996" s="10" t="inlineStr">
        <is>
          <t>C3994</t>
        </is>
      </c>
      <c r="B996" s="17" t="n">
        <v>2750534</v>
      </c>
      <c r="C996" s="18" t="n">
        <v>13</v>
      </c>
      <c r="D996" s="18" t="n">
        <v>190</v>
      </c>
      <c r="E996" s="18" t="n">
        <v>37</v>
      </c>
      <c r="F996" s="10">
        <f>IF($B996&gt;=Analysis!$P$1,IF($E996&lt;=Analysis!$P$2,"VIP","At risk"),IF($E996&lt;=Analysis!$P$2,"Loyal","Dormant"))</f>
        <v/>
      </c>
    </row>
    <row r="997">
      <c r="A997" s="10" t="inlineStr">
        <is>
          <t>C3995</t>
        </is>
      </c>
      <c r="B997" s="17" t="n">
        <v>1720424</v>
      </c>
      <c r="C997" s="18" t="n">
        <v>3</v>
      </c>
      <c r="D997" s="18" t="n">
        <v>44</v>
      </c>
      <c r="E997" s="18" t="n">
        <v>7</v>
      </c>
      <c r="F997" s="10">
        <f>IF($B997&gt;=Analysis!$P$1,IF($E997&lt;=Analysis!$P$2,"VIP","At risk"),IF($E997&lt;=Analysis!$P$2,"Loyal","Dormant"))</f>
        <v/>
      </c>
    </row>
    <row r="998">
      <c r="A998" s="10" t="inlineStr">
        <is>
          <t>C3996</t>
        </is>
      </c>
      <c r="B998" s="17" t="n">
        <v>8621455</v>
      </c>
      <c r="C998" s="18" t="n">
        <v>30</v>
      </c>
      <c r="D998" s="18" t="n">
        <v>693</v>
      </c>
      <c r="E998" s="18" t="n">
        <v>14</v>
      </c>
      <c r="F998" s="10">
        <f>IF($B998&gt;=Analysis!$P$1,IF($E998&lt;=Analysis!$P$2,"VIP","At risk"),IF($E998&lt;=Analysis!$P$2,"Loyal","Dormant"))</f>
        <v/>
      </c>
    </row>
    <row r="999">
      <c r="A999" s="10" t="inlineStr">
        <is>
          <t>C3997</t>
        </is>
      </c>
      <c r="B999" s="17" t="n">
        <v>1595638</v>
      </c>
      <c r="C999" s="18" t="n">
        <v>3</v>
      </c>
      <c r="D999" s="18" t="n">
        <v>85</v>
      </c>
      <c r="E999" s="18" t="n">
        <v>22</v>
      </c>
      <c r="F999" s="10">
        <f>IF($B999&gt;=Analysis!$P$1,IF($E999&lt;=Analysis!$P$2,"VIP","At risk"),IF($E999&lt;=Analysis!$P$2,"Loyal","Dormant"))</f>
        <v/>
      </c>
    </row>
    <row r="1000">
      <c r="A1000" s="10" t="inlineStr">
        <is>
          <t>C3998</t>
        </is>
      </c>
      <c r="B1000" s="17" t="n">
        <v>8494806</v>
      </c>
      <c r="C1000" s="18" t="n">
        <v>31</v>
      </c>
      <c r="D1000" s="18" t="n">
        <v>484</v>
      </c>
      <c r="E1000" s="18" t="n">
        <v>5</v>
      </c>
      <c r="F1000" s="10">
        <f>IF($B1000&gt;=Analysis!$P$1,IF($E1000&lt;=Analysis!$P$2,"VIP","At risk"),IF($E1000&lt;=Analysis!$P$2,"Loyal","Dormant"))</f>
        <v/>
      </c>
    </row>
    <row r="1001">
      <c r="A1001" s="10" t="inlineStr">
        <is>
          <t>C3999</t>
        </is>
      </c>
      <c r="B1001" s="17" t="n">
        <v>3137683</v>
      </c>
      <c r="C1001" s="18" t="n">
        <v>12</v>
      </c>
      <c r="D1001" s="18" t="n">
        <v>277</v>
      </c>
      <c r="E1001" s="18" t="n">
        <v>15</v>
      </c>
      <c r="F1001" s="10">
        <f>IF($B1001&gt;=Analysis!$P$1,IF($E1001&lt;=Analysis!$P$2,"VIP","At risk"),IF($E1001&lt;=Analysis!$P$2,"Loyal","Dormant"))</f>
        <v/>
      </c>
    </row>
    <row r="1002">
      <c r="A1002" s="10" t="inlineStr">
        <is>
          <t>C4000</t>
        </is>
      </c>
      <c r="B1002" s="17" t="n">
        <v>1104571</v>
      </c>
      <c r="C1002" s="18" t="n">
        <v>5</v>
      </c>
      <c r="D1002" s="18" t="n">
        <v>37</v>
      </c>
      <c r="E1002" s="18" t="n">
        <v>134</v>
      </c>
      <c r="F1002" s="10">
        <f>IF($B1002&gt;=Analysis!$P$1,IF($E1002&lt;=Analysis!$P$2,"VIP","At risk"),IF($E1002&lt;=Analysis!$P$2,"Loyal","Dormant"))</f>
        <v/>
      </c>
    </row>
    <row r="1003">
      <c r="A1003" s="10" t="inlineStr">
        <is>
          <t>C4001</t>
        </is>
      </c>
      <c r="B1003" s="17" t="n">
        <v>1240714</v>
      </c>
      <c r="C1003" s="18" t="n">
        <v>6</v>
      </c>
      <c r="D1003" s="18" t="n">
        <v>32</v>
      </c>
      <c r="E1003" s="18" t="n">
        <v>33</v>
      </c>
      <c r="F1003" s="10">
        <f>IF($B1003&gt;=Analysis!$P$1,IF($E1003&lt;=Analysis!$P$2,"VIP","At risk"),IF($E1003&lt;=Analysis!$P$2,"Loyal","Dormant"))</f>
        <v/>
      </c>
    </row>
    <row r="1004">
      <c r="A1004" s="10" t="inlineStr">
        <is>
          <t>C4002</t>
        </is>
      </c>
      <c r="B1004" s="17" t="n">
        <v>3842866</v>
      </c>
      <c r="C1004" s="18" t="n">
        <v>15</v>
      </c>
      <c r="D1004" s="18" t="n">
        <v>467</v>
      </c>
      <c r="E1004" s="18" t="n">
        <v>37</v>
      </c>
      <c r="F1004" s="10">
        <f>IF($B1004&gt;=Analysis!$P$1,IF($E1004&lt;=Analysis!$P$2,"VIP","At risk"),IF($E1004&lt;=Analysis!$P$2,"Loyal","Dormant"))</f>
        <v/>
      </c>
    </row>
    <row r="1005">
      <c r="A1005" s="10" t="inlineStr">
        <is>
          <t>C4003</t>
        </is>
      </c>
      <c r="B1005" s="17" t="n">
        <v>603183</v>
      </c>
      <c r="C1005" s="18" t="n">
        <v>4</v>
      </c>
      <c r="D1005" s="18" t="n">
        <v>390</v>
      </c>
      <c r="E1005" s="18" t="n">
        <v>95</v>
      </c>
      <c r="F1005" s="10">
        <f>IF($B1005&gt;=Analysis!$P$1,IF($E1005&lt;=Analysis!$P$2,"VIP","At risk"),IF($E1005&lt;=Analysis!$P$2,"Loyal","Dormant"))</f>
        <v/>
      </c>
    </row>
    <row r="1006">
      <c r="A1006" s="10" t="inlineStr">
        <is>
          <t>C4004</t>
        </is>
      </c>
      <c r="B1006" s="17" t="n">
        <v>5286757</v>
      </c>
      <c r="C1006" s="18" t="n">
        <v>10</v>
      </c>
      <c r="D1006" s="18" t="n">
        <v>375</v>
      </c>
      <c r="E1006" s="18" t="n">
        <v>43</v>
      </c>
      <c r="F1006" s="10">
        <f>IF($B1006&gt;=Analysis!$P$1,IF($E1006&lt;=Analysis!$P$2,"VIP","At risk"),IF($E1006&lt;=Analysis!$P$2,"Loyal","Dormant"))</f>
        <v/>
      </c>
    </row>
    <row r="1007">
      <c r="A1007" s="10" t="inlineStr">
        <is>
          <t>C4005</t>
        </is>
      </c>
      <c r="B1007" s="17" t="n">
        <v>3931522</v>
      </c>
      <c r="C1007" s="18" t="n">
        <v>12</v>
      </c>
      <c r="D1007" s="18" t="n">
        <v>444</v>
      </c>
      <c r="E1007" s="18" t="n">
        <v>28</v>
      </c>
      <c r="F1007" s="10">
        <f>IF($B1007&gt;=Analysis!$P$1,IF($E1007&lt;=Analysis!$P$2,"VIP","At risk"),IF($E1007&lt;=Analysis!$P$2,"Loyal","Dormant"))</f>
        <v/>
      </c>
    </row>
    <row r="1008">
      <c r="A1008" s="10" t="inlineStr">
        <is>
          <t>C4006</t>
        </is>
      </c>
      <c r="B1008" s="17" t="n">
        <v>694819</v>
      </c>
      <c r="C1008" s="18" t="n">
        <v>3</v>
      </c>
      <c r="D1008" s="18" t="n">
        <v>38</v>
      </c>
      <c r="E1008" s="18" t="n">
        <v>21</v>
      </c>
      <c r="F1008" s="10">
        <f>IF($B1008&gt;=Analysis!$P$1,IF($E1008&lt;=Analysis!$P$2,"VIP","At risk"),IF($E1008&lt;=Analysis!$P$2,"Loyal","Dormant"))</f>
        <v/>
      </c>
    </row>
    <row r="1009">
      <c r="A1009" s="10" t="inlineStr">
        <is>
          <t>C4007</t>
        </is>
      </c>
      <c r="B1009" s="17" t="n">
        <v>5162521</v>
      </c>
      <c r="C1009" s="18" t="n">
        <v>14</v>
      </c>
      <c r="D1009" s="18" t="n">
        <v>217</v>
      </c>
      <c r="E1009" s="18" t="n">
        <v>30</v>
      </c>
      <c r="F1009" s="10">
        <f>IF($B1009&gt;=Analysis!$P$1,IF($E1009&lt;=Analysis!$P$2,"VIP","At risk"),IF($E1009&lt;=Analysis!$P$2,"Loyal","Dormant"))</f>
        <v/>
      </c>
    </row>
    <row r="1010">
      <c r="A1010" s="10" t="inlineStr">
        <is>
          <t>C4008</t>
        </is>
      </c>
      <c r="B1010" s="17" t="n">
        <v>2134585</v>
      </c>
      <c r="C1010" s="18" t="n">
        <v>4</v>
      </c>
      <c r="D1010" s="18" t="n">
        <v>60</v>
      </c>
      <c r="E1010" s="18" t="n">
        <v>15</v>
      </c>
      <c r="F1010" s="10">
        <f>IF($B1010&gt;=Analysis!$P$1,IF($E1010&lt;=Analysis!$P$2,"VIP","At risk"),IF($E1010&lt;=Analysis!$P$2,"Loyal","Dormant"))</f>
        <v/>
      </c>
    </row>
    <row r="1011">
      <c r="A1011" s="10" t="inlineStr">
        <is>
          <t>C4009</t>
        </is>
      </c>
      <c r="B1011" s="17" t="n">
        <v>639625</v>
      </c>
      <c r="C1011" s="18" t="n">
        <v>5</v>
      </c>
      <c r="D1011" s="18" t="n">
        <v>207</v>
      </c>
      <c r="E1011" s="18" t="n">
        <v>110</v>
      </c>
      <c r="F1011" s="10">
        <f>IF($B1011&gt;=Analysis!$P$1,IF($E1011&lt;=Analysis!$P$2,"VIP","At risk"),IF($E1011&lt;=Analysis!$P$2,"Loyal","Dormant"))</f>
        <v/>
      </c>
    </row>
    <row r="1012">
      <c r="A1012" s="10" t="inlineStr">
        <is>
          <t>C4010</t>
        </is>
      </c>
      <c r="B1012" s="17" t="n">
        <v>1532948</v>
      </c>
      <c r="C1012" s="18" t="n">
        <v>4</v>
      </c>
      <c r="D1012" s="18" t="n">
        <v>119</v>
      </c>
      <c r="E1012" s="18" t="n">
        <v>25</v>
      </c>
      <c r="F1012" s="10">
        <f>IF($B1012&gt;=Analysis!$P$1,IF($E1012&lt;=Analysis!$P$2,"VIP","At risk"),IF($E1012&lt;=Analysis!$P$2,"Loyal","Dormant"))</f>
        <v/>
      </c>
    </row>
    <row r="1013">
      <c r="A1013" s="10" t="inlineStr">
        <is>
          <t>C4011</t>
        </is>
      </c>
      <c r="B1013" s="17" t="n">
        <v>403313</v>
      </c>
      <c r="C1013" s="18" t="n">
        <v>6</v>
      </c>
      <c r="D1013" s="18" t="n">
        <v>48</v>
      </c>
      <c r="E1013" s="18" t="n">
        <v>39</v>
      </c>
      <c r="F1013" s="10">
        <f>IF($B1013&gt;=Analysis!$P$1,IF($E1013&lt;=Analysis!$P$2,"VIP","At risk"),IF($E1013&lt;=Analysis!$P$2,"Loyal","Dormant"))</f>
        <v/>
      </c>
    </row>
    <row r="1014">
      <c r="A1014" s="10" t="inlineStr">
        <is>
          <t>C4012</t>
        </is>
      </c>
      <c r="B1014" s="17" t="n">
        <v>786303</v>
      </c>
      <c r="C1014" s="18" t="n">
        <v>6</v>
      </c>
      <c r="D1014" s="18" t="n">
        <v>366</v>
      </c>
      <c r="E1014" s="18" t="n">
        <v>73</v>
      </c>
      <c r="F1014" s="10">
        <f>IF($B1014&gt;=Analysis!$P$1,IF($E1014&lt;=Analysis!$P$2,"VIP","At risk"),IF($E1014&lt;=Analysis!$P$2,"Loyal","Dormant"))</f>
        <v/>
      </c>
    </row>
    <row r="1015">
      <c r="A1015" s="10" t="inlineStr">
        <is>
          <t>C4013</t>
        </is>
      </c>
      <c r="B1015" s="17" t="n">
        <v>2137716</v>
      </c>
      <c r="C1015" s="18" t="n">
        <v>3</v>
      </c>
      <c r="D1015" s="18" t="n">
        <v>55</v>
      </c>
      <c r="E1015" s="18" t="n">
        <v>11</v>
      </c>
      <c r="F1015" s="10">
        <f>IF($B1015&gt;=Analysis!$P$1,IF($E1015&lt;=Analysis!$P$2,"VIP","At risk"),IF($E1015&lt;=Analysis!$P$2,"Loyal","Dormant"))</f>
        <v/>
      </c>
    </row>
    <row r="1016">
      <c r="A1016" s="10" t="inlineStr">
        <is>
          <t>C4014</t>
        </is>
      </c>
      <c r="B1016" s="17" t="n">
        <v>2808016</v>
      </c>
      <c r="C1016" s="18" t="n">
        <v>11</v>
      </c>
      <c r="D1016" s="18" t="n">
        <v>282</v>
      </c>
      <c r="E1016" s="18" t="n">
        <v>2</v>
      </c>
      <c r="F1016" s="10">
        <f>IF($B1016&gt;=Analysis!$P$1,IF($E1016&lt;=Analysis!$P$2,"VIP","At risk"),IF($E1016&lt;=Analysis!$P$2,"Loyal","Dormant"))</f>
        <v/>
      </c>
    </row>
    <row r="1017">
      <c r="A1017" s="10" t="inlineStr">
        <is>
          <t>C4015</t>
        </is>
      </c>
      <c r="B1017" s="17" t="n">
        <v>2079596</v>
      </c>
      <c r="C1017" s="18" t="n">
        <v>12</v>
      </c>
      <c r="D1017" s="18" t="n">
        <v>497</v>
      </c>
      <c r="E1017" s="18" t="n">
        <v>20</v>
      </c>
      <c r="F1017" s="10">
        <f>IF($B1017&gt;=Analysis!$P$1,IF($E1017&lt;=Analysis!$P$2,"VIP","At risk"),IF($E1017&lt;=Analysis!$P$2,"Loyal","Dormant"))</f>
        <v/>
      </c>
    </row>
    <row r="1018">
      <c r="A1018" s="10" t="inlineStr">
        <is>
          <t>C4016</t>
        </is>
      </c>
      <c r="B1018" s="17" t="n">
        <v>6422141</v>
      </c>
      <c r="C1018" s="18" t="n">
        <v>16</v>
      </c>
      <c r="D1018" s="18" t="n">
        <v>405</v>
      </c>
      <c r="E1018" s="18" t="n">
        <v>34</v>
      </c>
      <c r="F1018" s="10">
        <f>IF($B1018&gt;=Analysis!$P$1,IF($E1018&lt;=Analysis!$P$2,"VIP","At risk"),IF($E1018&lt;=Analysis!$P$2,"Loyal","Dormant"))</f>
        <v/>
      </c>
    </row>
    <row r="1019">
      <c r="A1019" s="10" t="inlineStr">
        <is>
          <t>C4017</t>
        </is>
      </c>
      <c r="B1019" s="17" t="n">
        <v>3536514</v>
      </c>
      <c r="C1019" s="18" t="n">
        <v>14</v>
      </c>
      <c r="D1019" s="18" t="n">
        <v>295</v>
      </c>
      <c r="E1019" s="18" t="n">
        <v>48</v>
      </c>
      <c r="F1019" s="10">
        <f>IF($B1019&gt;=Analysis!$P$1,IF($E1019&lt;=Analysis!$P$2,"VIP","At risk"),IF($E1019&lt;=Analysis!$P$2,"Loyal","Dormant"))</f>
        <v/>
      </c>
    </row>
    <row r="1020">
      <c r="A1020" s="10" t="inlineStr">
        <is>
          <t>C4018</t>
        </is>
      </c>
      <c r="B1020" s="17" t="n">
        <v>3732337</v>
      </c>
      <c r="C1020" s="18" t="n">
        <v>10</v>
      </c>
      <c r="D1020" s="18" t="n">
        <v>520</v>
      </c>
      <c r="E1020" s="18" t="n">
        <v>38</v>
      </c>
      <c r="F1020" s="10">
        <f>IF($B1020&gt;=Analysis!$P$1,IF($E1020&lt;=Analysis!$P$2,"VIP","At risk"),IF($E1020&lt;=Analysis!$P$2,"Loyal","Dormant"))</f>
        <v/>
      </c>
    </row>
    <row r="1021">
      <c r="A1021" s="10" t="inlineStr">
        <is>
          <t>C4019</t>
        </is>
      </c>
      <c r="B1021" s="17" t="n">
        <v>11558260</v>
      </c>
      <c r="C1021" s="18" t="n">
        <v>27</v>
      </c>
      <c r="D1021" s="18" t="n">
        <v>543</v>
      </c>
      <c r="E1021" s="18" t="n">
        <v>10</v>
      </c>
      <c r="F1021" s="10">
        <f>IF($B1021&gt;=Analysis!$P$1,IF($E1021&lt;=Analysis!$P$2,"VIP","At risk"),IF($E1021&lt;=Analysis!$P$2,"Loyal","Dormant"))</f>
        <v/>
      </c>
    </row>
    <row r="1022">
      <c r="A1022" s="10" t="inlineStr">
        <is>
          <t>C4020</t>
        </is>
      </c>
      <c r="B1022" s="17" t="n">
        <v>631076</v>
      </c>
      <c r="C1022" s="18" t="n">
        <v>4</v>
      </c>
      <c r="D1022" s="18" t="n">
        <v>78</v>
      </c>
      <c r="E1022" s="18" t="n">
        <v>52</v>
      </c>
      <c r="F1022" s="10">
        <f>IF($B1022&gt;=Analysis!$P$1,IF($E1022&lt;=Analysis!$P$2,"VIP","At risk"),IF($E1022&lt;=Analysis!$P$2,"Loyal","Dormant"))</f>
        <v/>
      </c>
    </row>
    <row r="1023">
      <c r="A1023" s="10" t="inlineStr">
        <is>
          <t>C4021</t>
        </is>
      </c>
      <c r="B1023" s="17" t="n">
        <v>2741588</v>
      </c>
      <c r="C1023" s="18" t="n">
        <v>16</v>
      </c>
      <c r="D1023" s="18" t="n">
        <v>209</v>
      </c>
      <c r="E1023" s="18" t="n">
        <v>23</v>
      </c>
      <c r="F1023" s="10">
        <f>IF($B1023&gt;=Analysis!$P$1,IF($E1023&lt;=Analysis!$P$2,"VIP","At risk"),IF($E1023&lt;=Analysis!$P$2,"Loyal","Dormant"))</f>
        <v/>
      </c>
    </row>
    <row r="1024">
      <c r="A1024" s="10" t="inlineStr">
        <is>
          <t>C4022</t>
        </is>
      </c>
      <c r="B1024" s="17" t="n">
        <v>1493054</v>
      </c>
      <c r="C1024" s="18" t="n">
        <v>15</v>
      </c>
      <c r="D1024" s="18" t="n">
        <v>404</v>
      </c>
      <c r="E1024" s="18" t="n">
        <v>22</v>
      </c>
      <c r="F1024" s="10">
        <f>IF($B1024&gt;=Analysis!$P$1,IF($E1024&lt;=Analysis!$P$2,"VIP","At risk"),IF($E1024&lt;=Analysis!$P$2,"Loyal","Dormant"))</f>
        <v/>
      </c>
    </row>
    <row r="1025">
      <c r="A1025" s="10" t="inlineStr">
        <is>
          <t>C4023</t>
        </is>
      </c>
      <c r="B1025" s="17" t="n">
        <v>2489685</v>
      </c>
      <c r="C1025" s="18" t="n">
        <v>13</v>
      </c>
      <c r="D1025" s="18" t="n">
        <v>419</v>
      </c>
      <c r="E1025" s="18" t="n">
        <v>40</v>
      </c>
      <c r="F1025" s="10">
        <f>IF($B1025&gt;=Analysis!$P$1,IF($E1025&lt;=Analysis!$P$2,"VIP","At risk"),IF($E1025&lt;=Analysis!$P$2,"Loyal","Dormant"))</f>
        <v/>
      </c>
    </row>
    <row r="1026">
      <c r="A1026" s="10" t="inlineStr">
        <is>
          <t>C4024</t>
        </is>
      </c>
      <c r="B1026" s="17" t="n">
        <v>2244541</v>
      </c>
      <c r="C1026" s="18" t="n">
        <v>3</v>
      </c>
      <c r="D1026" s="18" t="n">
        <v>140</v>
      </c>
      <c r="E1026" s="18" t="n">
        <v>1</v>
      </c>
      <c r="F1026" s="10">
        <f>IF($B1026&gt;=Analysis!$P$1,IF($E1026&lt;=Analysis!$P$2,"VIP","At risk"),IF($E1026&lt;=Analysis!$P$2,"Loyal","Dormant"))</f>
        <v/>
      </c>
    </row>
    <row r="1027">
      <c r="A1027" s="10" t="inlineStr">
        <is>
          <t>C4025</t>
        </is>
      </c>
      <c r="B1027" s="17" t="n">
        <v>4358898</v>
      </c>
      <c r="C1027" s="18" t="n">
        <v>14</v>
      </c>
      <c r="D1027" s="18" t="n">
        <v>210</v>
      </c>
      <c r="E1027" s="18" t="n">
        <v>40</v>
      </c>
      <c r="F1027" s="10">
        <f>IF($B1027&gt;=Analysis!$P$1,IF($E1027&lt;=Analysis!$P$2,"VIP","At risk"),IF($E1027&lt;=Analysis!$P$2,"Loyal","Dormant"))</f>
        <v/>
      </c>
    </row>
    <row r="1028">
      <c r="A1028" s="10" t="inlineStr">
        <is>
          <t>C4026</t>
        </is>
      </c>
      <c r="B1028" s="17" t="n">
        <v>3921221</v>
      </c>
      <c r="C1028" s="18" t="n">
        <v>17</v>
      </c>
      <c r="D1028" s="18" t="n">
        <v>210</v>
      </c>
      <c r="E1028" s="18" t="n">
        <v>38</v>
      </c>
      <c r="F1028" s="10">
        <f>IF($B1028&gt;=Analysis!$P$1,IF($E1028&lt;=Analysis!$P$2,"VIP","At risk"),IF($E1028&lt;=Analysis!$P$2,"Loyal","Dormant"))</f>
        <v/>
      </c>
    </row>
    <row r="1029">
      <c r="A1029" s="10" t="inlineStr">
        <is>
          <t>C4027</t>
        </is>
      </c>
      <c r="B1029" s="17" t="n">
        <v>1004120</v>
      </c>
      <c r="C1029" s="18" t="n">
        <v>3</v>
      </c>
      <c r="D1029" s="18" t="n">
        <v>429</v>
      </c>
      <c r="E1029" s="18" t="n">
        <v>106</v>
      </c>
      <c r="F1029" s="10">
        <f>IF($B1029&gt;=Analysis!$P$1,IF($E1029&lt;=Analysis!$P$2,"VIP","At risk"),IF($E1029&lt;=Analysis!$P$2,"Loyal","Dormant"))</f>
        <v/>
      </c>
    </row>
    <row r="1030">
      <c r="A1030" s="10" t="inlineStr">
        <is>
          <t>C4028</t>
        </is>
      </c>
      <c r="B1030" s="17" t="n">
        <v>214148</v>
      </c>
      <c r="C1030" s="18" t="n">
        <v>3</v>
      </c>
      <c r="D1030" s="18" t="n">
        <v>100</v>
      </c>
      <c r="E1030" s="18" t="n">
        <v>9</v>
      </c>
      <c r="F1030" s="10">
        <f>IF($B1030&gt;=Analysis!$P$1,IF($E1030&lt;=Analysis!$P$2,"VIP","At risk"),IF($E1030&lt;=Analysis!$P$2,"Loyal","Dormant"))</f>
        <v/>
      </c>
    </row>
    <row r="1031">
      <c r="A1031" s="10" t="inlineStr">
        <is>
          <t>C4029</t>
        </is>
      </c>
      <c r="B1031" s="17" t="n">
        <v>1273432</v>
      </c>
      <c r="C1031" s="18" t="n">
        <v>1</v>
      </c>
      <c r="D1031" s="18" t="n">
        <v>527</v>
      </c>
      <c r="E1031" s="18" t="n">
        <v>66</v>
      </c>
      <c r="F1031" s="10">
        <f>IF($B1031&gt;=Analysis!$P$1,IF($E1031&lt;=Analysis!$P$2,"VIP","At risk"),IF($E1031&lt;=Analysis!$P$2,"Loyal","Dormant"))</f>
        <v/>
      </c>
    </row>
    <row r="1032">
      <c r="A1032" s="10" t="inlineStr">
        <is>
          <t>C4030</t>
        </is>
      </c>
      <c r="B1032" s="17" t="n">
        <v>3525199</v>
      </c>
      <c r="C1032" s="18" t="n">
        <v>14</v>
      </c>
      <c r="D1032" s="18" t="n">
        <v>169</v>
      </c>
      <c r="E1032" s="18" t="n">
        <v>16</v>
      </c>
      <c r="F1032" s="10">
        <f>IF($B1032&gt;=Analysis!$P$1,IF($E1032&lt;=Analysis!$P$2,"VIP","At risk"),IF($E1032&lt;=Analysis!$P$2,"Loyal","Dormant"))</f>
        <v/>
      </c>
    </row>
    <row r="1033">
      <c r="A1033" s="10" t="inlineStr">
        <is>
          <t>C4031</t>
        </is>
      </c>
      <c r="B1033" s="17" t="n">
        <v>8858511</v>
      </c>
      <c r="C1033" s="18" t="n">
        <v>27</v>
      </c>
      <c r="D1033" s="18" t="n">
        <v>694</v>
      </c>
      <c r="E1033" s="18" t="n">
        <v>19</v>
      </c>
      <c r="F1033" s="10">
        <f>IF($B1033&gt;=Analysis!$P$1,IF($E1033&lt;=Analysis!$P$2,"VIP","At risk"),IF($E1033&lt;=Analysis!$P$2,"Loyal","Dormant"))</f>
        <v/>
      </c>
    </row>
    <row r="1034">
      <c r="A1034" s="10" t="inlineStr">
        <is>
          <t>C4032</t>
        </is>
      </c>
      <c r="B1034" s="17" t="n">
        <v>419114</v>
      </c>
      <c r="C1034" s="18" t="n">
        <v>4</v>
      </c>
      <c r="D1034" s="18" t="n">
        <v>186</v>
      </c>
      <c r="E1034" s="18" t="n">
        <v>37</v>
      </c>
      <c r="F1034" s="10">
        <f>IF($B1034&gt;=Analysis!$P$1,IF($E1034&lt;=Analysis!$P$2,"VIP","At risk"),IF($E1034&lt;=Analysis!$P$2,"Loyal","Dormant"))</f>
        <v/>
      </c>
    </row>
    <row r="1035">
      <c r="A1035" s="10" t="inlineStr">
        <is>
          <t>C4033</t>
        </is>
      </c>
      <c r="B1035" s="17" t="n">
        <v>634695</v>
      </c>
      <c r="C1035" s="18" t="n">
        <v>5</v>
      </c>
      <c r="D1035" s="18" t="n">
        <v>220</v>
      </c>
      <c r="E1035" s="18" t="n">
        <v>69</v>
      </c>
      <c r="F1035" s="10">
        <f>IF($B1035&gt;=Analysis!$P$1,IF($E1035&lt;=Analysis!$P$2,"VIP","At risk"),IF($E1035&lt;=Analysis!$P$2,"Loyal","Dormant"))</f>
        <v/>
      </c>
    </row>
    <row r="1036">
      <c r="A1036" s="10" t="inlineStr">
        <is>
          <t>C4034</t>
        </is>
      </c>
      <c r="B1036" s="17" t="n">
        <v>1333549</v>
      </c>
      <c r="C1036" s="18" t="n">
        <v>1</v>
      </c>
      <c r="D1036" s="18" t="n">
        <v>374</v>
      </c>
      <c r="E1036" s="18" t="n">
        <v>56</v>
      </c>
      <c r="F1036" s="10">
        <f>IF($B1036&gt;=Analysis!$P$1,IF($E1036&lt;=Analysis!$P$2,"VIP","At risk"),IF($E1036&lt;=Analysis!$P$2,"Loyal","Dormant"))</f>
        <v/>
      </c>
    </row>
    <row r="1037">
      <c r="A1037" s="10" t="inlineStr">
        <is>
          <t>C4035</t>
        </is>
      </c>
      <c r="B1037" s="17" t="n">
        <v>1161223</v>
      </c>
      <c r="C1037" s="18" t="n">
        <v>3</v>
      </c>
      <c r="D1037" s="18" t="n">
        <v>5</v>
      </c>
      <c r="E1037" s="18" t="n">
        <v>38</v>
      </c>
      <c r="F1037" s="10">
        <f>IF($B1037&gt;=Analysis!$P$1,IF($E1037&lt;=Analysis!$P$2,"VIP","At risk"),IF($E1037&lt;=Analysis!$P$2,"Loyal","Dormant"))</f>
        <v/>
      </c>
    </row>
    <row r="1038">
      <c r="A1038" s="10" t="inlineStr">
        <is>
          <t>C4036</t>
        </is>
      </c>
      <c r="B1038" s="17" t="n">
        <v>2458030</v>
      </c>
      <c r="C1038" s="18" t="n">
        <v>4</v>
      </c>
      <c r="D1038" s="18" t="n">
        <v>6</v>
      </c>
      <c r="E1038" s="18" t="n">
        <v>9</v>
      </c>
      <c r="F1038" s="10">
        <f>IF($B1038&gt;=Analysis!$P$1,IF($E1038&lt;=Analysis!$P$2,"VIP","At risk"),IF($E1038&lt;=Analysis!$P$2,"Loyal","Dormant"))</f>
        <v/>
      </c>
    </row>
    <row r="1039">
      <c r="A1039" s="10" t="inlineStr">
        <is>
          <t>C4037</t>
        </is>
      </c>
      <c r="B1039" s="17" t="n">
        <v>4324288</v>
      </c>
      <c r="C1039" s="18" t="n">
        <v>12</v>
      </c>
      <c r="D1039" s="18" t="n">
        <v>305</v>
      </c>
      <c r="E1039" s="18" t="n">
        <v>27</v>
      </c>
      <c r="F1039" s="10">
        <f>IF($B1039&gt;=Analysis!$P$1,IF($E1039&lt;=Analysis!$P$2,"VIP","At risk"),IF($E1039&lt;=Analysis!$P$2,"Loyal","Dormant"))</f>
        <v/>
      </c>
    </row>
    <row r="1040">
      <c r="A1040" s="10" t="inlineStr">
        <is>
          <t>C4038</t>
        </is>
      </c>
      <c r="B1040" s="17" t="n">
        <v>1136706</v>
      </c>
      <c r="C1040" s="18" t="n">
        <v>6</v>
      </c>
      <c r="D1040" s="18" t="n">
        <v>34</v>
      </c>
      <c r="E1040" s="18" t="n">
        <v>26</v>
      </c>
      <c r="F1040" s="10">
        <f>IF($B1040&gt;=Analysis!$P$1,IF($E1040&lt;=Analysis!$P$2,"VIP","At risk"),IF($E1040&lt;=Analysis!$P$2,"Loyal","Dormant"))</f>
        <v/>
      </c>
    </row>
    <row r="1041">
      <c r="A1041" s="10" t="inlineStr">
        <is>
          <t>C4039</t>
        </is>
      </c>
      <c r="B1041" s="17" t="n">
        <v>1694222</v>
      </c>
      <c r="C1041" s="18" t="n">
        <v>16</v>
      </c>
      <c r="D1041" s="18" t="n">
        <v>359</v>
      </c>
      <c r="E1041" s="18" t="n">
        <v>29</v>
      </c>
      <c r="F1041" s="10">
        <f>IF($B1041&gt;=Analysis!$P$1,IF($E1041&lt;=Analysis!$P$2,"VIP","At risk"),IF($E1041&lt;=Analysis!$P$2,"Loyal","Dormant"))</f>
        <v/>
      </c>
    </row>
    <row r="1042">
      <c r="A1042" s="10" t="inlineStr">
        <is>
          <t>C4040</t>
        </is>
      </c>
      <c r="B1042" s="17" t="n">
        <v>1349661</v>
      </c>
      <c r="C1042" s="18" t="n">
        <v>4</v>
      </c>
      <c r="D1042" s="18" t="n">
        <v>310</v>
      </c>
      <c r="E1042" s="18" t="n">
        <v>96</v>
      </c>
      <c r="F1042" s="10">
        <f>IF($B1042&gt;=Analysis!$P$1,IF($E1042&lt;=Analysis!$P$2,"VIP","At risk"),IF($E1042&lt;=Analysis!$P$2,"Loyal","Dormant"))</f>
        <v/>
      </c>
    </row>
    <row r="1043">
      <c r="A1043" s="10" t="inlineStr">
        <is>
          <t>C4041</t>
        </is>
      </c>
      <c r="B1043" s="17" t="n">
        <v>3900402</v>
      </c>
      <c r="C1043" s="18" t="n">
        <v>16</v>
      </c>
      <c r="D1043" s="18" t="n">
        <v>241</v>
      </c>
      <c r="E1043" s="18" t="n">
        <v>31</v>
      </c>
      <c r="F1043" s="10">
        <f>IF($B1043&gt;=Analysis!$P$1,IF($E1043&lt;=Analysis!$P$2,"VIP","At risk"),IF($E1043&lt;=Analysis!$P$2,"Loyal","Dormant"))</f>
        <v/>
      </c>
    </row>
    <row r="1044">
      <c r="A1044" s="10" t="inlineStr">
        <is>
          <t>C4042</t>
        </is>
      </c>
      <c r="B1044" s="17" t="n">
        <v>837763</v>
      </c>
      <c r="C1044" s="18" t="n">
        <v>2</v>
      </c>
      <c r="D1044" s="18" t="n">
        <v>67</v>
      </c>
      <c r="E1044" s="18" t="n">
        <v>15</v>
      </c>
      <c r="F1044" s="10">
        <f>IF($B1044&gt;=Analysis!$P$1,IF($E1044&lt;=Analysis!$P$2,"VIP","At risk"),IF($E1044&lt;=Analysis!$P$2,"Loyal","Dormant"))</f>
        <v/>
      </c>
    </row>
    <row r="1045">
      <c r="A1045" s="10" t="inlineStr">
        <is>
          <t>C4043</t>
        </is>
      </c>
      <c r="B1045" s="17" t="n">
        <v>7274217</v>
      </c>
      <c r="C1045" s="18" t="n">
        <v>17</v>
      </c>
      <c r="D1045" s="18" t="n">
        <v>472</v>
      </c>
      <c r="E1045" s="18" t="n">
        <v>1</v>
      </c>
      <c r="F1045" s="10">
        <f>IF($B1045&gt;=Analysis!$P$1,IF($E1045&lt;=Analysis!$P$2,"VIP","At risk"),IF($E1045&lt;=Analysis!$P$2,"Loyal","Dormant"))</f>
        <v/>
      </c>
    </row>
    <row r="1046">
      <c r="A1046" s="10" t="inlineStr">
        <is>
          <t>C4044</t>
        </is>
      </c>
      <c r="B1046" s="17" t="n">
        <v>883961</v>
      </c>
      <c r="C1046" s="18" t="n">
        <v>5</v>
      </c>
      <c r="D1046" s="18" t="n">
        <v>386</v>
      </c>
      <c r="E1046" s="18" t="n">
        <v>136</v>
      </c>
      <c r="F1046" s="10">
        <f>IF($B1046&gt;=Analysis!$P$1,IF($E1046&lt;=Analysis!$P$2,"VIP","At risk"),IF($E1046&lt;=Analysis!$P$2,"Loyal","Dormant"))</f>
        <v/>
      </c>
    </row>
    <row r="1047">
      <c r="A1047" s="10" t="inlineStr">
        <is>
          <t>C4045</t>
        </is>
      </c>
      <c r="B1047" s="17" t="n">
        <v>652002</v>
      </c>
      <c r="C1047" s="18" t="n">
        <v>1</v>
      </c>
      <c r="D1047" s="18" t="n">
        <v>481</v>
      </c>
      <c r="E1047" s="18" t="n">
        <v>162</v>
      </c>
      <c r="F1047" s="10">
        <f>IF($B1047&gt;=Analysis!$P$1,IF($E1047&lt;=Analysis!$P$2,"VIP","At risk"),IF($E1047&lt;=Analysis!$P$2,"Loyal","Dormant"))</f>
        <v/>
      </c>
    </row>
    <row r="1048">
      <c r="A1048" s="10" t="inlineStr">
        <is>
          <t>C4046</t>
        </is>
      </c>
      <c r="B1048" s="17" t="n">
        <v>1630138</v>
      </c>
      <c r="C1048" s="18" t="n">
        <v>7</v>
      </c>
      <c r="D1048" s="18" t="n">
        <v>318</v>
      </c>
      <c r="E1048" s="18" t="n">
        <v>44</v>
      </c>
      <c r="F1048" s="10">
        <f>IF($B1048&gt;=Analysis!$P$1,IF($E1048&lt;=Analysis!$P$2,"VIP","At risk"),IF($E1048&lt;=Analysis!$P$2,"Loyal","Dormant"))</f>
        <v/>
      </c>
    </row>
    <row r="1049">
      <c r="A1049" s="10" t="inlineStr">
        <is>
          <t>C4047</t>
        </is>
      </c>
      <c r="B1049" s="17" t="n">
        <v>7352588</v>
      </c>
      <c r="C1049" s="18" t="n">
        <v>31</v>
      </c>
      <c r="D1049" s="18" t="n">
        <v>433</v>
      </c>
      <c r="E1049" s="18" t="n">
        <v>1</v>
      </c>
      <c r="F1049" s="10">
        <f>IF($B1049&gt;=Analysis!$P$1,IF($E1049&lt;=Analysis!$P$2,"VIP","At risk"),IF($E1049&lt;=Analysis!$P$2,"Loyal","Dormant"))</f>
        <v/>
      </c>
    </row>
    <row r="1050">
      <c r="A1050" s="10" t="inlineStr">
        <is>
          <t>C4048</t>
        </is>
      </c>
      <c r="B1050" s="17" t="n">
        <v>1100537</v>
      </c>
      <c r="C1050" s="18" t="n">
        <v>5</v>
      </c>
      <c r="D1050" s="18" t="n">
        <v>135</v>
      </c>
      <c r="E1050" s="18" t="n">
        <v>61</v>
      </c>
      <c r="F1050" s="10">
        <f>IF($B1050&gt;=Analysis!$P$1,IF($E1050&lt;=Analysis!$P$2,"VIP","At risk"),IF($E1050&lt;=Analysis!$P$2,"Loyal","Dormant"))</f>
        <v/>
      </c>
    </row>
    <row r="1051">
      <c r="A1051" s="10" t="inlineStr">
        <is>
          <t>C4049</t>
        </is>
      </c>
      <c r="B1051" s="17" t="n">
        <v>3195142</v>
      </c>
      <c r="C1051" s="18" t="n">
        <v>10</v>
      </c>
      <c r="D1051" s="18" t="n">
        <v>515</v>
      </c>
      <c r="E1051" s="18" t="n">
        <v>20</v>
      </c>
      <c r="F1051" s="10">
        <f>IF($B1051&gt;=Analysis!$P$1,IF($E1051&lt;=Analysis!$P$2,"VIP","At risk"),IF($E1051&lt;=Analysis!$P$2,"Loyal","Dormant"))</f>
        <v/>
      </c>
    </row>
    <row r="1052">
      <c r="A1052" s="10" t="inlineStr">
        <is>
          <t>C4050</t>
        </is>
      </c>
      <c r="B1052" s="17" t="n">
        <v>2152139</v>
      </c>
      <c r="C1052" s="18" t="n">
        <v>9</v>
      </c>
      <c r="D1052" s="18" t="n">
        <v>534</v>
      </c>
      <c r="E1052" s="18" t="n">
        <v>23</v>
      </c>
      <c r="F1052" s="10">
        <f>IF($B1052&gt;=Analysis!$P$1,IF($E1052&lt;=Analysis!$P$2,"VIP","At risk"),IF($E1052&lt;=Analysis!$P$2,"Loyal","Dormant"))</f>
        <v/>
      </c>
    </row>
    <row r="1053">
      <c r="A1053" s="10" t="inlineStr">
        <is>
          <t>C4051</t>
        </is>
      </c>
      <c r="B1053" s="17" t="n">
        <v>5077617</v>
      </c>
      <c r="C1053" s="18" t="n">
        <v>12</v>
      </c>
      <c r="D1053" s="18" t="n">
        <v>436</v>
      </c>
      <c r="E1053" s="18" t="n">
        <v>28</v>
      </c>
      <c r="F1053" s="10">
        <f>IF($B1053&gt;=Analysis!$P$1,IF($E1053&lt;=Analysis!$P$2,"VIP","At risk"),IF($E1053&lt;=Analysis!$P$2,"Loyal","Dormant"))</f>
        <v/>
      </c>
    </row>
    <row r="1054">
      <c r="A1054" s="10" t="inlineStr">
        <is>
          <t>C4052</t>
        </is>
      </c>
      <c r="B1054" s="17" t="n">
        <v>4588916</v>
      </c>
      <c r="C1054" s="18" t="n">
        <v>17</v>
      </c>
      <c r="D1054" s="18" t="n">
        <v>323</v>
      </c>
      <c r="E1054" s="18" t="n">
        <v>15</v>
      </c>
      <c r="F1054" s="10">
        <f>IF($B1054&gt;=Analysis!$P$1,IF($E1054&lt;=Analysis!$P$2,"VIP","At risk"),IF($E1054&lt;=Analysis!$P$2,"Loyal","Dormant"))</f>
        <v/>
      </c>
    </row>
    <row r="1055">
      <c r="A1055" s="10" t="inlineStr">
        <is>
          <t>C4053</t>
        </is>
      </c>
      <c r="B1055" s="17" t="n">
        <v>583240</v>
      </c>
      <c r="C1055" s="18" t="n">
        <v>6</v>
      </c>
      <c r="D1055" s="18" t="n">
        <v>326</v>
      </c>
      <c r="E1055" s="18" t="n">
        <v>37</v>
      </c>
      <c r="F1055" s="10">
        <f>IF($B1055&gt;=Analysis!$P$1,IF($E1055&lt;=Analysis!$P$2,"VIP","At risk"),IF($E1055&lt;=Analysis!$P$2,"Loyal","Dormant"))</f>
        <v/>
      </c>
    </row>
    <row r="1056">
      <c r="A1056" s="10" t="inlineStr">
        <is>
          <t>C4054</t>
        </is>
      </c>
      <c r="B1056" s="17" t="n">
        <v>3996151</v>
      </c>
      <c r="C1056" s="18" t="n">
        <v>12</v>
      </c>
      <c r="D1056" s="18" t="n">
        <v>490</v>
      </c>
      <c r="E1056" s="18" t="n">
        <v>28</v>
      </c>
      <c r="F1056" s="10">
        <f>IF($B1056&gt;=Analysis!$P$1,IF($E1056&lt;=Analysis!$P$2,"VIP","At risk"),IF($E1056&lt;=Analysis!$P$2,"Loyal","Dormant"))</f>
        <v/>
      </c>
    </row>
    <row r="1057">
      <c r="A1057" s="10" t="inlineStr">
        <is>
          <t>C4055</t>
        </is>
      </c>
      <c r="B1057" s="17" t="n">
        <v>996983</v>
      </c>
      <c r="C1057" s="18" t="n">
        <v>4</v>
      </c>
      <c r="D1057" s="18" t="n">
        <v>89</v>
      </c>
      <c r="E1057" s="18" t="n">
        <v>14</v>
      </c>
      <c r="F1057" s="10">
        <f>IF($B1057&gt;=Analysis!$P$1,IF($E1057&lt;=Analysis!$P$2,"VIP","At risk"),IF($E1057&lt;=Analysis!$P$2,"Loyal","Dormant"))</f>
        <v/>
      </c>
    </row>
    <row r="1058">
      <c r="A1058" s="10" t="inlineStr">
        <is>
          <t>C4056</t>
        </is>
      </c>
      <c r="B1058" s="17" t="n">
        <v>2768582</v>
      </c>
      <c r="C1058" s="18" t="n">
        <v>21</v>
      </c>
      <c r="D1058" s="18" t="n">
        <v>566</v>
      </c>
      <c r="E1058" s="18" t="n">
        <v>24</v>
      </c>
      <c r="F1058" s="10">
        <f>IF($B1058&gt;=Analysis!$P$1,IF($E1058&lt;=Analysis!$P$2,"VIP","At risk"),IF($E1058&lt;=Analysis!$P$2,"Loyal","Dormant"))</f>
        <v/>
      </c>
    </row>
    <row r="1059">
      <c r="A1059" s="10" t="inlineStr">
        <is>
          <t>C4057</t>
        </is>
      </c>
      <c r="B1059" s="17" t="n">
        <v>2997005</v>
      </c>
      <c r="C1059" s="18" t="n">
        <v>10</v>
      </c>
      <c r="D1059" s="18" t="n">
        <v>603</v>
      </c>
      <c r="E1059" s="18" t="n">
        <v>16</v>
      </c>
      <c r="F1059" s="10">
        <f>IF($B1059&gt;=Analysis!$P$1,IF($E1059&lt;=Analysis!$P$2,"VIP","At risk"),IF($E1059&lt;=Analysis!$P$2,"Loyal","Dormant"))</f>
        <v/>
      </c>
    </row>
    <row r="1060">
      <c r="A1060" s="10" t="inlineStr">
        <is>
          <t>C4058</t>
        </is>
      </c>
      <c r="B1060" s="17" t="n">
        <v>1197761</v>
      </c>
      <c r="C1060" s="18" t="n">
        <v>1</v>
      </c>
      <c r="D1060" s="18" t="n">
        <v>278</v>
      </c>
      <c r="E1060" s="18" t="n">
        <v>65</v>
      </c>
      <c r="F1060" s="10">
        <f>IF($B1060&gt;=Analysis!$P$1,IF($E1060&lt;=Analysis!$P$2,"VIP","At risk"),IF($E1060&lt;=Analysis!$P$2,"Loyal","Dormant"))</f>
        <v/>
      </c>
    </row>
    <row r="1061">
      <c r="A1061" s="10" t="inlineStr">
        <is>
          <t>C4059</t>
        </is>
      </c>
      <c r="B1061" s="17" t="n">
        <v>1184372</v>
      </c>
      <c r="C1061" s="18" t="n">
        <v>1</v>
      </c>
      <c r="D1061" s="18" t="n">
        <v>360</v>
      </c>
      <c r="E1061" s="18" t="n">
        <v>58</v>
      </c>
      <c r="F1061" s="10">
        <f>IF($B1061&gt;=Analysis!$P$1,IF($E1061&lt;=Analysis!$P$2,"VIP","At risk"),IF($E1061&lt;=Analysis!$P$2,"Loyal","Dormant"))</f>
        <v/>
      </c>
    </row>
    <row r="1062">
      <c r="A1062" s="10" t="inlineStr">
        <is>
          <t>C4060</t>
        </is>
      </c>
      <c r="B1062" s="17" t="n">
        <v>816293</v>
      </c>
      <c r="C1062" s="18" t="n">
        <v>7</v>
      </c>
      <c r="D1062" s="18" t="n">
        <v>494</v>
      </c>
      <c r="E1062" s="18" t="n">
        <v>123</v>
      </c>
      <c r="F1062" s="10">
        <f>IF($B1062&gt;=Analysis!$P$1,IF($E1062&lt;=Analysis!$P$2,"VIP","At risk"),IF($E1062&lt;=Analysis!$P$2,"Loyal","Dormant"))</f>
        <v/>
      </c>
    </row>
    <row r="1063">
      <c r="A1063" s="10" t="inlineStr">
        <is>
          <t>C4061</t>
        </is>
      </c>
      <c r="B1063" s="17" t="n">
        <v>911253</v>
      </c>
      <c r="C1063" s="18" t="n">
        <v>4</v>
      </c>
      <c r="D1063" s="18" t="n">
        <v>427</v>
      </c>
      <c r="E1063" s="18" t="n">
        <v>144</v>
      </c>
      <c r="F1063" s="10">
        <f>IF($B1063&gt;=Analysis!$P$1,IF($E1063&lt;=Analysis!$P$2,"VIP","At risk"),IF($E1063&lt;=Analysis!$P$2,"Loyal","Dormant"))</f>
        <v/>
      </c>
    </row>
    <row r="1064">
      <c r="A1064" s="10" t="inlineStr">
        <is>
          <t>C4062</t>
        </is>
      </c>
      <c r="B1064" s="17" t="n">
        <v>629845</v>
      </c>
      <c r="C1064" s="18" t="n">
        <v>2</v>
      </c>
      <c r="D1064" s="18" t="n">
        <v>191</v>
      </c>
      <c r="E1064" s="18" t="n">
        <v>57</v>
      </c>
      <c r="F1064" s="10">
        <f>IF($B1064&gt;=Analysis!$P$1,IF($E1064&lt;=Analysis!$P$2,"VIP","At risk"),IF($E1064&lt;=Analysis!$P$2,"Loyal","Dormant"))</f>
        <v/>
      </c>
    </row>
    <row r="1065">
      <c r="A1065" s="10" t="inlineStr">
        <is>
          <t>C4063</t>
        </is>
      </c>
      <c r="B1065" s="17" t="n">
        <v>3677659</v>
      </c>
      <c r="C1065" s="18" t="n">
        <v>14</v>
      </c>
      <c r="D1065" s="18" t="n">
        <v>380</v>
      </c>
      <c r="E1065" s="18" t="n">
        <v>13</v>
      </c>
      <c r="F1065" s="10">
        <f>IF($B1065&gt;=Analysis!$P$1,IF($E1065&lt;=Analysis!$P$2,"VIP","At risk"),IF($E1065&lt;=Analysis!$P$2,"Loyal","Dormant"))</f>
        <v/>
      </c>
    </row>
    <row r="1066">
      <c r="A1066" s="10" t="inlineStr">
        <is>
          <t>C4064</t>
        </is>
      </c>
      <c r="B1066" s="17" t="n">
        <v>2706289</v>
      </c>
      <c r="C1066" s="18" t="n">
        <v>22</v>
      </c>
      <c r="D1066" s="18" t="n">
        <v>131</v>
      </c>
      <c r="E1066" s="18" t="n">
        <v>45</v>
      </c>
      <c r="F1066" s="10">
        <f>IF($B1066&gt;=Analysis!$P$1,IF($E1066&lt;=Analysis!$P$2,"VIP","At risk"),IF($E1066&lt;=Analysis!$P$2,"Loyal","Dormant"))</f>
        <v/>
      </c>
    </row>
    <row r="1067">
      <c r="A1067" s="10" t="inlineStr">
        <is>
          <t>C4065</t>
        </is>
      </c>
      <c r="B1067" s="17" t="n">
        <v>943642</v>
      </c>
      <c r="C1067" s="18" t="n">
        <v>1</v>
      </c>
      <c r="D1067" s="18" t="n">
        <v>467</v>
      </c>
      <c r="E1067" s="18" t="n">
        <v>36</v>
      </c>
      <c r="F1067" s="10">
        <f>IF($B1067&gt;=Analysis!$P$1,IF($E1067&lt;=Analysis!$P$2,"VIP","At risk"),IF($E1067&lt;=Analysis!$P$2,"Loyal","Dormant"))</f>
        <v/>
      </c>
    </row>
    <row r="1068">
      <c r="A1068" s="10" t="inlineStr">
        <is>
          <t>C4066</t>
        </is>
      </c>
      <c r="B1068" s="17" t="n">
        <v>4285436</v>
      </c>
      <c r="C1068" s="18" t="n">
        <v>17</v>
      </c>
      <c r="D1068" s="18" t="n">
        <v>495</v>
      </c>
      <c r="E1068" s="18" t="n">
        <v>32</v>
      </c>
      <c r="F1068" s="10">
        <f>IF($B1068&gt;=Analysis!$P$1,IF($E1068&lt;=Analysis!$P$2,"VIP","At risk"),IF($E1068&lt;=Analysis!$P$2,"Loyal","Dormant"))</f>
        <v/>
      </c>
    </row>
    <row r="1069">
      <c r="A1069" s="10" t="inlineStr">
        <is>
          <t>C4067</t>
        </is>
      </c>
      <c r="B1069" s="17" t="n">
        <v>4667950</v>
      </c>
      <c r="C1069" s="18" t="n">
        <v>16</v>
      </c>
      <c r="D1069" s="18" t="n">
        <v>384</v>
      </c>
      <c r="E1069" s="18" t="n">
        <v>18</v>
      </c>
      <c r="F1069" s="10">
        <f>IF($B1069&gt;=Analysis!$P$1,IF($E1069&lt;=Analysis!$P$2,"VIP","At risk"),IF($E1069&lt;=Analysis!$P$2,"Loyal","Dormant"))</f>
        <v/>
      </c>
    </row>
    <row r="1070">
      <c r="A1070" s="10" t="inlineStr">
        <is>
          <t>C4068</t>
        </is>
      </c>
      <c r="B1070" s="17" t="n">
        <v>1186155</v>
      </c>
      <c r="C1070" s="18" t="n">
        <v>6</v>
      </c>
      <c r="D1070" s="18" t="n">
        <v>493</v>
      </c>
      <c r="E1070" s="18" t="n">
        <v>56</v>
      </c>
      <c r="F1070" s="10">
        <f>IF($B1070&gt;=Analysis!$P$1,IF($E1070&lt;=Analysis!$P$2,"VIP","At risk"),IF($E1070&lt;=Analysis!$P$2,"Loyal","Dormant"))</f>
        <v/>
      </c>
    </row>
    <row r="1071">
      <c r="A1071" s="10" t="inlineStr">
        <is>
          <t>C4069</t>
        </is>
      </c>
      <c r="B1071" s="17" t="n">
        <v>8481313</v>
      </c>
      <c r="C1071" s="18" t="n">
        <v>27</v>
      </c>
      <c r="D1071" s="18" t="n">
        <v>540</v>
      </c>
      <c r="E1071" s="18" t="n">
        <v>17</v>
      </c>
      <c r="F1071" s="10">
        <f>IF($B1071&gt;=Analysis!$P$1,IF($E1071&lt;=Analysis!$P$2,"VIP","At risk"),IF($E1071&lt;=Analysis!$P$2,"Loyal","Dormant"))</f>
        <v/>
      </c>
    </row>
    <row r="1072">
      <c r="A1072" s="10" t="inlineStr">
        <is>
          <t>C4070</t>
        </is>
      </c>
      <c r="B1072" s="17" t="n">
        <v>836746</v>
      </c>
      <c r="C1072" s="18" t="n">
        <v>4</v>
      </c>
      <c r="D1072" s="18" t="n">
        <v>521</v>
      </c>
      <c r="E1072" s="18" t="n">
        <v>61</v>
      </c>
      <c r="F1072" s="10">
        <f>IF($B1072&gt;=Analysis!$P$1,IF($E1072&lt;=Analysis!$P$2,"VIP","At risk"),IF($E1072&lt;=Analysis!$P$2,"Loyal","Dormant"))</f>
        <v/>
      </c>
    </row>
    <row r="1073">
      <c r="A1073" s="10" t="inlineStr">
        <is>
          <t>C4071</t>
        </is>
      </c>
      <c r="B1073" s="17" t="n">
        <v>4071407</v>
      </c>
      <c r="C1073" s="18" t="n">
        <v>11</v>
      </c>
      <c r="D1073" s="18" t="n">
        <v>322</v>
      </c>
      <c r="E1073" s="18" t="n">
        <v>18</v>
      </c>
      <c r="F1073" s="10">
        <f>IF($B1073&gt;=Analysis!$P$1,IF($E1073&lt;=Analysis!$P$2,"VIP","At risk"),IF($E1073&lt;=Analysis!$P$2,"Loyal","Dormant"))</f>
        <v/>
      </c>
    </row>
    <row r="1074">
      <c r="A1074" s="10" t="inlineStr">
        <is>
          <t>C4072</t>
        </is>
      </c>
      <c r="B1074" s="17" t="n">
        <v>262793</v>
      </c>
      <c r="C1074" s="18" t="n">
        <v>1</v>
      </c>
      <c r="D1074" s="18" t="n">
        <v>227</v>
      </c>
      <c r="E1074" s="18" t="n">
        <v>60</v>
      </c>
      <c r="F1074" s="10">
        <f>IF($B1074&gt;=Analysis!$P$1,IF($E1074&lt;=Analysis!$P$2,"VIP","At risk"),IF($E1074&lt;=Analysis!$P$2,"Loyal","Dormant"))</f>
        <v/>
      </c>
    </row>
    <row r="1075">
      <c r="A1075" s="10" t="inlineStr">
        <is>
          <t>C4073</t>
        </is>
      </c>
      <c r="B1075" s="17" t="n">
        <v>873460</v>
      </c>
      <c r="C1075" s="18" t="n">
        <v>2</v>
      </c>
      <c r="D1075" s="18" t="n">
        <v>278</v>
      </c>
      <c r="E1075" s="18" t="n">
        <v>35</v>
      </c>
      <c r="F1075" s="10">
        <f>IF($B1075&gt;=Analysis!$P$1,IF($E1075&lt;=Analysis!$P$2,"VIP","At risk"),IF($E1075&lt;=Analysis!$P$2,"Loyal","Dormant"))</f>
        <v/>
      </c>
    </row>
    <row r="1076">
      <c r="A1076" s="10" t="inlineStr">
        <is>
          <t>C4074</t>
        </is>
      </c>
      <c r="B1076" s="17" t="n">
        <v>1816290</v>
      </c>
      <c r="C1076" s="18" t="n">
        <v>7</v>
      </c>
      <c r="D1076" s="18" t="n">
        <v>67</v>
      </c>
      <c r="E1076" s="18" t="n">
        <v>1</v>
      </c>
      <c r="F1076" s="10">
        <f>IF($B1076&gt;=Analysis!$P$1,IF($E1076&lt;=Analysis!$P$2,"VIP","At risk"),IF($E1076&lt;=Analysis!$P$2,"Loyal","Dormant"))</f>
        <v/>
      </c>
    </row>
    <row r="1077">
      <c r="A1077" s="10" t="inlineStr">
        <is>
          <t>C4075</t>
        </is>
      </c>
      <c r="B1077" s="17" t="n">
        <v>1494187</v>
      </c>
      <c r="C1077" s="18" t="n">
        <v>6</v>
      </c>
      <c r="D1077" s="18" t="n">
        <v>286</v>
      </c>
      <c r="E1077" s="18" t="n">
        <v>45</v>
      </c>
      <c r="F1077" s="10">
        <f>IF($B1077&gt;=Analysis!$P$1,IF($E1077&lt;=Analysis!$P$2,"VIP","At risk"),IF($E1077&lt;=Analysis!$P$2,"Loyal","Dormant"))</f>
        <v/>
      </c>
    </row>
    <row r="1078">
      <c r="A1078" s="10" t="inlineStr">
        <is>
          <t>C4076</t>
        </is>
      </c>
      <c r="B1078" s="17" t="n">
        <v>761356</v>
      </c>
      <c r="C1078" s="18" t="n">
        <v>4</v>
      </c>
      <c r="D1078" s="18" t="n">
        <v>606</v>
      </c>
      <c r="E1078" s="18" t="n">
        <v>17</v>
      </c>
      <c r="F1078" s="10">
        <f>IF($B1078&gt;=Analysis!$P$1,IF($E1078&lt;=Analysis!$P$2,"VIP","At risk"),IF($E1078&lt;=Analysis!$P$2,"Loyal","Dormant"))</f>
        <v/>
      </c>
    </row>
    <row r="1079">
      <c r="A1079" s="10" t="inlineStr">
        <is>
          <t>C4077</t>
        </is>
      </c>
      <c r="B1079" s="17" t="n">
        <v>2181212</v>
      </c>
      <c r="C1079" s="18" t="n">
        <v>3</v>
      </c>
      <c r="D1079" s="18" t="n">
        <v>76</v>
      </c>
      <c r="E1079" s="18" t="n">
        <v>40</v>
      </c>
      <c r="F1079" s="10">
        <f>IF($B1079&gt;=Analysis!$P$1,IF($E1079&lt;=Analysis!$P$2,"VIP","At risk"),IF($E1079&lt;=Analysis!$P$2,"Loyal","Dormant"))</f>
        <v/>
      </c>
    </row>
    <row r="1080">
      <c r="A1080" s="10" t="inlineStr">
        <is>
          <t>C4078</t>
        </is>
      </c>
      <c r="B1080" s="17" t="n">
        <v>1460351</v>
      </c>
      <c r="C1080" s="18" t="n">
        <v>2</v>
      </c>
      <c r="D1080" s="18" t="n">
        <v>263</v>
      </c>
      <c r="E1080" s="18" t="n">
        <v>54</v>
      </c>
      <c r="F1080" s="10">
        <f>IF($B1080&gt;=Analysis!$P$1,IF($E1080&lt;=Analysis!$P$2,"VIP","At risk"),IF($E1080&lt;=Analysis!$P$2,"Loyal","Dormant"))</f>
        <v/>
      </c>
    </row>
    <row r="1081">
      <c r="A1081" s="10" t="inlineStr">
        <is>
          <t>C4079</t>
        </is>
      </c>
      <c r="B1081" s="17" t="n">
        <v>1670659</v>
      </c>
      <c r="C1081" s="18" t="n">
        <v>14</v>
      </c>
      <c r="D1081" s="18" t="n">
        <v>538</v>
      </c>
      <c r="E1081" s="18" t="n">
        <v>19</v>
      </c>
      <c r="F1081" s="10">
        <f>IF($B1081&gt;=Analysis!$P$1,IF($E1081&lt;=Analysis!$P$2,"VIP","At risk"),IF($E1081&lt;=Analysis!$P$2,"Loyal","Dormant"))</f>
        <v/>
      </c>
    </row>
    <row r="1082">
      <c r="A1082" s="10" t="inlineStr">
        <is>
          <t>C4080</t>
        </is>
      </c>
      <c r="B1082" s="17" t="n">
        <v>913080</v>
      </c>
      <c r="C1082" s="18" t="n">
        <v>3</v>
      </c>
      <c r="D1082" s="18" t="n">
        <v>329</v>
      </c>
      <c r="E1082" s="18" t="n">
        <v>40</v>
      </c>
      <c r="F1082" s="10">
        <f>IF($B1082&gt;=Analysis!$P$1,IF($E1082&lt;=Analysis!$P$2,"VIP","At risk"),IF($E1082&lt;=Analysis!$P$2,"Loyal","Dormant"))</f>
        <v/>
      </c>
    </row>
    <row r="1083">
      <c r="A1083" s="10" t="inlineStr">
        <is>
          <t>C4081</t>
        </is>
      </c>
      <c r="B1083" s="17" t="n">
        <v>801831</v>
      </c>
      <c r="C1083" s="18" t="n">
        <v>1</v>
      </c>
      <c r="D1083" s="18" t="n">
        <v>324</v>
      </c>
      <c r="E1083" s="18" t="n">
        <v>110</v>
      </c>
      <c r="F1083" s="10">
        <f>IF($B1083&gt;=Analysis!$P$1,IF($E1083&lt;=Analysis!$P$2,"VIP","At risk"),IF($E1083&lt;=Analysis!$P$2,"Loyal","Dormant"))</f>
        <v/>
      </c>
    </row>
    <row r="1084">
      <c r="A1084" s="10" t="inlineStr">
        <is>
          <t>C4082</t>
        </is>
      </c>
      <c r="B1084" s="17" t="n">
        <v>3786330</v>
      </c>
      <c r="C1084" s="18" t="n">
        <v>14</v>
      </c>
      <c r="D1084" s="18" t="n">
        <v>377</v>
      </c>
      <c r="E1084" s="18" t="n">
        <v>39</v>
      </c>
      <c r="F1084" s="10">
        <f>IF($B1084&gt;=Analysis!$P$1,IF($E1084&lt;=Analysis!$P$2,"VIP","At risk"),IF($E1084&lt;=Analysis!$P$2,"Loyal","Dormant"))</f>
        <v/>
      </c>
    </row>
    <row r="1085">
      <c r="A1085" s="10" t="inlineStr">
        <is>
          <t>C4083</t>
        </is>
      </c>
      <c r="B1085" s="17" t="n">
        <v>1534257</v>
      </c>
      <c r="C1085" s="18" t="n">
        <v>4</v>
      </c>
      <c r="D1085" s="18" t="n">
        <v>177</v>
      </c>
      <c r="E1085" s="18" t="n">
        <v>95</v>
      </c>
      <c r="F1085" s="10">
        <f>IF($B1085&gt;=Analysis!$P$1,IF($E1085&lt;=Analysis!$P$2,"VIP","At risk"),IF($E1085&lt;=Analysis!$P$2,"Loyal","Dormant"))</f>
        <v/>
      </c>
    </row>
    <row r="1086">
      <c r="A1086" s="10" t="inlineStr">
        <is>
          <t>C4084</t>
        </is>
      </c>
      <c r="B1086" s="17" t="n">
        <v>11396669</v>
      </c>
      <c r="C1086" s="18" t="n">
        <v>23</v>
      </c>
      <c r="D1086" s="18" t="n">
        <v>722</v>
      </c>
      <c r="E1086" s="18" t="n">
        <v>15</v>
      </c>
      <c r="F1086" s="10">
        <f>IF($B1086&gt;=Analysis!$P$1,IF($E1086&lt;=Analysis!$P$2,"VIP","At risk"),IF($E1086&lt;=Analysis!$P$2,"Loyal","Dormant"))</f>
        <v/>
      </c>
    </row>
    <row r="1087">
      <c r="A1087" s="10" t="inlineStr">
        <is>
          <t>C4085</t>
        </is>
      </c>
      <c r="B1087" s="17" t="n">
        <v>2899418</v>
      </c>
      <c r="C1087" s="18" t="n">
        <v>13</v>
      </c>
      <c r="D1087" s="18" t="n">
        <v>297</v>
      </c>
      <c r="E1087" s="18" t="n">
        <v>28</v>
      </c>
      <c r="F1087" s="10">
        <f>IF($B1087&gt;=Analysis!$P$1,IF($E1087&lt;=Analysis!$P$2,"VIP","At risk"),IF($E1087&lt;=Analysis!$P$2,"Loyal","Dormant"))</f>
        <v/>
      </c>
    </row>
    <row r="1088">
      <c r="A1088" s="10" t="inlineStr">
        <is>
          <t>C4086</t>
        </is>
      </c>
      <c r="B1088" s="17" t="n">
        <v>941505</v>
      </c>
      <c r="C1088" s="18" t="n">
        <v>4</v>
      </c>
      <c r="D1088" s="18" t="n">
        <v>69</v>
      </c>
      <c r="E1088" s="18" t="n">
        <v>64</v>
      </c>
      <c r="F1088" s="10">
        <f>IF($B1088&gt;=Analysis!$P$1,IF($E1088&lt;=Analysis!$P$2,"VIP","At risk"),IF($E1088&lt;=Analysis!$P$2,"Loyal","Dormant"))</f>
        <v/>
      </c>
    </row>
    <row r="1089">
      <c r="A1089" s="10" t="inlineStr">
        <is>
          <t>C4087</t>
        </is>
      </c>
      <c r="B1089" s="17" t="n">
        <v>3695789</v>
      </c>
      <c r="C1089" s="18" t="n">
        <v>19</v>
      </c>
      <c r="D1089" s="18" t="n">
        <v>395</v>
      </c>
      <c r="E1089" s="18" t="n">
        <v>34</v>
      </c>
      <c r="F1089" s="10">
        <f>IF($B1089&gt;=Analysis!$P$1,IF($E1089&lt;=Analysis!$P$2,"VIP","At risk"),IF($E1089&lt;=Analysis!$P$2,"Loyal","Dormant"))</f>
        <v/>
      </c>
    </row>
    <row r="1090">
      <c r="A1090" s="10" t="inlineStr">
        <is>
          <t>C4088</t>
        </is>
      </c>
      <c r="B1090" s="17" t="n">
        <v>740367</v>
      </c>
      <c r="C1090" s="18" t="n">
        <v>3</v>
      </c>
      <c r="D1090" s="18" t="n">
        <v>351</v>
      </c>
      <c r="E1090" s="18" t="n">
        <v>73</v>
      </c>
      <c r="F1090" s="10">
        <f>IF($B1090&gt;=Analysis!$P$1,IF($E1090&lt;=Analysis!$P$2,"VIP","At risk"),IF($E1090&lt;=Analysis!$P$2,"Loyal","Dormant"))</f>
        <v/>
      </c>
    </row>
    <row r="1091">
      <c r="A1091" s="10" t="inlineStr">
        <is>
          <t>C4089</t>
        </is>
      </c>
      <c r="B1091" s="17" t="n">
        <v>1679058</v>
      </c>
      <c r="C1091" s="18" t="n">
        <v>2</v>
      </c>
      <c r="D1091" s="18" t="n">
        <v>78</v>
      </c>
      <c r="E1091" s="18" t="n">
        <v>21</v>
      </c>
      <c r="F1091" s="10">
        <f>IF($B1091&gt;=Analysis!$P$1,IF($E1091&lt;=Analysis!$P$2,"VIP","At risk"),IF($E1091&lt;=Analysis!$P$2,"Loyal","Dormant"))</f>
        <v/>
      </c>
    </row>
    <row r="1092">
      <c r="A1092" s="10" t="inlineStr">
        <is>
          <t>C4090</t>
        </is>
      </c>
      <c r="B1092" s="17" t="n">
        <v>0</v>
      </c>
      <c r="C1092" s="18" t="n">
        <v>6</v>
      </c>
      <c r="D1092" s="18" t="n">
        <v>38</v>
      </c>
      <c r="E1092" s="18" t="n">
        <v>13</v>
      </c>
      <c r="F1092" s="10">
        <f>IF($B1092&gt;=Analysis!$P$1,IF($E1092&lt;=Analysis!$P$2,"VIP","At risk"),IF($E1092&lt;=Analysis!$P$2,"Loyal","Dormant"))</f>
        <v/>
      </c>
    </row>
    <row r="1093">
      <c r="A1093" s="10" t="inlineStr">
        <is>
          <t>C4091</t>
        </is>
      </c>
      <c r="B1093" s="17" t="n">
        <v>451831</v>
      </c>
      <c r="C1093" s="18" t="n">
        <v>3</v>
      </c>
      <c r="D1093" s="18" t="n">
        <v>207</v>
      </c>
      <c r="E1093" s="18" t="n">
        <v>108</v>
      </c>
      <c r="F1093" s="10">
        <f>IF($B1093&gt;=Analysis!$P$1,IF($E1093&lt;=Analysis!$P$2,"VIP","At risk"),IF($E1093&lt;=Analysis!$P$2,"Loyal","Dormant"))</f>
        <v/>
      </c>
    </row>
    <row r="1094">
      <c r="A1094" s="10" t="inlineStr">
        <is>
          <t>C4092</t>
        </is>
      </c>
      <c r="B1094" s="17" t="n">
        <v>3842788</v>
      </c>
      <c r="C1094" s="18" t="n">
        <v>15</v>
      </c>
      <c r="D1094" s="18" t="n">
        <v>436</v>
      </c>
      <c r="E1094" s="18" t="n">
        <v>21</v>
      </c>
      <c r="F1094" s="10">
        <f>IF($B1094&gt;=Analysis!$P$1,IF($E1094&lt;=Analysis!$P$2,"VIP","At risk"),IF($E1094&lt;=Analysis!$P$2,"Loyal","Dormant"))</f>
        <v/>
      </c>
    </row>
    <row r="1095">
      <c r="A1095" s="10" t="inlineStr">
        <is>
          <t>C4093</t>
        </is>
      </c>
      <c r="B1095" s="17" t="n">
        <v>618578</v>
      </c>
      <c r="C1095" s="18" t="n">
        <v>1</v>
      </c>
      <c r="D1095" s="18" t="n">
        <v>314</v>
      </c>
      <c r="E1095" s="18" t="n">
        <v>64</v>
      </c>
      <c r="F1095" s="10">
        <f>IF($B1095&gt;=Analysis!$P$1,IF($E1095&lt;=Analysis!$P$2,"VIP","At risk"),IF($E1095&lt;=Analysis!$P$2,"Loyal","Dormant"))</f>
        <v/>
      </c>
    </row>
    <row r="1096">
      <c r="A1096" s="10" t="inlineStr">
        <is>
          <t>C4094</t>
        </is>
      </c>
      <c r="B1096" s="17" t="n">
        <v>726123</v>
      </c>
      <c r="C1096" s="18" t="n">
        <v>4</v>
      </c>
      <c r="D1096" s="18" t="n">
        <v>171</v>
      </c>
      <c r="E1096" s="18" t="n">
        <v>68</v>
      </c>
      <c r="F1096" s="10">
        <f>IF($B1096&gt;=Analysis!$P$1,IF($E1096&lt;=Analysis!$P$2,"VIP","At risk"),IF($E1096&lt;=Analysis!$P$2,"Loyal","Dormant"))</f>
        <v/>
      </c>
    </row>
    <row r="1097">
      <c r="A1097" s="10" t="inlineStr">
        <is>
          <t>C4095</t>
        </is>
      </c>
      <c r="B1097" s="17" t="n">
        <v>3121637</v>
      </c>
      <c r="C1097" s="18" t="n">
        <v>15</v>
      </c>
      <c r="D1097" s="18" t="n">
        <v>283</v>
      </c>
      <c r="E1097" s="18" t="n">
        <v>16</v>
      </c>
      <c r="F1097" s="10">
        <f>IF($B1097&gt;=Analysis!$P$1,IF($E1097&lt;=Analysis!$P$2,"VIP","At risk"),IF($E1097&lt;=Analysis!$P$2,"Loyal","Dormant"))</f>
        <v/>
      </c>
    </row>
    <row r="1098">
      <c r="A1098" s="10" t="inlineStr">
        <is>
          <t>C4096</t>
        </is>
      </c>
      <c r="B1098" s="17" t="n">
        <v>785138</v>
      </c>
      <c r="C1098" s="18" t="n">
        <v>2</v>
      </c>
      <c r="D1098" s="18" t="n">
        <v>231</v>
      </c>
      <c r="E1098" s="18" t="n">
        <v>50</v>
      </c>
      <c r="F1098" s="10">
        <f>IF($B1098&gt;=Analysis!$P$1,IF($E1098&lt;=Analysis!$P$2,"VIP","At risk"),IF($E1098&lt;=Analysis!$P$2,"Loyal","Dormant"))</f>
        <v/>
      </c>
    </row>
    <row r="1099">
      <c r="A1099" s="10" t="inlineStr">
        <is>
          <t>C4097</t>
        </is>
      </c>
      <c r="B1099" s="17" t="n">
        <v>1063610</v>
      </c>
      <c r="C1099" s="18" t="n">
        <v>1</v>
      </c>
      <c r="D1099" s="18" t="n">
        <v>582</v>
      </c>
      <c r="E1099" s="18" t="n">
        <v>94</v>
      </c>
      <c r="F1099" s="10">
        <f>IF($B1099&gt;=Analysis!$P$1,IF($E1099&lt;=Analysis!$P$2,"VIP","At risk"),IF($E1099&lt;=Analysis!$P$2,"Loyal","Dormant"))</f>
        <v/>
      </c>
    </row>
    <row r="1100">
      <c r="A1100" s="10" t="inlineStr">
        <is>
          <t>C4098</t>
        </is>
      </c>
      <c r="B1100" s="17" t="n">
        <v>879901</v>
      </c>
      <c r="C1100" s="18" t="n">
        <v>2</v>
      </c>
      <c r="D1100" s="18" t="n">
        <v>59</v>
      </c>
      <c r="E1100" s="18" t="n">
        <v>16</v>
      </c>
      <c r="F1100" s="10">
        <f>IF($B1100&gt;=Analysis!$P$1,IF($E1100&lt;=Analysis!$P$2,"VIP","At risk"),IF($E1100&lt;=Analysis!$P$2,"Loyal","Dormant"))</f>
        <v/>
      </c>
    </row>
    <row r="1101">
      <c r="A1101" s="10" t="inlineStr">
        <is>
          <t>C4099</t>
        </is>
      </c>
      <c r="B1101" s="17" t="n">
        <v>995711</v>
      </c>
      <c r="C1101" s="18" t="n">
        <v>4</v>
      </c>
      <c r="D1101" s="18" t="n">
        <v>487</v>
      </c>
      <c r="E1101" s="18" t="n">
        <v>91</v>
      </c>
      <c r="F1101" s="10">
        <f>IF($B1101&gt;=Analysis!$P$1,IF($E1101&lt;=Analysis!$P$2,"VIP","At risk"),IF($E1101&lt;=Analysis!$P$2,"Loyal","Dormant"))</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7"/>
  <sheetViews>
    <sheetView showGridLines="0" workbookViewId="0">
      <selection activeCell="A1" sqref="A1"/>
    </sheetView>
  </sheetViews>
  <sheetFormatPr baseColWidth="8" defaultRowHeight="15"/>
  <cols>
    <col width="11" customWidth="1" min="1" max="1"/>
    <col width="11" customWidth="1" min="2" max="2"/>
    <col width="16" customWidth="1" min="3" max="3"/>
    <col width="14" customWidth="1" min="4" max="4"/>
    <col width="11" customWidth="1" min="5" max="5"/>
    <col width="17" customWidth="1" min="6" max="6"/>
    <col width="17" customWidth="1" min="7" max="7"/>
    <col width="14" customWidth="1" min="15" max="15"/>
    <col width="16" customWidth="1" min="16" max="16"/>
  </cols>
  <sheetData>
    <row r="1">
      <c r="A1" s="7" t="inlineStr">
        <is>
          <t>ANALYSIS  (live value x recency segmentation referencing Clean Data)</t>
        </is>
      </c>
      <c r="O1" s="14" t="inlineStr">
        <is>
          <t>Median spend</t>
        </is>
      </c>
      <c r="P1" s="17">
        <f>MEDIAN('Clean Data'!$B$2:$B$1101)</f>
        <v/>
      </c>
    </row>
    <row r="2">
      <c r="O2" s="14" t="inlineStr">
        <is>
          <t>Median recency</t>
        </is>
      </c>
      <c r="P2" s="10">
        <f>MEDIAN('Clean Data'!$E$2:$E$1101)</f>
        <v/>
      </c>
    </row>
    <row r="3">
      <c r="A3" s="6" t="inlineStr">
        <is>
          <t>Key metrics</t>
        </is>
      </c>
      <c r="O3" s="14" t="inlineStr">
        <is>
          <t>Rule</t>
        </is>
      </c>
      <c r="P3" s="19" t="inlineStr">
        <is>
          <t>spend vs median (value) x recency vs median (engagement)</t>
        </is>
      </c>
    </row>
    <row r="4">
      <c r="A4" s="20" t="inlineStr">
        <is>
          <t>Customers</t>
        </is>
      </c>
      <c r="B4" s="21">
        <f>COUNTA('Clean Data'!$A$2:$A$1101)</f>
        <v/>
      </c>
    </row>
    <row r="5">
      <c r="A5" s="20" t="inlineStr">
        <is>
          <t>Total spend</t>
        </is>
      </c>
      <c r="B5" s="22">
        <f>SUM('Clean Data'!$B$2:$B$1101)</f>
        <v/>
      </c>
    </row>
    <row r="6">
      <c r="A6" s="20" t="inlineStr">
        <is>
          <t>VIP customers</t>
        </is>
      </c>
      <c r="B6" s="21">
        <f>COUNTIF('Clean Data'!$F$2:$F$1101,"VIP")</f>
        <v/>
      </c>
    </row>
    <row r="7">
      <c r="A7" s="20" t="inlineStr">
        <is>
          <t>VIP revenue share</t>
        </is>
      </c>
      <c r="B7" s="23">
        <f>SUMIF('Clean Data'!$F$2:$F$1101,"VIP",'Clean Data'!$B$2:$B$1101)/SUM('Clean Data'!$B$2:$B$1101)</f>
        <v/>
      </c>
    </row>
    <row r="8">
      <c r="A8" s="20" t="inlineStr">
        <is>
          <t>At-risk customers</t>
        </is>
      </c>
      <c r="B8" s="21">
        <f>COUNTIF('Clean Data'!$F$2:$F$1101,"At risk")</f>
        <v/>
      </c>
    </row>
    <row r="12">
      <c r="A12" s="6" t="inlineStr">
        <is>
          <t>Segment profile</t>
        </is>
      </c>
    </row>
    <row r="13" ht="26" customHeight="1">
      <c r="A13" s="9" t="inlineStr">
        <is>
          <t>Segment</t>
        </is>
      </c>
      <c r="B13" s="9" t="inlineStr">
        <is>
          <t>Customers</t>
        </is>
      </c>
      <c r="C13" s="9" t="inlineStr">
        <is>
          <t>Total spend</t>
        </is>
      </c>
      <c r="D13" s="9" t="inlineStr">
        <is>
          <t>Avg spend</t>
        </is>
      </c>
      <c r="E13" s="9" t="inlineStr">
        <is>
          <t>Avg orders</t>
        </is>
      </c>
      <c r="F13" s="9" t="inlineStr">
        <is>
          <t>Avg recency (days)</t>
        </is>
      </c>
      <c r="G13" s="9" t="inlineStr">
        <is>
          <t>Avg tenure (days)</t>
        </is>
      </c>
    </row>
    <row r="14">
      <c r="A14" s="14" t="inlineStr">
        <is>
          <t>VIP</t>
        </is>
      </c>
      <c r="B14" s="18">
        <f>COUNTIF('Clean Data'!$F$2:$F$1101,$A14)</f>
        <v/>
      </c>
      <c r="C14" s="17">
        <f>SUMIF('Clean Data'!$F$2:$F$1101,$A14,'Clean Data'!$B$2:$B$1101)</f>
        <v/>
      </c>
      <c r="D14" s="17">
        <f>IFERROR(AVERAGEIF('Clean Data'!$F$2:$F$1101,$A14,'Clean Data'!$B$2:$B$1101),0)</f>
        <v/>
      </c>
      <c r="E14" s="24">
        <f>IFERROR(AVERAGEIF('Clean Data'!$F$2:$F$1101,$A14,'Clean Data'!$C$2:$C$1101),0)</f>
        <v/>
      </c>
      <c r="F14" s="18">
        <f>IFERROR(AVERAGEIF('Clean Data'!$F$2:$F$1101,$A14,'Clean Data'!$E$2:$E$1101),0)</f>
        <v/>
      </c>
      <c r="G14" s="18">
        <f>IFERROR(AVERAGEIF('Clean Data'!$F$2:$F$1101,$A14,'Clean Data'!$D$2:$D$1101),0)</f>
        <v/>
      </c>
    </row>
    <row r="15">
      <c r="A15" s="14" t="inlineStr">
        <is>
          <t>Loyal</t>
        </is>
      </c>
      <c r="B15" s="18">
        <f>COUNTIF('Clean Data'!$F$2:$F$1101,$A15)</f>
        <v/>
      </c>
      <c r="C15" s="17">
        <f>SUMIF('Clean Data'!$F$2:$F$1101,$A15,'Clean Data'!$B$2:$B$1101)</f>
        <v/>
      </c>
      <c r="D15" s="17">
        <f>IFERROR(AVERAGEIF('Clean Data'!$F$2:$F$1101,$A15,'Clean Data'!$B$2:$B$1101),0)</f>
        <v/>
      </c>
      <c r="E15" s="24">
        <f>IFERROR(AVERAGEIF('Clean Data'!$F$2:$F$1101,$A15,'Clean Data'!$C$2:$C$1101),0)</f>
        <v/>
      </c>
      <c r="F15" s="18">
        <f>IFERROR(AVERAGEIF('Clean Data'!$F$2:$F$1101,$A15,'Clean Data'!$E$2:$E$1101),0)</f>
        <v/>
      </c>
      <c r="G15" s="18">
        <f>IFERROR(AVERAGEIF('Clean Data'!$F$2:$F$1101,$A15,'Clean Data'!$D$2:$D$1101),0)</f>
        <v/>
      </c>
    </row>
    <row r="16">
      <c r="A16" s="14" t="inlineStr">
        <is>
          <t>At risk</t>
        </is>
      </c>
      <c r="B16" s="18">
        <f>COUNTIF('Clean Data'!$F$2:$F$1101,$A16)</f>
        <v/>
      </c>
      <c r="C16" s="17">
        <f>SUMIF('Clean Data'!$F$2:$F$1101,$A16,'Clean Data'!$B$2:$B$1101)</f>
        <v/>
      </c>
      <c r="D16" s="17">
        <f>IFERROR(AVERAGEIF('Clean Data'!$F$2:$F$1101,$A16,'Clean Data'!$B$2:$B$1101),0)</f>
        <v/>
      </c>
      <c r="E16" s="24">
        <f>IFERROR(AVERAGEIF('Clean Data'!$F$2:$F$1101,$A16,'Clean Data'!$C$2:$C$1101),0)</f>
        <v/>
      </c>
      <c r="F16" s="18">
        <f>IFERROR(AVERAGEIF('Clean Data'!$F$2:$F$1101,$A16,'Clean Data'!$E$2:$E$1101),0)</f>
        <v/>
      </c>
      <c r="G16" s="18">
        <f>IFERROR(AVERAGEIF('Clean Data'!$F$2:$F$1101,$A16,'Clean Data'!$D$2:$D$1101),0)</f>
        <v/>
      </c>
    </row>
    <row r="17">
      <c r="A17" s="14" t="inlineStr">
        <is>
          <t>Dormant</t>
        </is>
      </c>
      <c r="B17" s="18">
        <f>COUNTIF('Clean Data'!$F$2:$F$1101,$A17)</f>
        <v/>
      </c>
      <c r="C17" s="17">
        <f>SUMIF('Clean Data'!$F$2:$F$1101,$A17,'Clean Data'!$B$2:$B$1101)</f>
        <v/>
      </c>
      <c r="D17" s="17">
        <f>IFERROR(AVERAGEIF('Clean Data'!$F$2:$F$1101,$A17,'Clean Data'!$B$2:$B$1101),0)</f>
        <v/>
      </c>
      <c r="E17" s="24">
        <f>IFERROR(AVERAGEIF('Clean Data'!$F$2:$F$1101,$A17,'Clean Data'!$C$2:$C$1101),0)</f>
        <v/>
      </c>
      <c r="F17" s="18">
        <f>IFERROR(AVERAGEIF('Clean Data'!$F$2:$F$1101,$A17,'Clean Data'!$E$2:$E$1101),0)</f>
        <v/>
      </c>
      <c r="G17" s="18">
        <f>IFERROR(AVERAGEIF('Clean Data'!$F$2:$F$1101,$A17,'Clean Data'!$D$2:$D$1101),0)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0"/>
  <sheetViews>
    <sheetView showGridLines="0"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c r="A1" s="25" t="inlineStr">
        <is>
          <t>DASHBOARD</t>
        </is>
      </c>
    </row>
    <row r="2">
      <c r="A2" s="8" t="inlineStr">
        <is>
          <t>Customer Segmentation. Charts read live from Analysis. Same view as the web case study.</t>
        </is>
      </c>
    </row>
    <row r="4">
      <c r="A4" s="26" t="inlineStr">
        <is>
          <t>Customers</t>
        </is>
      </c>
      <c r="C4" s="26" t="inlineStr">
        <is>
          <t>Total spend</t>
        </is>
      </c>
      <c r="E4" s="26" t="inlineStr">
        <is>
          <t>VIP customers</t>
        </is>
      </c>
      <c r="G4" s="26" t="inlineStr">
        <is>
          <t>VIP rev share</t>
        </is>
      </c>
      <c r="I4" s="26" t="inlineStr">
        <is>
          <t>At-risk</t>
        </is>
      </c>
      <c r="K4" s="26" t="inlineStr">
        <is>
          <t>Segments</t>
        </is>
      </c>
    </row>
    <row r="5">
      <c r="A5" s="27">
        <f>Analysis!B4</f>
        <v/>
      </c>
      <c r="C5" s="28">
        <f>Analysis!B5</f>
        <v/>
      </c>
      <c r="E5" s="27">
        <f>Analysis!B6</f>
        <v/>
      </c>
      <c r="G5" s="29">
        <f>Analysis!B7</f>
        <v/>
      </c>
      <c r="I5" s="27">
        <f>Analysis!B8</f>
        <v/>
      </c>
      <c r="K5" s="30">
        <f>4</f>
        <v/>
      </c>
    </row>
    <row r="24">
      <c r="A24" s="31" t="inlineStr">
        <is>
          <t>How many customers fall in each group. VIPs are few but valuable.</t>
        </is>
      </c>
      <c r="I24" s="31" t="inlineStr">
        <is>
          <t>A small VIP group drives an outsized share of revenue. Protect it first.</t>
        </is>
      </c>
    </row>
    <row r="43">
      <c r="A43" s="31" t="inlineStr">
        <is>
          <t>Average value per customer. Use it to size win-back offers for At risk and Dormant.</t>
        </is>
      </c>
    </row>
    <row r="46">
      <c r="A46" s="7" t="inlineStr">
        <is>
          <t>Recommendations</t>
        </is>
      </c>
    </row>
    <row r="47">
      <c r="A47" s="32" t="inlineStr">
        <is>
          <t>- Give VIPs priority service and early access; losing one hurts most.</t>
        </is>
      </c>
    </row>
    <row r="48">
      <c r="A48" s="32" t="inlineStr">
        <is>
          <t>- Nurture Loyal customers with relevant offers to grow them into VIPs.</t>
        </is>
      </c>
    </row>
    <row r="49">
      <c r="A49" s="32" t="inlineStr">
        <is>
          <t>- Win back At risk customers now with a targeted offer before they go Dormant.</t>
        </is>
      </c>
    </row>
    <row r="50">
      <c r="A50" s="32" t="inlineStr">
        <is>
          <t>- Re-activate Dormant customers cheaply or stop spending on them.</t>
        </is>
      </c>
    </row>
  </sheetData>
  <mergeCells count="12">
    <mergeCell ref="A4:B4"/>
    <mergeCell ref="G4:H4"/>
    <mergeCell ref="E4:F4"/>
    <mergeCell ref="I4:J4"/>
    <mergeCell ref="C5:D5"/>
    <mergeCell ref="A5:B5"/>
    <mergeCell ref="G5:H5"/>
    <mergeCell ref="E5:F5"/>
    <mergeCell ref="K5:L5"/>
    <mergeCell ref="I5:J5"/>
    <mergeCell ref="K4:L4"/>
    <mergeCell ref="C4:D4"/>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2" customWidth="1" min="1" max="1"/>
  </cols>
  <sheetData>
    <row r="1">
      <c r="A1" s="7" t="inlineStr">
        <is>
          <t>VBA AUTOMATION  (also provided as Module1.bas next to this file)</t>
        </is>
      </c>
    </row>
    <row r="2">
      <c r="A2" s="8" t="inlineStr">
        <is>
          <t>Paste into the VBA editor (Alt+F11, Insert, Module) to normalise a fresh raw paste.</t>
        </is>
      </c>
    </row>
    <row r="4">
      <c r="A4" s="33" t="inlineStr">
        <is>
          <t>Attribute VB_Name = "Module1"</t>
        </is>
      </c>
    </row>
    <row r="5">
      <c r="A5" s="33" t="inlineStr">
        <is>
          <t>' One-click cleaner for the "Raw Data" sheet: "Rp" spend text and "x days" recency text to numbers.</t>
        </is>
      </c>
    </row>
    <row r="6">
      <c r="A6" s="33" t="inlineStr">
        <is>
          <t>Sub CleanRawData()</t>
        </is>
      </c>
    </row>
    <row r="7">
      <c r="A7" s="33" t="inlineStr">
        <is>
          <t xml:space="preserve">    Dim ws As Worksheet, lastRow As Long, r As Long, v As String</t>
        </is>
      </c>
    </row>
    <row r="8">
      <c r="A8" s="33" t="inlineStr">
        <is>
          <t xml:space="preserve">    Set ws = ThisWorkbook.Sheets("Raw Data")</t>
        </is>
      </c>
    </row>
    <row r="9">
      <c r="A9" s="33" t="inlineStr">
        <is>
          <t xml:space="preserve">    lastRow = ws.Cells(ws.Rows.Count, 1).End(xlUp).Row</t>
        </is>
      </c>
    </row>
    <row r="10">
      <c r="A10" s="33" t="inlineStr">
        <is>
          <t xml:space="preserve">    Application.ScreenUpdating = False</t>
        </is>
      </c>
    </row>
    <row r="11">
      <c r="A11" s="33" t="inlineStr">
        <is>
          <t xml:space="preserve">    For r = 5 To lastRow</t>
        </is>
      </c>
    </row>
    <row r="12">
      <c r="A12" s="33" t="inlineStr">
        <is>
          <t xml:space="preserve">        v = CStr(ws.Cells(r, 2).Value)</t>
        </is>
      </c>
    </row>
    <row r="13">
      <c r="A13" s="33" t="inlineStr">
        <is>
          <t xml:space="preserve">        If InStr(1, v, "Rp", vbTextCompare) &gt; 0 Then</t>
        </is>
      </c>
    </row>
    <row r="14">
      <c r="A14" s="33" t="inlineStr">
        <is>
          <t xml:space="preserve">            v = Trim(Replace(Replace(v, "Rp", ""), ".", ""))</t>
        </is>
      </c>
    </row>
    <row r="15">
      <c r="A15" s="33" t="inlineStr">
        <is>
          <t xml:space="preserve">            If IsNumeric(v) Then ws.Cells(r, 2).Value = CLng(v)</t>
        </is>
      </c>
    </row>
    <row r="16">
      <c r="A16" s="33" t="inlineStr">
        <is>
          <t xml:space="preserve">        End If</t>
        </is>
      </c>
    </row>
    <row r="17">
      <c r="A17" s="33" t="inlineStr">
        <is>
          <t xml:space="preserve">        v = CStr(ws.Cells(r, 5).Value)</t>
        </is>
      </c>
    </row>
    <row r="18">
      <c r="A18" s="33" t="inlineStr">
        <is>
          <t xml:space="preserve">        If InStr(1, v, "days", vbTextCompare) &gt; 0 Then</t>
        </is>
      </c>
    </row>
    <row r="19">
      <c r="A19" s="33" t="inlineStr">
        <is>
          <t xml:space="preserve">            v = Trim(Replace(v, "days", ""))</t>
        </is>
      </c>
    </row>
    <row r="20">
      <c r="A20" s="33" t="inlineStr">
        <is>
          <t xml:space="preserve">            If IsNumeric(v) Then ws.Cells(r, 5).Value = CLng(v)</t>
        </is>
      </c>
    </row>
    <row r="21">
      <c r="A21" s="33" t="inlineStr">
        <is>
          <t xml:space="preserve">        End If</t>
        </is>
      </c>
    </row>
    <row r="22">
      <c r="A22" s="33" t="inlineStr">
        <is>
          <t xml:space="preserve">    Next r</t>
        </is>
      </c>
    </row>
    <row r="23">
      <c r="A23" s="33" t="inlineStr">
        <is>
          <t xml:space="preserve">    Application.ScreenUpdating = True</t>
        </is>
      </c>
    </row>
    <row r="24">
      <c r="A24" s="33" t="inlineStr">
        <is>
          <t xml:space="preserve">    MsgBox "Raw data cleaned: " &amp; (lastRow - 4) &amp; " rows processed.", vbInformation</t>
        </is>
      </c>
    </row>
    <row r="25">
      <c r="A25" s="33" t="inlineStr">
        <is>
          <t>End Sub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2026-06-22T09:27:10Z</dcterms:created>
  <dcterms:modified xmlns:dcterms="http://purl.org/dc/terms/" xmlns:xsi="http://www.w3.org/2001/XMLSchema-instance" xsi:type="dcterms:W3CDTF">2026-06-22T09:27:11Z</dcterms:modified>
</cp:coreProperties>
</file>