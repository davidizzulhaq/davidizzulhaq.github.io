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B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_(&quot;Rp&quot;* #,##0_);_(&quot;Rp&quot;* (#,##0);_(&quot;Rp&quot;* &quot;-&quot;??_);_(@_)"/>
    <numFmt numFmtId="167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65" fontId="10" fillId="0" borderId="0" pivotButton="0" quotePrefix="0" xfId="0"/>
    <xf numFmtId="166" fontId="10" fillId="0" borderId="0" pivotButton="0" quotePrefix="0" xfId="0"/>
    <xf numFmtId="0" fontId="15" fillId="0" borderId="0" pivotButton="0" quotePrefix="0" xfId="0"/>
    <xf numFmtId="1" fontId="4" fillId="0" borderId="0" pivotButton="0" quotePrefix="0" xfId="0"/>
    <xf numFmtId="167" fontId="10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2" fontId="10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1" fontId="6" fillId="4" borderId="0" pivotButton="0" quotePrefix="0" xfId="0"/>
    <xf numFmtId="166" fontId="6" fillId="4" borderId="0" pivotButton="0" quotePrefix="0" xfId="0"/>
    <xf numFmtId="167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sales: actual, model and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'Analysis'!D13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'Analysis'!$B$14:$B$55</f>
            </numRef>
          </cat>
          <val>
            <numRef>
              <f>'Analysis'!$D$14:$D$55</f>
            </numRef>
          </val>
        </ser>
        <ser>
          <idx val="1"/>
          <order val="1"/>
          <tx>
            <strRef>
              <f>'Analysis'!F13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'Analysis'!$B$14:$B$55</f>
            </numRef>
          </cat>
          <val>
            <numRef>
              <f>'Analysis'!$F$14:$F$55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Seasonal index by calendar month (1.0 = average)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'Analysis'!$H$14:$H$25</f>
            </numRef>
          </cat>
          <val>
            <numRef>
              <f>'Analysis'!$I$14:$I$25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2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1224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04</t>
        </is>
      </c>
    </row>
    <row r="3">
      <c r="B3" s="2" t="inlineStr">
        <is>
          <t>Sales Forecasting and Seasonality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Sales bounce around month to month. What is the real trend under the noise, when are the seasonal peaks, and what should we expect next?</t>
        </is>
      </c>
    </row>
    <row r="9">
      <c r="B9" s="4" t="inlineStr">
        <is>
          <t>Dataset</t>
        </is>
      </c>
    </row>
    <row r="10" ht="46" customHeight="1">
      <c r="B10" s="5" t="inlineStr">
        <is>
          <t>1,096 daily sales records, Jun 2023 to May 2026 (36 months). The raw export had mixed dates, text-numbers, blanks and duplicates.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Clean and aggregate to monthly.  2) Estimate a linear trend and a seasonal index (which months run hot or cold).  3) Combine trend and seasonality into a model and a six-month forecast.  4) Measure accuracy with MAPE.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Average month around Rp 4,830,488. The model captures the seasonal pattern and projects the next six months, with the error measured on history.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Tabs: Raw Data, Cleaning, Clean Data, Analysis (live trend, seasonality, forecast), Dashboard, VBA. Every number is a formula you can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7" t="inlineStr">
        <is>
          <t>RAW DATA  (as received, before cleaning)</t>
        </is>
      </c>
    </row>
    <row r="2">
      <c r="A2" s="8" t="inlineStr">
        <is>
          <t>1,110 rows. Real-world mess: mixed formats, text-numbers, duplicates, blanks, inconsistent casing.</t>
        </is>
      </c>
    </row>
    <row r="4" ht="26" customHeight="1">
      <c r="A4" s="9" t="inlineStr">
        <is>
          <t>date</t>
        </is>
      </c>
      <c r="B4" s="9" t="inlineStr">
        <is>
          <t>sales</t>
        </is>
      </c>
    </row>
    <row r="5">
      <c r="A5" s="10" t="inlineStr">
        <is>
          <t>12/10/2024</t>
        </is>
      </c>
      <c r="B5" s="10" t="n">
        <v>185130</v>
      </c>
    </row>
    <row r="6">
      <c r="A6" s="10" t="inlineStr">
        <is>
          <t>24 Nov 2025</t>
        </is>
      </c>
      <c r="B6" s="10" t="n">
        <v>167961</v>
      </c>
    </row>
    <row r="7">
      <c r="A7" s="10" t="inlineStr">
        <is>
          <t>19 Oct 2024</t>
        </is>
      </c>
      <c r="B7" s="10" t="n">
        <v>188199</v>
      </c>
    </row>
    <row r="8">
      <c r="A8" s="10" t="inlineStr">
        <is>
          <t>18 Jan 2025</t>
        </is>
      </c>
      <c r="B8" s="10" t="n">
        <v>177171</v>
      </c>
    </row>
    <row r="9">
      <c r="A9" s="10" t="inlineStr">
        <is>
          <t>2024-04-28</t>
        </is>
      </c>
      <c r="B9" s="10" t="n">
        <v>145274</v>
      </c>
    </row>
    <row r="10">
      <c r="A10" s="10" t="inlineStr">
        <is>
          <t>07 Dec 2023</t>
        </is>
      </c>
      <c r="B10" s="10" t="n">
        <v>162540</v>
      </c>
    </row>
    <row r="11">
      <c r="A11" s="10" t="inlineStr">
        <is>
          <t>2024-09-04</t>
        </is>
      </c>
      <c r="B11" s="10" t="inlineStr">
        <is>
          <t>Rp 131.163</t>
        </is>
      </c>
    </row>
    <row r="12">
      <c r="A12" s="10" t="inlineStr">
        <is>
          <t>2026-04-17</t>
        </is>
      </c>
      <c r="B12" s="10" t="inlineStr">
        <is>
          <t>Rp 172.979</t>
        </is>
      </c>
    </row>
    <row r="13">
      <c r="A13" s="10" t="inlineStr">
        <is>
          <t>2024-06-02</t>
        </is>
      </c>
      <c r="B13" s="10" t="n">
        <v>147269</v>
      </c>
    </row>
    <row r="14">
      <c r="A14" s="10" t="inlineStr">
        <is>
          <t>2024-12-08</t>
        </is>
      </c>
      <c r="B14" s="10" t="n">
        <v>197845</v>
      </c>
    </row>
    <row r="15">
      <c r="A15" s="10" t="inlineStr">
        <is>
          <t>2026-01-17</t>
        </is>
      </c>
      <c r="B15" s="10" t="n">
        <v>192002</v>
      </c>
    </row>
    <row r="16">
      <c r="A16" s="10" t="inlineStr">
        <is>
          <t>2024-03-16</t>
        </is>
      </c>
      <c r="B16" s="10" t="n">
        <v>143838</v>
      </c>
    </row>
    <row r="17">
      <c r="A17" s="10" t="inlineStr">
        <is>
          <t>2023-10-27</t>
        </is>
      </c>
      <c r="B17" s="10" t="inlineStr">
        <is>
          <t>Rp 108.633</t>
        </is>
      </c>
    </row>
    <row r="18">
      <c r="A18" s="10" t="inlineStr">
        <is>
          <t>2023-12-18</t>
        </is>
      </c>
      <c r="B18" s="10" t="inlineStr">
        <is>
          <t>Rp 149.284</t>
        </is>
      </c>
    </row>
    <row r="19">
      <c r="A19" s="10" t="inlineStr">
        <is>
          <t>2024-03-27</t>
        </is>
      </c>
      <c r="B19" s="10" t="inlineStr">
        <is>
          <t>Rp 118.553</t>
        </is>
      </c>
    </row>
    <row r="20">
      <c r="A20" s="10" t="inlineStr">
        <is>
          <t>2024-04-18</t>
        </is>
      </c>
      <c r="B20" s="10" t="n">
        <v>130556</v>
      </c>
    </row>
    <row r="21">
      <c r="A21" s="10" t="inlineStr">
        <is>
          <t>2026-02-18</t>
        </is>
      </c>
      <c r="B21" s="10" t="n">
        <v>147161</v>
      </c>
    </row>
    <row r="22">
      <c r="A22" s="10" t="inlineStr">
        <is>
          <t>2024-04-05</t>
        </is>
      </c>
      <c r="B22" s="10" t="inlineStr">
        <is>
          <t>Rp 160.683</t>
        </is>
      </c>
    </row>
    <row r="23">
      <c r="A23" s="10" t="inlineStr">
        <is>
          <t>29 Sep 2024</t>
        </is>
      </c>
      <c r="B23" s="10" t="n">
        <v>173799</v>
      </c>
    </row>
    <row r="24">
      <c r="A24" s="10" t="inlineStr">
        <is>
          <t>2023-11-13</t>
        </is>
      </c>
      <c r="B24" s="10" t="n">
        <v>135954</v>
      </c>
    </row>
    <row r="25">
      <c r="A25" s="10" t="inlineStr">
        <is>
          <t>2024-08-11</t>
        </is>
      </c>
      <c r="B25" s="10" t="n">
        <v>146464</v>
      </c>
    </row>
    <row r="26">
      <c r="A26" s="10" t="inlineStr">
        <is>
          <t>2025-05-24</t>
        </is>
      </c>
      <c r="B26" s="10" t="n">
        <v>302888</v>
      </c>
    </row>
    <row r="27">
      <c r="A27" s="10" t="inlineStr">
        <is>
          <t>15/01/2025</t>
        </is>
      </c>
      <c r="B27" s="10" t="n">
        <v>141139</v>
      </c>
    </row>
    <row r="28">
      <c r="A28" s="10" t="inlineStr">
        <is>
          <t>20 Sep 2023</t>
        </is>
      </c>
      <c r="B28" s="10" t="inlineStr">
        <is>
          <t>Rp 103.168</t>
        </is>
      </c>
    </row>
    <row r="29">
      <c r="A29" s="10" t="inlineStr">
        <is>
          <t>2025-10-19</t>
        </is>
      </c>
      <c r="B29" s="10" t="n">
        <v>199669</v>
      </c>
    </row>
    <row r="30">
      <c r="A30" s="10" t="inlineStr">
        <is>
          <t>2023-10-29</t>
        </is>
      </c>
      <c r="B30" s="10" t="n">
        <v>116567</v>
      </c>
    </row>
    <row r="31">
      <c r="A31" s="10" t="inlineStr">
        <is>
          <t>2025-03-07</t>
        </is>
      </c>
      <c r="B31" s="10" t="n">
        <v>133604</v>
      </c>
    </row>
    <row r="32">
      <c r="A32" s="10" t="inlineStr">
        <is>
          <t>2026-03-04</t>
        </is>
      </c>
      <c r="B32" s="10" t="n">
        <v>159259</v>
      </c>
    </row>
    <row r="33">
      <c r="A33" s="10" t="inlineStr">
        <is>
          <t>2024-03-26</t>
        </is>
      </c>
      <c r="B33" s="10" t="n">
        <v>93744</v>
      </c>
    </row>
    <row r="34">
      <c r="A34" s="10" t="inlineStr">
        <is>
          <t>23/08/2024</t>
        </is>
      </c>
      <c r="B34" s="10" t="inlineStr">
        <is>
          <t>Rp 140.697</t>
        </is>
      </c>
    </row>
    <row r="35">
      <c r="A35" s="10" t="inlineStr">
        <is>
          <t>2023-12-11</t>
        </is>
      </c>
      <c r="B35" s="10" t="n">
        <v>175158</v>
      </c>
    </row>
    <row r="36">
      <c r="A36" s="10" t="inlineStr">
        <is>
          <t>03/02/2024</t>
        </is>
      </c>
      <c r="B36" s="10" t="inlineStr">
        <is>
          <t>Rp 126.076</t>
        </is>
      </c>
    </row>
    <row r="37">
      <c r="A37" s="10" t="inlineStr">
        <is>
          <t>2024-05-18</t>
        </is>
      </c>
      <c r="B37" s="10" t="inlineStr">
        <is>
          <t>Rp 223.976</t>
        </is>
      </c>
    </row>
    <row r="38">
      <c r="A38" s="10" t="inlineStr">
        <is>
          <t>2026-05-04</t>
        </is>
      </c>
      <c r="B38" s="10" t="inlineStr">
        <is>
          <t>Rp 234.034</t>
        </is>
      </c>
    </row>
    <row r="39">
      <c r="A39" s="10" t="inlineStr">
        <is>
          <t>2025-12-18</t>
        </is>
      </c>
      <c r="B39" s="10" t="n">
        <v>253335</v>
      </c>
    </row>
    <row r="40">
      <c r="A40" s="10" t="inlineStr">
        <is>
          <t>2025-08-09</t>
        </is>
      </c>
      <c r="B40" s="10" t="n">
        <v>185715</v>
      </c>
    </row>
    <row r="41">
      <c r="A41" s="10" t="inlineStr">
        <is>
          <t>2024-01-05</t>
        </is>
      </c>
      <c r="B41" s="10" t="n">
        <v>146149</v>
      </c>
    </row>
    <row r="42">
      <c r="A42" s="10" t="inlineStr">
        <is>
          <t>2024-12-19</t>
        </is>
      </c>
      <c r="B42" s="10" t="n">
        <v>212872</v>
      </c>
    </row>
    <row r="43">
      <c r="A43" s="10" t="inlineStr">
        <is>
          <t>17/08/2023</t>
        </is>
      </c>
      <c r="B43" s="10" t="n">
        <v>103205</v>
      </c>
    </row>
    <row r="44">
      <c r="A44" s="10" t="inlineStr">
        <is>
          <t>21 Mar 2025</t>
        </is>
      </c>
      <c r="B44" s="10" t="n">
        <v>167353</v>
      </c>
    </row>
    <row r="45">
      <c r="A45" s="10" t="inlineStr">
        <is>
          <t>2023-06-28</t>
        </is>
      </c>
      <c r="B45" s="10" t="n">
        <v>123262</v>
      </c>
    </row>
    <row r="46">
      <c r="A46" s="10" t="inlineStr">
        <is>
          <t>28 Feb 2026</t>
        </is>
      </c>
      <c r="B46" s="10" t="n">
        <v>209649</v>
      </c>
    </row>
    <row r="47">
      <c r="A47" s="10" t="inlineStr">
        <is>
          <t>2023-07-01</t>
        </is>
      </c>
      <c r="B47" s="10" t="n">
        <v>135757</v>
      </c>
    </row>
    <row r="48">
      <c r="A48" s="10" t="inlineStr">
        <is>
          <t>07/04/2024</t>
        </is>
      </c>
      <c r="B48" s="10" t="inlineStr">
        <is>
          <t>Rp 160.166</t>
        </is>
      </c>
    </row>
    <row r="49">
      <c r="A49" s="10" t="inlineStr">
        <is>
          <t>2024-04-12</t>
        </is>
      </c>
      <c r="B49" s="10" t="n">
        <v>141927</v>
      </c>
    </row>
    <row r="50">
      <c r="A50" s="10" t="inlineStr">
        <is>
          <t>2024-04-17</t>
        </is>
      </c>
      <c r="B50" s="10" t="n">
        <v>136805</v>
      </c>
    </row>
    <row r="51">
      <c r="A51" s="10" t="inlineStr">
        <is>
          <t>14 Jul 2024</t>
        </is>
      </c>
      <c r="B51" s="10" t="n">
        <v>146658</v>
      </c>
    </row>
    <row r="52">
      <c r="A52" s="10" t="inlineStr">
        <is>
          <t>2023-06-03</t>
        </is>
      </c>
      <c r="B52" s="10" t="inlineStr">
        <is>
          <t>Rp 155.681</t>
        </is>
      </c>
    </row>
    <row r="53">
      <c r="A53" s="10" t="inlineStr">
        <is>
          <t>2026-03-14</t>
        </is>
      </c>
      <c r="B53" s="10" t="n">
        <v>199798</v>
      </c>
    </row>
    <row r="54">
      <c r="A54" s="10" t="inlineStr">
        <is>
          <t>2025-10-29</t>
        </is>
      </c>
      <c r="B54" s="10" t="n">
        <v>169724</v>
      </c>
    </row>
    <row r="55">
      <c r="A55" s="10" t="inlineStr">
        <is>
          <t>2025-06-05</t>
        </is>
      </c>
      <c r="B55" s="10" t="n">
        <v>192959</v>
      </c>
    </row>
    <row r="56">
      <c r="A56" s="10" t="inlineStr">
        <is>
          <t>2025-10-23</t>
        </is>
      </c>
      <c r="B56" s="10" t="n">
        <v>172997</v>
      </c>
    </row>
    <row r="57">
      <c r="A57" s="10" t="inlineStr">
        <is>
          <t>2023-09-29</t>
        </is>
      </c>
      <c r="B57" s="10" t="inlineStr">
        <is>
          <t>Rp 127.251</t>
        </is>
      </c>
    </row>
    <row r="58">
      <c r="A58" s="10" t="inlineStr">
        <is>
          <t>2025-11-07</t>
        </is>
      </c>
      <c r="B58" s="10" t="n">
        <v>180030</v>
      </c>
    </row>
    <row r="59">
      <c r="A59" s="10" t="inlineStr">
        <is>
          <t>2024-10-30</t>
        </is>
      </c>
      <c r="B59" s="10" t="n"/>
    </row>
    <row r="60">
      <c r="A60" s="10" t="inlineStr">
        <is>
          <t>2024-06-29</t>
        </is>
      </c>
      <c r="B60" s="10" t="n">
        <v>149609</v>
      </c>
    </row>
    <row r="61">
      <c r="A61" s="10" t="inlineStr">
        <is>
          <t>04/11/2025</t>
        </is>
      </c>
      <c r="B61" s="10" t="n">
        <v>173778</v>
      </c>
    </row>
    <row r="62">
      <c r="A62" s="10" t="inlineStr">
        <is>
          <t>2024-05-01</t>
        </is>
      </c>
      <c r="B62" s="10" t="inlineStr">
        <is>
          <t>Rp 152.728</t>
        </is>
      </c>
    </row>
    <row r="63">
      <c r="A63" s="10" t="inlineStr">
        <is>
          <t>2024-04-21</t>
        </is>
      </c>
      <c r="B63" s="10" t="n">
        <v>187294</v>
      </c>
    </row>
    <row r="64">
      <c r="A64" s="10" t="inlineStr">
        <is>
          <t>07/03/2024</t>
        </is>
      </c>
      <c r="B64" s="10" t="n">
        <v>113144</v>
      </c>
    </row>
    <row r="65">
      <c r="A65" s="10" t="inlineStr">
        <is>
          <t>01 Feb 2025</t>
        </is>
      </c>
      <c r="B65" s="10" t="n">
        <v>163769</v>
      </c>
    </row>
    <row r="66">
      <c r="A66" s="10" t="inlineStr">
        <is>
          <t>2023-07-16</t>
        </is>
      </c>
      <c r="B66" s="10" t="n">
        <v>141803</v>
      </c>
    </row>
    <row r="67">
      <c r="A67" s="10" t="inlineStr">
        <is>
          <t>24 Nov 2024</t>
        </is>
      </c>
      <c r="B67" s="10" t="n">
        <v>197165</v>
      </c>
    </row>
    <row r="68">
      <c r="A68" s="10" t="inlineStr">
        <is>
          <t>2023-07-28</t>
        </is>
      </c>
      <c r="B68" s="10" t="n">
        <v>125101</v>
      </c>
    </row>
    <row r="69">
      <c r="A69" s="10" t="inlineStr">
        <is>
          <t>26/03/2026</t>
        </is>
      </c>
      <c r="B69" s="10" t="n">
        <v>164634</v>
      </c>
    </row>
    <row r="70">
      <c r="A70" s="10" t="inlineStr">
        <is>
          <t>2024-02-27</t>
        </is>
      </c>
      <c r="B70" s="10" t="inlineStr">
        <is>
          <t>Rp 96.924</t>
        </is>
      </c>
    </row>
    <row r="71">
      <c r="A71" s="10" t="inlineStr">
        <is>
          <t>2024-07-30</t>
        </is>
      </c>
      <c r="B71" s="10" t="inlineStr">
        <is>
          <t>Rp 115.294</t>
        </is>
      </c>
    </row>
    <row r="72">
      <c r="A72" s="10" t="inlineStr">
        <is>
          <t>10/11/2025</t>
        </is>
      </c>
      <c r="B72" s="10" t="n">
        <v>165521</v>
      </c>
    </row>
    <row r="73">
      <c r="A73" s="10" t="inlineStr">
        <is>
          <t>2023-09-18</t>
        </is>
      </c>
      <c r="B73" s="10" t="inlineStr">
        <is>
          <t>Rp 117.037</t>
        </is>
      </c>
    </row>
    <row r="74">
      <c r="A74" s="10" t="inlineStr">
        <is>
          <t>2026-01-27</t>
        </is>
      </c>
      <c r="B74" s="10" t="n">
        <v>122996</v>
      </c>
    </row>
    <row r="75">
      <c r="A75" s="10" t="inlineStr">
        <is>
          <t>2024-08-03</t>
        </is>
      </c>
      <c r="B75" s="10" t="n">
        <v>138311</v>
      </c>
    </row>
    <row r="76">
      <c r="A76" s="10" t="inlineStr">
        <is>
          <t>2025-06-04</t>
        </is>
      </c>
      <c r="B76" s="10" t="inlineStr">
        <is>
          <t>Rp 152.982</t>
        </is>
      </c>
    </row>
    <row r="77">
      <c r="A77" s="10" t="inlineStr">
        <is>
          <t>07 Aug 2024</t>
        </is>
      </c>
      <c r="B77" s="10" t="n">
        <v>106188</v>
      </c>
    </row>
    <row r="78">
      <c r="A78" s="10" t="inlineStr">
        <is>
          <t>2025-10-26</t>
        </is>
      </c>
      <c r="B78" s="10" t="n">
        <v>217064</v>
      </c>
    </row>
    <row r="79">
      <c r="A79" s="10" t="inlineStr">
        <is>
          <t>2024-05-07</t>
        </is>
      </c>
      <c r="B79" s="10" t="n">
        <v>139796</v>
      </c>
    </row>
    <row r="80">
      <c r="A80" s="10" t="inlineStr">
        <is>
          <t>2024-07-17</t>
        </is>
      </c>
      <c r="B80" s="10" t="n">
        <v>108179</v>
      </c>
    </row>
    <row r="81">
      <c r="A81" s="10" t="inlineStr">
        <is>
          <t>2024-05-12</t>
        </is>
      </c>
      <c r="B81" s="10" t="n">
        <v>166986</v>
      </c>
    </row>
    <row r="82">
      <c r="A82" s="10" t="inlineStr">
        <is>
          <t>2024-06-04</t>
        </is>
      </c>
      <c r="B82" s="10" t="n">
        <v>119978</v>
      </c>
    </row>
    <row r="83">
      <c r="A83" s="10" t="inlineStr">
        <is>
          <t>2025-12-30</t>
        </is>
      </c>
      <c r="B83" s="10" t="n">
        <v>252443</v>
      </c>
    </row>
    <row r="84">
      <c r="A84" s="10" t="inlineStr">
        <is>
          <t>29 Dec 2025</t>
        </is>
      </c>
      <c r="B84" s="10" t="n">
        <v>197972</v>
      </c>
    </row>
    <row r="85">
      <c r="A85" s="10" t="inlineStr">
        <is>
          <t>2024-10-31</t>
        </is>
      </c>
      <c r="B85" s="10" t="n">
        <v>138553</v>
      </c>
    </row>
    <row r="86">
      <c r="A86" s="10" t="inlineStr">
        <is>
          <t>2026-04-06</t>
        </is>
      </c>
      <c r="B86" s="10" t="n">
        <v>189784</v>
      </c>
    </row>
    <row r="87">
      <c r="A87" s="10" t="inlineStr">
        <is>
          <t>2024-03-06</t>
        </is>
      </c>
      <c r="B87" s="10" t="inlineStr">
        <is>
          <t>Rp 119.370</t>
        </is>
      </c>
    </row>
    <row r="88">
      <c r="A88" s="10" t="inlineStr">
        <is>
          <t>2025-02-07</t>
        </is>
      </c>
      <c r="B88" s="10" t="n">
        <v>151836</v>
      </c>
    </row>
    <row r="89">
      <c r="A89" s="10" t="inlineStr">
        <is>
          <t>2024-02-11</t>
        </is>
      </c>
      <c r="B89" s="10" t="n">
        <v>126195</v>
      </c>
    </row>
    <row r="90">
      <c r="A90" s="10" t="inlineStr">
        <is>
          <t>2025-11-11</t>
        </is>
      </c>
      <c r="B90" s="10" t="n">
        <v>145013</v>
      </c>
    </row>
    <row r="91">
      <c r="A91" s="10" t="inlineStr">
        <is>
          <t>2025-07-06</t>
        </is>
      </c>
      <c r="B91" s="10" t="n">
        <v>168956</v>
      </c>
    </row>
    <row r="92">
      <c r="A92" s="10" t="inlineStr">
        <is>
          <t>2025-07-07</t>
        </is>
      </c>
      <c r="B92" s="10" t="n">
        <v>142329</v>
      </c>
    </row>
    <row r="93">
      <c r="A93" s="10" t="inlineStr">
        <is>
          <t>03/01/2026</t>
        </is>
      </c>
      <c r="B93" s="10" t="n">
        <v>149480</v>
      </c>
    </row>
    <row r="94">
      <c r="A94" s="10" t="inlineStr">
        <is>
          <t>2024-04-30</t>
        </is>
      </c>
      <c r="B94" s="10" t="n">
        <v>154423</v>
      </c>
    </row>
    <row r="95">
      <c r="A95" s="10" t="inlineStr">
        <is>
          <t>2024-08-15</t>
        </is>
      </c>
      <c r="B95" s="10" t="n">
        <v>116331</v>
      </c>
    </row>
    <row r="96">
      <c r="A96" s="10" t="inlineStr">
        <is>
          <t>2023-10-01</t>
        </is>
      </c>
      <c r="B96" s="10" t="n">
        <v>131152</v>
      </c>
    </row>
    <row r="97">
      <c r="A97" s="10" t="inlineStr">
        <is>
          <t>2025-06-30</t>
        </is>
      </c>
      <c r="B97" s="10" t="inlineStr">
        <is>
          <t>Rp 170.119</t>
        </is>
      </c>
    </row>
    <row r="98">
      <c r="A98" s="10" t="inlineStr">
        <is>
          <t>18 Oct 2023</t>
        </is>
      </c>
      <c r="B98" s="10" t="inlineStr">
        <is>
          <t>Rp 110.416</t>
        </is>
      </c>
    </row>
    <row r="99">
      <c r="A99" s="10" t="inlineStr">
        <is>
          <t>2025-10-03</t>
        </is>
      </c>
      <c r="B99" s="10" t="n">
        <v>188086</v>
      </c>
    </row>
    <row r="100">
      <c r="A100" s="10" t="inlineStr">
        <is>
          <t>2026-03-16</t>
        </is>
      </c>
      <c r="B100" s="10" t="n">
        <v>135513</v>
      </c>
    </row>
    <row r="101">
      <c r="A101" s="10" t="inlineStr">
        <is>
          <t>2024-05-09</t>
        </is>
      </c>
      <c r="B101" s="10" t="n">
        <v>164327</v>
      </c>
    </row>
    <row r="102">
      <c r="A102" s="10" t="inlineStr">
        <is>
          <t>2025-02-17</t>
        </is>
      </c>
      <c r="B102" s="10" t="n">
        <v>127331</v>
      </c>
    </row>
    <row r="103">
      <c r="A103" s="10" t="inlineStr">
        <is>
          <t>2025-05-18</t>
        </is>
      </c>
      <c r="B103" s="10" t="n">
        <v>282327</v>
      </c>
    </row>
    <row r="104">
      <c r="A104" s="10" t="inlineStr">
        <is>
          <t>2023-10-11</t>
        </is>
      </c>
      <c r="B104" s="10" t="n">
        <v>111807</v>
      </c>
    </row>
    <row r="105">
      <c r="A105" s="10" t="inlineStr">
        <is>
          <t>11 Jun 2023</t>
        </is>
      </c>
      <c r="B105" s="10" t="n">
        <v>166770</v>
      </c>
    </row>
    <row r="106">
      <c r="A106" s="10" t="inlineStr">
        <is>
          <t>2026-03-11</t>
        </is>
      </c>
      <c r="B106" s="10" t="n">
        <v>159986</v>
      </c>
    </row>
    <row r="107">
      <c r="A107" s="10" t="inlineStr">
        <is>
          <t>2025-01-03</t>
        </is>
      </c>
      <c r="B107" s="10" t="n">
        <v>129112</v>
      </c>
    </row>
    <row r="108">
      <c r="A108" s="10" t="inlineStr">
        <is>
          <t>2026-05-18</t>
        </is>
      </c>
      <c r="B108" s="10" t="n"/>
    </row>
    <row r="109">
      <c r="A109" s="10" t="inlineStr">
        <is>
          <t>25 Jun 2025</t>
        </is>
      </c>
      <c r="B109" s="10" t="inlineStr">
        <is>
          <t>Rp 170.726</t>
        </is>
      </c>
    </row>
    <row r="110">
      <c r="A110" s="10" t="inlineStr">
        <is>
          <t>25/11/2025</t>
        </is>
      </c>
      <c r="B110" s="10" t="n">
        <v>171533</v>
      </c>
    </row>
    <row r="111">
      <c r="A111" s="10" t="inlineStr">
        <is>
          <t>2025-09-09</t>
        </is>
      </c>
      <c r="B111" s="10" t="n">
        <v>122631</v>
      </c>
    </row>
    <row r="112">
      <c r="A112" s="10" t="inlineStr">
        <is>
          <t>2025-02-11</t>
        </is>
      </c>
      <c r="B112" s="10" t="n">
        <v>133203</v>
      </c>
    </row>
    <row r="113">
      <c r="A113" s="10" t="inlineStr">
        <is>
          <t>2025-08-28</t>
        </is>
      </c>
      <c r="B113" s="10" t="n">
        <v>128517</v>
      </c>
    </row>
    <row r="114">
      <c r="A114" s="10" t="inlineStr">
        <is>
          <t>2023-11-28</t>
        </is>
      </c>
      <c r="B114" s="10" t="n">
        <v>109844</v>
      </c>
    </row>
    <row r="115">
      <c r="A115" s="10" t="inlineStr">
        <is>
          <t>2023-08-02</t>
        </is>
      </c>
      <c r="B115" s="10" t="inlineStr">
        <is>
          <t>Rp 99.835</t>
        </is>
      </c>
    </row>
    <row r="116">
      <c r="A116" s="10" t="inlineStr">
        <is>
          <t>2026-05-10</t>
        </is>
      </c>
      <c r="B116" s="10" t="inlineStr">
        <is>
          <t>Rp 277.797</t>
        </is>
      </c>
    </row>
    <row r="117">
      <c r="A117" s="10" t="inlineStr">
        <is>
          <t>2025-07-11</t>
        </is>
      </c>
      <c r="B117" s="10" t="n">
        <v>146606</v>
      </c>
    </row>
    <row r="118">
      <c r="A118" s="10" t="inlineStr">
        <is>
          <t>07/09/2023</t>
        </is>
      </c>
      <c r="B118" s="10" t="n">
        <v>132005</v>
      </c>
    </row>
    <row r="119">
      <c r="A119" s="10" t="inlineStr">
        <is>
          <t>2025-10-11</t>
        </is>
      </c>
      <c r="B119" s="10" t="n">
        <v>190275</v>
      </c>
    </row>
    <row r="120">
      <c r="A120" s="10" t="inlineStr">
        <is>
          <t>15/10/2025</t>
        </is>
      </c>
      <c r="B120" s="10" t="n">
        <v>145919</v>
      </c>
    </row>
    <row r="121">
      <c r="A121" s="10" t="inlineStr">
        <is>
          <t>2023-08-20</t>
        </is>
      </c>
      <c r="B121" s="10" t="n">
        <v>115567</v>
      </c>
    </row>
    <row r="122">
      <c r="A122" s="10" t="inlineStr">
        <is>
          <t>2023-08-05</t>
        </is>
      </c>
      <c r="B122" s="10" t="inlineStr">
        <is>
          <t>Rp 115.455</t>
        </is>
      </c>
    </row>
    <row r="123">
      <c r="A123" s="10" t="inlineStr">
        <is>
          <t>2024-12-24</t>
        </is>
      </c>
      <c r="B123" s="10" t="n">
        <v>206465</v>
      </c>
    </row>
    <row r="124">
      <c r="A124" s="10" t="inlineStr">
        <is>
          <t>2025-01-02</t>
        </is>
      </c>
      <c r="B124" s="10" t="n">
        <v>115305</v>
      </c>
    </row>
    <row r="125">
      <c r="A125" s="10" t="inlineStr">
        <is>
          <t>2024-01-10</t>
        </is>
      </c>
      <c r="B125" s="10" t="n">
        <v>111154</v>
      </c>
    </row>
    <row r="126">
      <c r="A126" s="10" t="inlineStr">
        <is>
          <t>23 Jan 2025</t>
        </is>
      </c>
      <c r="B126" s="10" t="n">
        <v>154348</v>
      </c>
    </row>
    <row r="127">
      <c r="A127" s="10" t="inlineStr">
        <is>
          <t>2025-12-28</t>
        </is>
      </c>
      <c r="B127" s="10" t="n">
        <v>306033</v>
      </c>
    </row>
    <row r="128">
      <c r="A128" s="10" t="inlineStr">
        <is>
          <t>10/07/2023</t>
        </is>
      </c>
      <c r="B128" s="10" t="n">
        <v>96403</v>
      </c>
    </row>
    <row r="129">
      <c r="A129" s="10" t="inlineStr">
        <is>
          <t>2024-09-21</t>
        </is>
      </c>
      <c r="B129" s="10" t="n">
        <v>209233</v>
      </c>
    </row>
    <row r="130">
      <c r="A130" s="10" t="inlineStr">
        <is>
          <t>27 May 2025</t>
        </is>
      </c>
      <c r="B130" s="10" t="n">
        <v>232083</v>
      </c>
    </row>
    <row r="131">
      <c r="A131" s="10" t="inlineStr">
        <is>
          <t>2024-08-24</t>
        </is>
      </c>
      <c r="B131" s="10" t="n">
        <v>125157</v>
      </c>
    </row>
    <row r="132">
      <c r="A132" s="10" t="inlineStr">
        <is>
          <t>2024-01-15</t>
        </is>
      </c>
      <c r="B132" s="10" t="n">
        <v>116689</v>
      </c>
    </row>
    <row r="133">
      <c r="A133" s="10" t="inlineStr">
        <is>
          <t>17 Sep 2023</t>
        </is>
      </c>
      <c r="B133" s="10" t="n">
        <v>155417</v>
      </c>
    </row>
    <row r="134">
      <c r="A134" s="10" t="inlineStr">
        <is>
          <t>2024-01-11</t>
        </is>
      </c>
      <c r="B134" s="10" t="n">
        <v>115603</v>
      </c>
    </row>
    <row r="135">
      <c r="A135" s="10" t="inlineStr">
        <is>
          <t>08/02/2025</t>
        </is>
      </c>
      <c r="B135" s="10" t="n">
        <v>142930</v>
      </c>
    </row>
    <row r="136">
      <c r="A136" s="10" t="inlineStr">
        <is>
          <t>2026-04-11</t>
        </is>
      </c>
      <c r="B136" s="10" t="n">
        <v>236157</v>
      </c>
    </row>
    <row r="137">
      <c r="A137" s="10" t="inlineStr">
        <is>
          <t>20 Nov 2025</t>
        </is>
      </c>
      <c r="B137" s="10" t="n">
        <v>156424</v>
      </c>
    </row>
    <row r="138">
      <c r="A138" s="10" t="inlineStr">
        <is>
          <t>2024-11-17</t>
        </is>
      </c>
      <c r="B138" s="10" t="n">
        <v>234572</v>
      </c>
    </row>
    <row r="139">
      <c r="A139" s="10" t="inlineStr">
        <is>
          <t>2023-09-28</t>
        </is>
      </c>
      <c r="B139" s="10" t="inlineStr">
        <is>
          <t>Rp 129.187</t>
        </is>
      </c>
    </row>
    <row r="140">
      <c r="A140" s="10" t="inlineStr">
        <is>
          <t>11/06/2025</t>
        </is>
      </c>
      <c r="B140" s="10" t="inlineStr">
        <is>
          <t>Rp 180.703</t>
        </is>
      </c>
    </row>
    <row r="141">
      <c r="A141" s="10" t="inlineStr">
        <is>
          <t>2024-06-28</t>
        </is>
      </c>
      <c r="B141" s="10" t="n">
        <v>161875</v>
      </c>
    </row>
    <row r="142">
      <c r="A142" s="10" t="inlineStr">
        <is>
          <t>2023-10-22</t>
        </is>
      </c>
      <c r="B142" s="10" t="inlineStr">
        <is>
          <t>Rp 133.257</t>
        </is>
      </c>
    </row>
    <row r="143">
      <c r="A143" s="10" t="inlineStr">
        <is>
          <t>2025-04-12</t>
        </is>
      </c>
      <c r="B143" s="10" t="n"/>
    </row>
    <row r="144">
      <c r="A144" s="10" t="inlineStr">
        <is>
          <t>2023-08-04</t>
        </is>
      </c>
      <c r="B144" s="10" t="n">
        <v>99394</v>
      </c>
    </row>
    <row r="145">
      <c r="A145" s="10" t="inlineStr">
        <is>
          <t>2025-10-13</t>
        </is>
      </c>
      <c r="B145" s="10" t="n">
        <v>145800</v>
      </c>
    </row>
    <row r="146">
      <c r="A146" s="10" t="inlineStr">
        <is>
          <t>2025-02-16</t>
        </is>
      </c>
      <c r="B146" s="10" t="n">
        <v>142218</v>
      </c>
    </row>
    <row r="147">
      <c r="A147" s="10" t="inlineStr">
        <is>
          <t>2024-10-08</t>
        </is>
      </c>
      <c r="B147" s="10" t="n">
        <v>156523</v>
      </c>
    </row>
    <row r="148">
      <c r="A148" s="10" t="inlineStr">
        <is>
          <t>31/05/2026</t>
        </is>
      </c>
      <c r="B148" s="10" t="n">
        <v>248281</v>
      </c>
    </row>
    <row r="149">
      <c r="A149" s="10" t="inlineStr">
        <is>
          <t>2025-03-17</t>
        </is>
      </c>
      <c r="B149" s="10" t="n">
        <v>118349</v>
      </c>
    </row>
    <row r="150">
      <c r="A150" s="10" t="inlineStr">
        <is>
          <t>2023-11-12</t>
        </is>
      </c>
      <c r="B150" s="10" t="n">
        <v>162675</v>
      </c>
    </row>
    <row r="151">
      <c r="A151" s="10" t="inlineStr">
        <is>
          <t>2023-08-12</t>
        </is>
      </c>
      <c r="B151" s="10" t="n">
        <v>128668</v>
      </c>
    </row>
    <row r="152">
      <c r="A152" s="10" t="inlineStr">
        <is>
          <t>2025-09-03</t>
        </is>
      </c>
      <c r="B152" s="10" t="n">
        <v>134718</v>
      </c>
    </row>
    <row r="153">
      <c r="A153" s="10" t="inlineStr">
        <is>
          <t>28/08/2023</t>
        </is>
      </c>
      <c r="B153" s="10" t="n">
        <v>84669</v>
      </c>
    </row>
    <row r="154">
      <c r="A154" s="10" t="inlineStr">
        <is>
          <t>2026-02-27</t>
        </is>
      </c>
      <c r="B154" s="10" t="n">
        <v>174412</v>
      </c>
    </row>
    <row r="155">
      <c r="A155" s="10" t="inlineStr">
        <is>
          <t>2025-11-28</t>
        </is>
      </c>
      <c r="B155" s="10" t="n">
        <v>204949</v>
      </c>
    </row>
    <row r="156">
      <c r="A156" s="10" t="inlineStr">
        <is>
          <t>2025-11-08</t>
        </is>
      </c>
      <c r="B156" s="10" t="inlineStr">
        <is>
          <t>Rp 189.121</t>
        </is>
      </c>
    </row>
    <row r="157">
      <c r="A157" s="10" t="inlineStr">
        <is>
          <t>24 Feb 2025</t>
        </is>
      </c>
      <c r="B157" s="10" t="n">
        <v>107118</v>
      </c>
    </row>
    <row r="158">
      <c r="A158" s="10" t="inlineStr">
        <is>
          <t>17/05/2024</t>
        </is>
      </c>
      <c r="B158" s="10" t="n">
        <v>205829</v>
      </c>
    </row>
    <row r="159">
      <c r="A159" s="10" t="inlineStr">
        <is>
          <t>28/03/2026</t>
        </is>
      </c>
      <c r="B159" s="10" t="inlineStr">
        <is>
          <t>Rp 201.936</t>
        </is>
      </c>
    </row>
    <row r="160">
      <c r="A160" s="10" t="inlineStr">
        <is>
          <t>2024-08-20</t>
        </is>
      </c>
      <c r="B160" s="10" t="inlineStr">
        <is>
          <t>Rp 114.918</t>
        </is>
      </c>
    </row>
    <row r="161">
      <c r="A161" s="10" t="inlineStr">
        <is>
          <t>2025-07-20</t>
        </is>
      </c>
      <c r="B161" s="10" t="inlineStr">
        <is>
          <t>Rp 161.116</t>
        </is>
      </c>
    </row>
    <row r="162">
      <c r="A162" s="10" t="inlineStr">
        <is>
          <t>31/03/2024</t>
        </is>
      </c>
      <c r="B162" s="10" t="n">
        <v>119013</v>
      </c>
    </row>
    <row r="163">
      <c r="A163" s="10" t="inlineStr">
        <is>
          <t>2026-05-14</t>
        </is>
      </c>
      <c r="B163" s="10" t="inlineStr">
        <is>
          <t>Rp 220.375</t>
        </is>
      </c>
    </row>
    <row r="164">
      <c r="A164" s="10" t="inlineStr">
        <is>
          <t>2026-04-26</t>
        </is>
      </c>
      <c r="B164" s="10" t="inlineStr">
        <is>
          <t>Rp 207.658</t>
        </is>
      </c>
    </row>
    <row r="165">
      <c r="A165" s="10" t="inlineStr">
        <is>
          <t>2024-01-14</t>
        </is>
      </c>
      <c r="B165" s="10" t="n">
        <v>151112</v>
      </c>
    </row>
    <row r="166">
      <c r="A166" s="10" t="inlineStr">
        <is>
          <t>2024-04-20</t>
        </is>
      </c>
      <c r="B166" s="10" t="inlineStr">
        <is>
          <t>Rp 186.386</t>
        </is>
      </c>
    </row>
    <row r="167">
      <c r="A167" s="10" t="inlineStr">
        <is>
          <t>2025-08-22</t>
        </is>
      </c>
      <c r="B167" s="10" t="n">
        <v>137299</v>
      </c>
    </row>
    <row r="168">
      <c r="A168" s="10" t="inlineStr">
        <is>
          <t>2025-11-16</t>
        </is>
      </c>
      <c r="B168" s="10" t="inlineStr">
        <is>
          <t>Rp 228.195</t>
        </is>
      </c>
    </row>
    <row r="169">
      <c r="A169" s="10" t="inlineStr">
        <is>
          <t>2025-03-03</t>
        </is>
      </c>
      <c r="B169" s="10" t="n">
        <v>140098</v>
      </c>
    </row>
    <row r="170">
      <c r="A170" s="10" t="inlineStr">
        <is>
          <t>2025-04-08</t>
        </is>
      </c>
      <c r="B170" s="10" t="n">
        <v>133797</v>
      </c>
    </row>
    <row r="171">
      <c r="A171" s="10" t="inlineStr">
        <is>
          <t>2024-11-26</t>
        </is>
      </c>
      <c r="B171" s="10" t="n">
        <v>189796</v>
      </c>
    </row>
    <row r="172">
      <c r="A172" s="10" t="inlineStr">
        <is>
          <t>2025-08-30</t>
        </is>
      </c>
      <c r="B172" s="10" t="inlineStr">
        <is>
          <t>Rp 149.234</t>
        </is>
      </c>
    </row>
    <row r="173">
      <c r="A173" s="10" t="inlineStr">
        <is>
          <t>2023-11-07</t>
        </is>
      </c>
      <c r="B173" s="10" t="n">
        <v>120042</v>
      </c>
    </row>
    <row r="174">
      <c r="A174" s="10" t="inlineStr">
        <is>
          <t>2023-08-31</t>
        </is>
      </c>
      <c r="B174" s="10" t="n">
        <v>88093</v>
      </c>
    </row>
    <row r="175">
      <c r="A175" s="10" t="inlineStr">
        <is>
          <t>2024-10-20</t>
        </is>
      </c>
      <c r="B175" s="10" t="n">
        <v>168382</v>
      </c>
    </row>
    <row r="176">
      <c r="A176" s="10" t="inlineStr">
        <is>
          <t>2024-06-11</t>
        </is>
      </c>
      <c r="B176" s="10" t="n">
        <v>121770</v>
      </c>
    </row>
    <row r="177">
      <c r="A177" s="10" t="inlineStr">
        <is>
          <t>2023-10-07</t>
        </is>
      </c>
      <c r="B177" s="10" t="n">
        <v>136040</v>
      </c>
    </row>
    <row r="178">
      <c r="A178" s="10" t="inlineStr">
        <is>
          <t>2024-08-16</t>
        </is>
      </c>
      <c r="B178" s="10" t="n">
        <v>143390</v>
      </c>
    </row>
    <row r="179">
      <c r="A179" s="10" t="inlineStr">
        <is>
          <t>2025-07-10</t>
        </is>
      </c>
      <c r="B179" s="10" t="n">
        <v>118948</v>
      </c>
    </row>
    <row r="180">
      <c r="A180" s="10" t="inlineStr">
        <is>
          <t>2026-05-02</t>
        </is>
      </c>
      <c r="B180" s="10" t="n">
        <v>321970</v>
      </c>
    </row>
    <row r="181">
      <c r="A181" s="10" t="inlineStr">
        <is>
          <t>2024-10-27</t>
        </is>
      </c>
      <c r="B181" s="10" t="n">
        <v>172468</v>
      </c>
    </row>
    <row r="182">
      <c r="A182" s="10" t="inlineStr">
        <is>
          <t>12 Dec 2024</t>
        </is>
      </c>
      <c r="B182" s="10" t="inlineStr">
        <is>
          <t>Rp 222.264</t>
        </is>
      </c>
    </row>
    <row r="183">
      <c r="A183" s="10" t="inlineStr">
        <is>
          <t>2023-09-15</t>
        </is>
      </c>
      <c r="B183" s="10" t="n">
        <v>127763</v>
      </c>
    </row>
    <row r="184">
      <c r="A184" s="10" t="inlineStr">
        <is>
          <t>2025-01-31</t>
        </is>
      </c>
      <c r="B184" s="10" t="n">
        <v>133452</v>
      </c>
    </row>
    <row r="185">
      <c r="A185" s="10" t="inlineStr">
        <is>
          <t>29 Dec 2023</t>
        </is>
      </c>
      <c r="B185" s="10" t="n">
        <v>168133</v>
      </c>
    </row>
    <row r="186">
      <c r="A186" s="10" t="inlineStr">
        <is>
          <t>2023-09-25</t>
        </is>
      </c>
      <c r="B186" s="10" t="n">
        <v>106069</v>
      </c>
    </row>
    <row r="187">
      <c r="A187" s="10" t="inlineStr">
        <is>
          <t>26 Dec 2025</t>
        </is>
      </c>
      <c r="B187" s="10" t="n">
        <v>281543</v>
      </c>
    </row>
    <row r="188">
      <c r="A188" s="10" t="inlineStr">
        <is>
          <t>2024-09-02</t>
        </is>
      </c>
      <c r="B188" s="10" t="inlineStr">
        <is>
          <t>Rp 155.540</t>
        </is>
      </c>
    </row>
    <row r="189">
      <c r="A189" s="10" t="inlineStr">
        <is>
          <t>2024-02-23</t>
        </is>
      </c>
      <c r="B189" s="10" t="n">
        <v>127003</v>
      </c>
    </row>
    <row r="190">
      <c r="A190" s="10" t="inlineStr">
        <is>
          <t>2024-04-09</t>
        </is>
      </c>
      <c r="B190" s="10" t="inlineStr">
        <is>
          <t>Rp 119.216</t>
        </is>
      </c>
    </row>
    <row r="191">
      <c r="A191" s="10" t="inlineStr">
        <is>
          <t>2024-03-22</t>
        </is>
      </c>
      <c r="B191" s="10" t="n">
        <v>132363</v>
      </c>
    </row>
    <row r="192">
      <c r="A192" s="10" t="inlineStr">
        <is>
          <t>2024-05-29</t>
        </is>
      </c>
      <c r="B192" s="10" t="n">
        <v>187595</v>
      </c>
    </row>
    <row r="193">
      <c r="A193" s="10" t="inlineStr">
        <is>
          <t>2024-10-07</t>
        </is>
      </c>
      <c r="B193" s="10" t="n">
        <v>134971</v>
      </c>
    </row>
    <row r="194">
      <c r="A194" s="10" t="inlineStr">
        <is>
          <t>2024-10-17</t>
        </is>
      </c>
      <c r="B194" s="10" t="n">
        <v>152204</v>
      </c>
    </row>
    <row r="195">
      <c r="A195" s="10" t="inlineStr">
        <is>
          <t>2024-08-18</t>
        </is>
      </c>
      <c r="B195" s="10" t="n">
        <v>138954</v>
      </c>
    </row>
    <row r="196">
      <c r="A196" s="10" t="inlineStr">
        <is>
          <t>2026-04-27</t>
        </is>
      </c>
      <c r="B196" s="10" t="n">
        <v>180923</v>
      </c>
    </row>
    <row r="197">
      <c r="A197" s="10" t="inlineStr">
        <is>
          <t>2025-06-12</t>
        </is>
      </c>
      <c r="B197" s="10" t="n">
        <v>163525</v>
      </c>
    </row>
    <row r="198">
      <c r="A198" s="10" t="inlineStr">
        <is>
          <t>2025-01-13</t>
        </is>
      </c>
      <c r="B198" s="10" t="inlineStr">
        <is>
          <t>Rp 113.159</t>
        </is>
      </c>
    </row>
    <row r="199">
      <c r="A199" s="10" t="inlineStr">
        <is>
          <t>2024-12-11</t>
        </is>
      </c>
      <c r="B199" s="10" t="n">
        <v>223620</v>
      </c>
    </row>
    <row r="200">
      <c r="A200" s="10" t="inlineStr">
        <is>
          <t>2023-06-25</t>
        </is>
      </c>
      <c r="B200" s="10" t="n">
        <v>138425</v>
      </c>
    </row>
    <row r="201">
      <c r="A201" s="10" t="inlineStr">
        <is>
          <t>2025-02-18</t>
        </is>
      </c>
      <c r="B201" s="10" t="n">
        <v>108088</v>
      </c>
    </row>
    <row r="202">
      <c r="A202" s="10" t="inlineStr">
        <is>
          <t>23/09/2024</t>
        </is>
      </c>
      <c r="B202" s="10" t="n">
        <v>126274</v>
      </c>
    </row>
    <row r="203">
      <c r="A203" s="10" t="inlineStr">
        <is>
          <t>2024-06-05</t>
        </is>
      </c>
      <c r="B203" s="10" t="n">
        <v>128460</v>
      </c>
    </row>
    <row r="204">
      <c r="A204" s="10" t="inlineStr">
        <is>
          <t>27 Aug 2024</t>
        </is>
      </c>
      <c r="B204" s="10" t="n">
        <v>119034</v>
      </c>
    </row>
    <row r="205">
      <c r="A205" s="10" t="inlineStr">
        <is>
          <t>27/07/2024</t>
        </is>
      </c>
      <c r="B205" s="10" t="inlineStr">
        <is>
          <t>Rp 134.982</t>
        </is>
      </c>
    </row>
    <row r="206">
      <c r="A206" s="10" t="inlineStr">
        <is>
          <t>2025-08-11</t>
        </is>
      </c>
      <c r="B206" s="10" t="n">
        <v>116780</v>
      </c>
    </row>
    <row r="207">
      <c r="A207" s="10" t="inlineStr">
        <is>
          <t>14 Feb 2024</t>
        </is>
      </c>
      <c r="B207" s="10" t="inlineStr">
        <is>
          <t>Rp 112.118</t>
        </is>
      </c>
    </row>
    <row r="208">
      <c r="A208" s="10" t="inlineStr">
        <is>
          <t>2025-12-21</t>
        </is>
      </c>
      <c r="B208" s="10" t="n">
        <v>303314</v>
      </c>
    </row>
    <row r="209">
      <c r="A209" s="10" t="inlineStr">
        <is>
          <t>2025-11-19</t>
        </is>
      </c>
      <c r="B209" s="10" t="n">
        <v>165989</v>
      </c>
    </row>
    <row r="210">
      <c r="A210" s="10" t="inlineStr">
        <is>
          <t>2023-07-23</t>
        </is>
      </c>
      <c r="B210" s="10" t="n">
        <v>123431</v>
      </c>
    </row>
    <row r="211">
      <c r="A211" s="10" t="inlineStr">
        <is>
          <t>2025-07-23</t>
        </is>
      </c>
      <c r="B211" s="10" t="n">
        <v>143541</v>
      </c>
    </row>
    <row r="212">
      <c r="A212" s="10" t="inlineStr">
        <is>
          <t>2025-05-30</t>
        </is>
      </c>
      <c r="B212" s="10" t="inlineStr">
        <is>
          <t>Rp 273.265</t>
        </is>
      </c>
    </row>
    <row r="213">
      <c r="A213" s="10" t="inlineStr">
        <is>
          <t>2024-07-03</t>
        </is>
      </c>
      <c r="B213" s="10" t="n"/>
    </row>
    <row r="214">
      <c r="A214" s="10" t="inlineStr">
        <is>
          <t>2026-05-21</t>
        </is>
      </c>
      <c r="B214" s="10" t="n">
        <v>235317</v>
      </c>
    </row>
    <row r="215">
      <c r="A215" s="10" t="inlineStr">
        <is>
          <t>2025-11-29</t>
        </is>
      </c>
      <c r="B215" s="10" t="n">
        <v>211258</v>
      </c>
    </row>
    <row r="216">
      <c r="A216" s="10" t="inlineStr">
        <is>
          <t>2024-10-16</t>
        </is>
      </c>
      <c r="B216" s="10" t="n">
        <v>141642</v>
      </c>
    </row>
    <row r="217">
      <c r="A217" s="10" t="inlineStr">
        <is>
          <t>2026-03-15</t>
        </is>
      </c>
      <c r="B217" s="10" t="n">
        <v>174404</v>
      </c>
    </row>
    <row r="218">
      <c r="A218" s="10" t="inlineStr">
        <is>
          <t>2025-08-10</t>
        </is>
      </c>
      <c r="B218" s="10" t="n">
        <v>171096</v>
      </c>
    </row>
    <row r="219">
      <c r="A219" s="10" t="inlineStr">
        <is>
          <t>2025-06-10</t>
        </is>
      </c>
      <c r="B219" s="10" t="n">
        <v>159920</v>
      </c>
    </row>
    <row r="220">
      <c r="A220" s="10" t="inlineStr">
        <is>
          <t>17/10/2025</t>
        </is>
      </c>
      <c r="B220" s="10" t="n">
        <v>197578</v>
      </c>
    </row>
    <row r="221">
      <c r="A221" s="10" t="inlineStr">
        <is>
          <t>2024-10-02</t>
        </is>
      </c>
      <c r="B221" s="10" t="n">
        <v>131112</v>
      </c>
    </row>
    <row r="222">
      <c r="A222" s="10" t="inlineStr">
        <is>
          <t>22 Jul 2025</t>
        </is>
      </c>
      <c r="B222" s="10" t="n">
        <v>134532</v>
      </c>
    </row>
    <row r="223">
      <c r="A223" s="10" t="inlineStr">
        <is>
          <t>06/12/2025</t>
        </is>
      </c>
      <c r="B223" s="10" t="n">
        <v>274299</v>
      </c>
    </row>
    <row r="224">
      <c r="A224" s="10" t="inlineStr">
        <is>
          <t>17 Sep 2025</t>
        </is>
      </c>
      <c r="B224" s="10" t="n">
        <v>142578</v>
      </c>
    </row>
    <row r="225">
      <c r="A225" s="10" t="inlineStr">
        <is>
          <t>2024-04-19</t>
        </is>
      </c>
      <c r="B225" s="10" t="inlineStr">
        <is>
          <t>Rp 174.449</t>
        </is>
      </c>
    </row>
    <row r="226">
      <c r="A226" s="10" t="inlineStr">
        <is>
          <t>2023-09-22</t>
        </is>
      </c>
      <c r="B226" s="10" t="inlineStr">
        <is>
          <t>Rp 138.699</t>
        </is>
      </c>
    </row>
    <row r="227">
      <c r="A227" s="10" t="inlineStr">
        <is>
          <t>17/10/2025</t>
        </is>
      </c>
      <c r="B227" s="10" t="n">
        <v>197578</v>
      </c>
    </row>
    <row r="228">
      <c r="A228" s="10" t="inlineStr">
        <is>
          <t>13 Dec 2023</t>
        </is>
      </c>
      <c r="B228" s="10" t="inlineStr">
        <is>
          <t>Rp 189.000</t>
        </is>
      </c>
    </row>
    <row r="229">
      <c r="A229" s="10" t="inlineStr">
        <is>
          <t>2025-12-16</t>
        </is>
      </c>
      <c r="B229" s="10" t="n">
        <v>212279</v>
      </c>
    </row>
    <row r="230">
      <c r="A230" s="10" t="inlineStr">
        <is>
          <t>2024-02-12</t>
        </is>
      </c>
      <c r="B230" s="10" t="n">
        <v>107579</v>
      </c>
    </row>
    <row r="231">
      <c r="A231" s="10" t="inlineStr">
        <is>
          <t>01 Dec 2024</t>
        </is>
      </c>
      <c r="B231" s="10" t="inlineStr">
        <is>
          <t>Rp 232.695</t>
        </is>
      </c>
    </row>
    <row r="232">
      <c r="A232" s="10" t="inlineStr">
        <is>
          <t>2025-04-24</t>
        </is>
      </c>
      <c r="B232" s="10" t="inlineStr">
        <is>
          <t>Rp 173.544</t>
        </is>
      </c>
    </row>
    <row r="233">
      <c r="A233" s="10" t="inlineStr">
        <is>
          <t>08/12/2025</t>
        </is>
      </c>
      <c r="B233" s="10" t="n">
        <v>198054</v>
      </c>
    </row>
    <row r="234">
      <c r="A234" s="10" t="inlineStr">
        <is>
          <t>03 Oct 2023</t>
        </is>
      </c>
      <c r="B234" s="10" t="inlineStr">
        <is>
          <t>Rp 114.416</t>
        </is>
      </c>
    </row>
    <row r="235">
      <c r="A235" s="10" t="inlineStr">
        <is>
          <t>2025-10-08</t>
        </is>
      </c>
      <c r="B235" s="10" t="inlineStr">
        <is>
          <t>Rp 144.924</t>
        </is>
      </c>
    </row>
    <row r="236">
      <c r="A236" s="10" t="inlineStr">
        <is>
          <t>2024-02-05</t>
        </is>
      </c>
      <c r="B236" s="10" t="inlineStr">
        <is>
          <t>Rp 105.524</t>
        </is>
      </c>
    </row>
    <row r="237">
      <c r="A237" s="10" t="inlineStr">
        <is>
          <t>2024-07-20</t>
        </is>
      </c>
      <c r="B237" s="10" t="n">
        <v>147403</v>
      </c>
    </row>
    <row r="238">
      <c r="A238" s="10" t="inlineStr">
        <is>
          <t>14/12/2024</t>
        </is>
      </c>
      <c r="B238" s="10" t="n">
        <v>221223</v>
      </c>
    </row>
    <row r="239">
      <c r="A239" s="10" t="inlineStr">
        <is>
          <t>16 Feb 2024</t>
        </is>
      </c>
      <c r="B239" s="10" t="n">
        <v>125909</v>
      </c>
    </row>
    <row r="240">
      <c r="A240" s="10" t="inlineStr">
        <is>
          <t>2024-06-07</t>
        </is>
      </c>
      <c r="B240" s="10" t="n">
        <v>125551</v>
      </c>
    </row>
    <row r="241">
      <c r="A241" s="10" t="inlineStr">
        <is>
          <t>18 Jan 2024</t>
        </is>
      </c>
      <c r="B241" s="10" t="n">
        <v>110687</v>
      </c>
    </row>
    <row r="242">
      <c r="A242" s="10" t="inlineStr">
        <is>
          <t>2025-08-25</t>
        </is>
      </c>
      <c r="B242" s="10" t="n">
        <v>117317</v>
      </c>
    </row>
    <row r="243">
      <c r="A243" s="10" t="inlineStr">
        <is>
          <t>2025-01-10</t>
        </is>
      </c>
      <c r="B243" s="10" t="inlineStr">
        <is>
          <t>Rp 129.064</t>
        </is>
      </c>
    </row>
    <row r="244">
      <c r="A244" s="10" t="inlineStr">
        <is>
          <t>2025-06-15</t>
        </is>
      </c>
      <c r="B244" s="10" t="n">
        <v>220435</v>
      </c>
    </row>
    <row r="245">
      <c r="A245" s="10" t="inlineStr">
        <is>
          <t>2024-06-25</t>
        </is>
      </c>
      <c r="B245" s="10" t="n">
        <v>132435</v>
      </c>
    </row>
    <row r="246">
      <c r="A246" s="10" t="inlineStr">
        <is>
          <t>09 Jun 2024</t>
        </is>
      </c>
      <c r="B246" s="10" t="n">
        <v>168253</v>
      </c>
    </row>
    <row r="247">
      <c r="A247" s="10" t="inlineStr">
        <is>
          <t>2025-02-26</t>
        </is>
      </c>
      <c r="B247" s="10" t="inlineStr">
        <is>
          <t>Rp 140.118</t>
        </is>
      </c>
    </row>
    <row r="248">
      <c r="A248" s="10" t="inlineStr">
        <is>
          <t>2026-02-24</t>
        </is>
      </c>
      <c r="B248" s="10" t="n">
        <v>142001</v>
      </c>
    </row>
    <row r="249">
      <c r="A249" s="10" t="inlineStr">
        <is>
          <t>11 Jul 2023</t>
        </is>
      </c>
      <c r="B249" s="10" t="n">
        <v>108097</v>
      </c>
    </row>
    <row r="250">
      <c r="A250" s="10" t="inlineStr">
        <is>
          <t>2023-07-31</t>
        </is>
      </c>
      <c r="B250" s="10" t="n">
        <v>117908</v>
      </c>
    </row>
    <row r="251">
      <c r="A251" s="10" t="inlineStr">
        <is>
          <t>29 Aug 2024</t>
        </is>
      </c>
      <c r="B251" s="10" t="n">
        <v>105501</v>
      </c>
    </row>
    <row r="252">
      <c r="A252" s="10" t="inlineStr">
        <is>
          <t>04 Feb 2026</t>
        </is>
      </c>
      <c r="B252" s="10" t="n">
        <v>135633</v>
      </c>
    </row>
    <row r="253">
      <c r="A253" s="10" t="inlineStr">
        <is>
          <t>2023-10-13</t>
        </is>
      </c>
      <c r="B253" s="10" t="n">
        <v>121993</v>
      </c>
    </row>
    <row r="254">
      <c r="A254" s="10" t="inlineStr">
        <is>
          <t>2023-07-26</t>
        </is>
      </c>
      <c r="B254" s="10" t="n">
        <v>121821</v>
      </c>
    </row>
    <row r="255">
      <c r="A255" s="10" t="inlineStr">
        <is>
          <t>2024-02-02</t>
        </is>
      </c>
      <c r="B255" s="10" t="n">
        <v>108908</v>
      </c>
    </row>
    <row r="256">
      <c r="A256" s="10" t="inlineStr">
        <is>
          <t>2024-02-15</t>
        </is>
      </c>
      <c r="B256" s="10" t="n">
        <v>114925</v>
      </c>
    </row>
    <row r="257">
      <c r="A257" s="10" t="inlineStr">
        <is>
          <t>29 Jan 2025</t>
        </is>
      </c>
      <c r="B257" s="10" t="n">
        <v>123100</v>
      </c>
    </row>
    <row r="258">
      <c r="A258" s="10" t="inlineStr">
        <is>
          <t>2025-03-13</t>
        </is>
      </c>
      <c r="B258" s="10" t="n">
        <v>137142</v>
      </c>
    </row>
    <row r="259">
      <c r="A259" s="10" t="inlineStr">
        <is>
          <t>2026-02-11</t>
        </is>
      </c>
      <c r="B259" s="10" t="inlineStr">
        <is>
          <t>Rp 140.352</t>
        </is>
      </c>
    </row>
    <row r="260">
      <c r="A260" s="10" t="inlineStr">
        <is>
          <t>2023-06-17</t>
        </is>
      </c>
      <c r="B260" s="10" t="inlineStr">
        <is>
          <t>Rp 192.759</t>
        </is>
      </c>
    </row>
    <row r="261">
      <c r="A261" s="10" t="inlineStr">
        <is>
          <t>2024-07-13</t>
        </is>
      </c>
      <c r="B261" s="10" t="n">
        <v>148764</v>
      </c>
    </row>
    <row r="262">
      <c r="A262" s="10" t="inlineStr">
        <is>
          <t>06/01/2024</t>
        </is>
      </c>
      <c r="B262" s="10" t="n">
        <v>134462</v>
      </c>
    </row>
    <row r="263">
      <c r="A263" s="10" t="inlineStr">
        <is>
          <t>2025-07-31</t>
        </is>
      </c>
      <c r="B263" s="10" t="n">
        <v>135476</v>
      </c>
    </row>
    <row r="264">
      <c r="A264" s="10" t="inlineStr">
        <is>
          <t>2024-12-10</t>
        </is>
      </c>
      <c r="B264" s="10" t="n">
        <v>206848</v>
      </c>
    </row>
    <row r="265">
      <c r="A265" s="10" t="inlineStr">
        <is>
          <t>2024-11-07</t>
        </is>
      </c>
      <c r="B265" s="10" t="n">
        <v>165386</v>
      </c>
    </row>
    <row r="266">
      <c r="A266" s="10" t="inlineStr">
        <is>
          <t>07 Sep 2025</t>
        </is>
      </c>
      <c r="B266" s="10" t="n">
        <v>176192</v>
      </c>
    </row>
    <row r="267">
      <c r="A267" s="10" t="inlineStr">
        <is>
          <t>13 Aug 2025</t>
        </is>
      </c>
      <c r="B267" s="10" t="n">
        <v>120298</v>
      </c>
    </row>
    <row r="268">
      <c r="A268" s="10" t="inlineStr">
        <is>
          <t>2023-09-12</t>
        </is>
      </c>
      <c r="B268" s="10" t="n">
        <v>113444</v>
      </c>
    </row>
    <row r="269">
      <c r="A269" s="10" t="inlineStr">
        <is>
          <t>2023-06-19</t>
        </is>
      </c>
      <c r="B269" s="10" t="n">
        <v>117739</v>
      </c>
    </row>
    <row r="270">
      <c r="A270" s="10" t="inlineStr">
        <is>
          <t>22 Aug 2024</t>
        </is>
      </c>
      <c r="B270" s="10" t="n">
        <v>102112</v>
      </c>
    </row>
    <row r="271">
      <c r="A271" s="10" t="inlineStr">
        <is>
          <t>2024-10-13</t>
        </is>
      </c>
      <c r="B271" s="10" t="inlineStr">
        <is>
          <t>Rp 168.946</t>
        </is>
      </c>
    </row>
    <row r="272">
      <c r="A272" s="10" t="inlineStr">
        <is>
          <t>2025-11-06</t>
        </is>
      </c>
      <c r="B272" s="10" t="n"/>
    </row>
    <row r="273">
      <c r="A273" s="10" t="inlineStr">
        <is>
          <t>2025-06-23</t>
        </is>
      </c>
      <c r="B273" s="10" t="n">
        <v>168843</v>
      </c>
    </row>
    <row r="274">
      <c r="A274" s="10" t="inlineStr">
        <is>
          <t>2025-03-20</t>
        </is>
      </c>
      <c r="B274" s="10" t="n">
        <v>129955</v>
      </c>
    </row>
    <row r="275">
      <c r="A275" s="10" t="inlineStr">
        <is>
          <t>2023-10-05</t>
        </is>
      </c>
      <c r="B275" s="10" t="n">
        <v>128821</v>
      </c>
    </row>
    <row r="276">
      <c r="A276" s="10" t="inlineStr">
        <is>
          <t>15 Oct 2024</t>
        </is>
      </c>
      <c r="B276" s="10" t="n">
        <v>140870</v>
      </c>
    </row>
    <row r="277">
      <c r="A277" s="10" t="inlineStr">
        <is>
          <t>13/04/2024</t>
        </is>
      </c>
      <c r="B277" s="10" t="n">
        <v>179450</v>
      </c>
    </row>
    <row r="278">
      <c r="A278" s="10" t="inlineStr">
        <is>
          <t>2026-02-08</t>
        </is>
      </c>
      <c r="B278" s="10" t="n">
        <v>183915</v>
      </c>
    </row>
    <row r="279">
      <c r="A279" s="10" t="inlineStr">
        <is>
          <t>2023-10-24</t>
        </is>
      </c>
      <c r="B279" s="10" t="n">
        <v>98745</v>
      </c>
    </row>
    <row r="280">
      <c r="A280" s="10" t="inlineStr">
        <is>
          <t>2023-07-15</t>
        </is>
      </c>
      <c r="B280" s="10" t="inlineStr">
        <is>
          <t>Rp 154.467</t>
        </is>
      </c>
    </row>
    <row r="281">
      <c r="A281" s="10" t="inlineStr">
        <is>
          <t>2025-04-04</t>
        </is>
      </c>
      <c r="B281" s="10" t="n">
        <v>196991</v>
      </c>
    </row>
    <row r="282">
      <c r="A282" s="10" t="inlineStr">
        <is>
          <t>2024-09-07</t>
        </is>
      </c>
      <c r="B282" s="10" t="n">
        <v>197342</v>
      </c>
    </row>
    <row r="283">
      <c r="A283" s="10" t="inlineStr">
        <is>
          <t>16 May 2024</t>
        </is>
      </c>
      <c r="B283" s="10" t="n">
        <v>158496</v>
      </c>
    </row>
    <row r="284">
      <c r="A284" s="10" t="inlineStr">
        <is>
          <t>2024-10-06</t>
        </is>
      </c>
      <c r="B284" s="10" t="n">
        <v>149737</v>
      </c>
    </row>
    <row r="285">
      <c r="A285" s="10" t="inlineStr">
        <is>
          <t>2025-04-05</t>
        </is>
      </c>
      <c r="B285" s="10" t="n">
        <v>203010</v>
      </c>
    </row>
    <row r="286">
      <c r="A286" s="10" t="inlineStr">
        <is>
          <t>2023-06-18</t>
        </is>
      </c>
      <c r="B286" s="10" t="n">
        <v>154420</v>
      </c>
    </row>
    <row r="287">
      <c r="A287" s="10" t="inlineStr">
        <is>
          <t>2025-06-27</t>
        </is>
      </c>
      <c r="B287" s="10" t="n">
        <v>175953</v>
      </c>
    </row>
    <row r="288">
      <c r="A288" s="10" t="inlineStr">
        <is>
          <t>2023-07-25</t>
        </is>
      </c>
      <c r="B288" s="10" t="n">
        <v>101075</v>
      </c>
    </row>
    <row r="289">
      <c r="A289" s="10" t="inlineStr">
        <is>
          <t>2025-05-09</t>
        </is>
      </c>
      <c r="B289" s="10" t="n">
        <v>246292</v>
      </c>
    </row>
    <row r="290">
      <c r="A290" s="10" t="inlineStr">
        <is>
          <t>2025-05-13</t>
        </is>
      </c>
      <c r="B290" s="10" t="n">
        <v>235150</v>
      </c>
    </row>
    <row r="291">
      <c r="A291" s="10" t="inlineStr">
        <is>
          <t>2025-12-07</t>
        </is>
      </c>
      <c r="B291" s="10" t="n">
        <v>270504</v>
      </c>
    </row>
    <row r="292">
      <c r="A292" s="10" t="inlineStr">
        <is>
          <t>2024-02-07</t>
        </is>
      </c>
      <c r="B292" s="10" t="n">
        <v>92363</v>
      </c>
    </row>
    <row r="293">
      <c r="A293" s="10" t="inlineStr">
        <is>
          <t>2023-08-08</t>
        </is>
      </c>
      <c r="B293" s="10" t="n">
        <v>88689</v>
      </c>
    </row>
    <row r="294">
      <c r="A294" s="10" t="inlineStr">
        <is>
          <t>19/06/2024</t>
        </is>
      </c>
      <c r="B294" s="10" t="n">
        <v>139374</v>
      </c>
    </row>
    <row r="295">
      <c r="A295" s="10" t="inlineStr">
        <is>
          <t>18 Apr 2025</t>
        </is>
      </c>
      <c r="B295" s="10" t="n">
        <v>173488</v>
      </c>
    </row>
    <row r="296">
      <c r="A296" s="10" t="inlineStr">
        <is>
          <t>2025-10-02</t>
        </is>
      </c>
      <c r="B296" s="10" t="n">
        <v>157108</v>
      </c>
    </row>
    <row r="297">
      <c r="A297" s="10" t="inlineStr">
        <is>
          <t>2024-08-19</t>
        </is>
      </c>
      <c r="B297" s="10" t="inlineStr">
        <is>
          <t>Rp 116.117</t>
        </is>
      </c>
    </row>
    <row r="298">
      <c r="A298" s="10" t="inlineStr">
        <is>
          <t>2025-11-22</t>
        </is>
      </c>
      <c r="B298" s="10" t="inlineStr">
        <is>
          <t>Rp 249.780</t>
        </is>
      </c>
    </row>
    <row r="299">
      <c r="A299" s="10" t="inlineStr">
        <is>
          <t>2024-11-20</t>
        </is>
      </c>
      <c r="B299" s="10" t="n">
        <v>201085</v>
      </c>
    </row>
    <row r="300">
      <c r="A300" s="10" t="inlineStr">
        <is>
          <t>20 Apr 2026</t>
        </is>
      </c>
      <c r="B300" s="10" t="n">
        <v>185507</v>
      </c>
    </row>
    <row r="301">
      <c r="A301" s="10" t="inlineStr">
        <is>
          <t>2026-01-24</t>
        </is>
      </c>
      <c r="B301" s="10" t="inlineStr">
        <is>
          <t>Rp 163.600</t>
        </is>
      </c>
    </row>
    <row r="302">
      <c r="A302" s="10" t="inlineStr">
        <is>
          <t>05/05/2025</t>
        </is>
      </c>
      <c r="B302" s="10" t="n">
        <v>250647</v>
      </c>
    </row>
    <row r="303">
      <c r="A303" s="10" t="inlineStr">
        <is>
          <t>03/07/2023</t>
        </is>
      </c>
      <c r="B303" s="10" t="n"/>
    </row>
    <row r="304">
      <c r="A304" s="10" t="inlineStr">
        <is>
          <t>2026-03-21</t>
        </is>
      </c>
      <c r="B304" s="10" t="n">
        <v>217458</v>
      </c>
    </row>
    <row r="305">
      <c r="A305" s="10" t="inlineStr">
        <is>
          <t>2023-12-31</t>
        </is>
      </c>
      <c r="B305" s="10" t="n">
        <v>203607</v>
      </c>
    </row>
    <row r="306">
      <c r="A306" s="10" t="inlineStr">
        <is>
          <t>2026-01-04</t>
        </is>
      </c>
      <c r="B306" s="10" t="n">
        <v>158816</v>
      </c>
    </row>
    <row r="307">
      <c r="A307" s="10" t="inlineStr">
        <is>
          <t>18/07/2023</t>
        </is>
      </c>
      <c r="B307" s="10" t="n">
        <v>88583</v>
      </c>
    </row>
    <row r="308">
      <c r="A308" s="10" t="inlineStr">
        <is>
          <t>2024-03-08</t>
        </is>
      </c>
      <c r="B308" s="10" t="inlineStr">
        <is>
          <t>Rp 108.608</t>
        </is>
      </c>
    </row>
    <row r="309">
      <c r="A309" s="10" t="inlineStr">
        <is>
          <t>29 Oct 2024</t>
        </is>
      </c>
      <c r="B309" s="10" t="n">
        <v>158973</v>
      </c>
    </row>
    <row r="310">
      <c r="A310" s="10" t="inlineStr">
        <is>
          <t>2026-03-10</t>
        </is>
      </c>
      <c r="B310" s="10" t="n">
        <v>148287</v>
      </c>
    </row>
    <row r="311">
      <c r="A311" s="10" t="inlineStr">
        <is>
          <t>14 Jan 2026</t>
        </is>
      </c>
      <c r="B311" s="10" t="n">
        <v>125797</v>
      </c>
    </row>
    <row r="312">
      <c r="A312" s="10" t="inlineStr">
        <is>
          <t>03/05/2024</t>
        </is>
      </c>
      <c r="B312" s="10" t="n">
        <v>193816</v>
      </c>
    </row>
    <row r="313">
      <c r="A313" s="10" t="inlineStr">
        <is>
          <t>2026-03-08</t>
        </is>
      </c>
      <c r="B313" s="10" t="n">
        <v>187270</v>
      </c>
    </row>
    <row r="314">
      <c r="A314" s="10" t="inlineStr">
        <is>
          <t>2025-07-15</t>
        </is>
      </c>
      <c r="B314" s="10" t="n">
        <v>121519</v>
      </c>
    </row>
    <row r="315">
      <c r="A315" s="10" t="inlineStr">
        <is>
          <t>2024-10-23</t>
        </is>
      </c>
      <c r="B315" s="10" t="n">
        <v>121667</v>
      </c>
    </row>
    <row r="316">
      <c r="A316" s="10" t="inlineStr">
        <is>
          <t>2025-12-23</t>
        </is>
      </c>
      <c r="B316" s="10" t="n">
        <v>200933</v>
      </c>
    </row>
    <row r="317">
      <c r="A317" s="10" t="inlineStr">
        <is>
          <t>2024-06-03</t>
        </is>
      </c>
      <c r="B317" s="10" t="n">
        <v>128507</v>
      </c>
    </row>
    <row r="318">
      <c r="A318" s="10" t="inlineStr">
        <is>
          <t>2023-12-25</t>
        </is>
      </c>
      <c r="B318" s="10" t="n">
        <v>156565</v>
      </c>
    </row>
    <row r="319">
      <c r="A319" s="10" t="inlineStr">
        <is>
          <t>2026-04-24</t>
        </is>
      </c>
      <c r="B319" s="10" t="n">
        <v>175572</v>
      </c>
    </row>
    <row r="320">
      <c r="A320" s="10" t="inlineStr">
        <is>
          <t>2024-11-01</t>
        </is>
      </c>
      <c r="B320" s="10" t="n">
        <v>183283</v>
      </c>
    </row>
    <row r="321">
      <c r="A321" s="10" t="inlineStr">
        <is>
          <t>2025-07-17</t>
        </is>
      </c>
      <c r="B321" s="10" t="n">
        <v>149302</v>
      </c>
    </row>
    <row r="322">
      <c r="A322" s="10" t="inlineStr">
        <is>
          <t>2023-09-06</t>
        </is>
      </c>
      <c r="B322" s="10" t="n">
        <v>126594</v>
      </c>
    </row>
    <row r="323">
      <c r="A323" s="10" t="inlineStr">
        <is>
          <t>2025-12-02</t>
        </is>
      </c>
      <c r="B323" s="10" t="n">
        <v>247912</v>
      </c>
    </row>
    <row r="324">
      <c r="A324" s="10" t="inlineStr">
        <is>
          <t>2024-12-18</t>
        </is>
      </c>
      <c r="B324" s="10" t="n">
        <v>172605</v>
      </c>
    </row>
    <row r="325">
      <c r="A325" s="10" t="inlineStr">
        <is>
          <t>2026-03-31</t>
        </is>
      </c>
      <c r="B325" s="10" t="n">
        <v>141622</v>
      </c>
    </row>
    <row r="326">
      <c r="A326" s="10" t="inlineStr">
        <is>
          <t>19 Aug 2025</t>
        </is>
      </c>
      <c r="B326" s="10" t="n">
        <v>115056</v>
      </c>
    </row>
    <row r="327">
      <c r="A327" s="10" t="inlineStr">
        <is>
          <t>22 Oct 2025</t>
        </is>
      </c>
      <c r="B327" s="10" t="n">
        <v>160024</v>
      </c>
    </row>
    <row r="328">
      <c r="A328" s="10" t="inlineStr">
        <is>
          <t>16/11/2024</t>
        </is>
      </c>
      <c r="B328" s="10" t="n">
        <v>216970</v>
      </c>
    </row>
    <row r="329">
      <c r="A329" s="10" t="inlineStr">
        <is>
          <t>05 Aug 2025</t>
        </is>
      </c>
      <c r="B329" s="10" t="n">
        <v>133750</v>
      </c>
    </row>
    <row r="330">
      <c r="A330" s="10" t="inlineStr">
        <is>
          <t>2024-09-18</t>
        </is>
      </c>
      <c r="B330" s="10" t="n">
        <v>163493</v>
      </c>
    </row>
    <row r="331">
      <c r="A331" s="10" t="inlineStr">
        <is>
          <t>2025-03-12</t>
        </is>
      </c>
      <c r="B331" s="10" t="n">
        <v>128941</v>
      </c>
    </row>
    <row r="332">
      <c r="A332" s="10" t="inlineStr">
        <is>
          <t>2025-10-06</t>
        </is>
      </c>
      <c r="B332" s="10" t="n">
        <v>171870</v>
      </c>
    </row>
    <row r="333">
      <c r="A333" s="10" t="inlineStr">
        <is>
          <t>25/10/2024</t>
        </is>
      </c>
      <c r="B333" s="10" t="n">
        <v>148134</v>
      </c>
    </row>
    <row r="334">
      <c r="A334" s="10" t="inlineStr">
        <is>
          <t>2026-05-14</t>
        </is>
      </c>
      <c r="B334" s="10" t="inlineStr">
        <is>
          <t>Rp 220.375</t>
        </is>
      </c>
    </row>
    <row r="335">
      <c r="A335" s="10" t="inlineStr">
        <is>
          <t>21/08/2023</t>
        </is>
      </c>
      <c r="B335" s="10" t="n">
        <v>85698</v>
      </c>
    </row>
    <row r="336">
      <c r="A336" s="10" t="inlineStr">
        <is>
          <t>2025-10-04</t>
        </is>
      </c>
      <c r="B336" s="10" t="n">
        <v>233677</v>
      </c>
    </row>
    <row r="337">
      <c r="A337" s="10" t="inlineStr">
        <is>
          <t>2025-03-23</t>
        </is>
      </c>
      <c r="B337" s="10" t="inlineStr">
        <is>
          <t>Rp 154.108</t>
        </is>
      </c>
    </row>
    <row r="338">
      <c r="A338" s="10" t="inlineStr">
        <is>
          <t>2024-03-11</t>
        </is>
      </c>
      <c r="B338" s="10" t="n">
        <v>122410</v>
      </c>
    </row>
    <row r="339">
      <c r="A339" s="10" t="inlineStr">
        <is>
          <t>2024-07-16</t>
        </is>
      </c>
      <c r="B339" s="10" t="n">
        <v>122368</v>
      </c>
    </row>
    <row r="340">
      <c r="A340" s="10" t="inlineStr">
        <is>
          <t>16 May 2026</t>
        </is>
      </c>
      <c r="B340" s="10" t="n">
        <v>307531</v>
      </c>
    </row>
    <row r="341">
      <c r="A341" s="10" t="inlineStr">
        <is>
          <t>2024-08-25</t>
        </is>
      </c>
      <c r="B341" s="10" t="n">
        <v>130547</v>
      </c>
    </row>
    <row r="342">
      <c r="A342" s="10" t="inlineStr">
        <is>
          <t>20/12/2024</t>
        </is>
      </c>
      <c r="B342" s="10" t="n">
        <v>249545</v>
      </c>
    </row>
    <row r="343">
      <c r="A343" s="10" t="inlineStr">
        <is>
          <t>28 Sep 2024</t>
        </is>
      </c>
      <c r="B343" s="10" t="n">
        <v>162362</v>
      </c>
    </row>
    <row r="344">
      <c r="A344" s="10" t="inlineStr">
        <is>
          <t>2024-01-24</t>
        </is>
      </c>
      <c r="B344" s="10" t="n">
        <v>105411</v>
      </c>
    </row>
    <row r="345">
      <c r="A345" s="10" t="inlineStr">
        <is>
          <t>2023-12-28</t>
        </is>
      </c>
      <c r="B345" s="10" t="n">
        <v>170698</v>
      </c>
    </row>
    <row r="346">
      <c r="A346" s="10" t="inlineStr">
        <is>
          <t>14/02/2025</t>
        </is>
      </c>
      <c r="B346" s="10" t="n">
        <v>141347</v>
      </c>
    </row>
    <row r="347">
      <c r="A347" s="10" t="inlineStr">
        <is>
          <t>2025-09-21</t>
        </is>
      </c>
      <c r="B347" s="10" t="n">
        <v>173136</v>
      </c>
    </row>
    <row r="348">
      <c r="A348" s="10" t="inlineStr">
        <is>
          <t>2024-05-08</t>
        </is>
      </c>
      <c r="B348" s="10" t="n">
        <v>153024</v>
      </c>
    </row>
    <row r="349">
      <c r="A349" s="10" t="inlineStr">
        <is>
          <t>2025-08-07</t>
        </is>
      </c>
      <c r="B349" s="10" t="n">
        <v>113389</v>
      </c>
    </row>
    <row r="350">
      <c r="A350" s="10" t="inlineStr">
        <is>
          <t>2023-10-20</t>
        </is>
      </c>
      <c r="B350" s="10" t="inlineStr">
        <is>
          <t>Rp 116.426</t>
        </is>
      </c>
    </row>
    <row r="351">
      <c r="A351" s="10" t="inlineStr">
        <is>
          <t>2026-03-20</t>
        </is>
      </c>
      <c r="B351" s="10" t="n">
        <v>156010</v>
      </c>
    </row>
    <row r="352">
      <c r="A352" s="10" t="inlineStr">
        <is>
          <t>2024-04-26</t>
        </is>
      </c>
      <c r="B352" s="10" t="n">
        <v>146256</v>
      </c>
    </row>
    <row r="353">
      <c r="A353" s="10" t="inlineStr">
        <is>
          <t>2025-05-23</t>
        </is>
      </c>
      <c r="B353" s="10" t="n">
        <v>235818</v>
      </c>
    </row>
    <row r="354">
      <c r="A354" s="10" t="inlineStr">
        <is>
          <t>2026-05-08</t>
        </is>
      </c>
      <c r="B354" s="10" t="n">
        <v>287637</v>
      </c>
    </row>
    <row r="355">
      <c r="A355" s="10" t="inlineStr">
        <is>
          <t>01/01/2025</t>
        </is>
      </c>
      <c r="B355" s="10" t="n">
        <v>134740</v>
      </c>
    </row>
    <row r="356">
      <c r="A356" s="10" t="inlineStr">
        <is>
          <t>2024-02-25</t>
        </is>
      </c>
      <c r="B356" s="10" t="n">
        <v>105271</v>
      </c>
    </row>
    <row r="357">
      <c r="A357" s="10" t="inlineStr">
        <is>
          <t>2023-11-18</t>
        </is>
      </c>
      <c r="B357" s="10" t="inlineStr">
        <is>
          <t>Rp 156.041</t>
        </is>
      </c>
    </row>
    <row r="358">
      <c r="A358" s="10" t="inlineStr">
        <is>
          <t>21 Jan 2025</t>
        </is>
      </c>
      <c r="B358" s="10" t="inlineStr">
        <is>
          <t>Rp 140.315</t>
        </is>
      </c>
    </row>
    <row r="359">
      <c r="A359" s="10" t="inlineStr">
        <is>
          <t>2025-07-05</t>
        </is>
      </c>
      <c r="B359" s="10" t="n">
        <v>175561</v>
      </c>
    </row>
    <row r="360">
      <c r="A360" s="10" t="inlineStr">
        <is>
          <t>2026-02-19</t>
        </is>
      </c>
      <c r="B360" s="10" t="n">
        <v>146624</v>
      </c>
    </row>
    <row r="361">
      <c r="A361" s="10" t="inlineStr">
        <is>
          <t>2024-07-23</t>
        </is>
      </c>
      <c r="B361" s="10" t="inlineStr">
        <is>
          <t>Rp 102.675</t>
        </is>
      </c>
    </row>
    <row r="362">
      <c r="A362" s="10" t="inlineStr">
        <is>
          <t>21 Jan 2026</t>
        </is>
      </c>
      <c r="B362" s="10" t="n">
        <v>131581</v>
      </c>
    </row>
    <row r="363">
      <c r="A363" s="10" t="inlineStr">
        <is>
          <t>2025-09-28</t>
        </is>
      </c>
      <c r="B363" s="10" t="n">
        <v>179062</v>
      </c>
    </row>
    <row r="364">
      <c r="A364" s="10" t="inlineStr">
        <is>
          <t>2025-05-31</t>
        </is>
      </c>
      <c r="B364" s="10" t="n">
        <v>339156</v>
      </c>
    </row>
    <row r="365">
      <c r="A365" s="10" t="inlineStr">
        <is>
          <t>03/03/2026</t>
        </is>
      </c>
      <c r="B365" s="10" t="n">
        <v>166714</v>
      </c>
    </row>
    <row r="366">
      <c r="A366" s="10" t="inlineStr">
        <is>
          <t>05/08/2024</t>
        </is>
      </c>
      <c r="B366" s="10" t="n">
        <v>96320</v>
      </c>
    </row>
    <row r="367">
      <c r="A367" s="10" t="inlineStr">
        <is>
          <t>09 Oct 2023</t>
        </is>
      </c>
      <c r="B367" s="10" t="n">
        <v>106086</v>
      </c>
    </row>
    <row r="368">
      <c r="A368" s="10" t="inlineStr">
        <is>
          <t>14/09/2024</t>
        </is>
      </c>
      <c r="B368" s="10" t="n">
        <v>161574</v>
      </c>
    </row>
    <row r="369">
      <c r="A369" s="10" t="inlineStr">
        <is>
          <t>17 Dec 2023</t>
        </is>
      </c>
      <c r="B369" s="10" t="n">
        <v>222626</v>
      </c>
    </row>
    <row r="370">
      <c r="A370" s="10" t="inlineStr">
        <is>
          <t>28/04/2026</t>
        </is>
      </c>
      <c r="B370" s="10" t="inlineStr">
        <is>
          <t>Rp 191.603</t>
        </is>
      </c>
    </row>
    <row r="371">
      <c r="A371" s="10" t="inlineStr">
        <is>
          <t>2026-02-05</t>
        </is>
      </c>
      <c r="B371" s="10" t="n">
        <v>154587</v>
      </c>
    </row>
    <row r="372">
      <c r="A372" s="10" t="inlineStr">
        <is>
          <t>2025-07-14</t>
        </is>
      </c>
      <c r="B372" s="10" t="n">
        <v>134832</v>
      </c>
    </row>
    <row r="373">
      <c r="A373" s="10" t="inlineStr">
        <is>
          <t>2023-06-26</t>
        </is>
      </c>
      <c r="B373" s="10" t="n">
        <v>152468</v>
      </c>
    </row>
    <row r="374">
      <c r="A374" s="10" t="inlineStr">
        <is>
          <t>2023-09-08</t>
        </is>
      </c>
      <c r="B374" s="10" t="n">
        <v>139693</v>
      </c>
    </row>
    <row r="375">
      <c r="A375" s="10" t="inlineStr">
        <is>
          <t>11/10/2024</t>
        </is>
      </c>
      <c r="B375" s="10" t="n">
        <v>142323</v>
      </c>
    </row>
    <row r="376">
      <c r="A376" s="10" t="inlineStr">
        <is>
          <t>2023-06-05</t>
        </is>
      </c>
      <c r="B376" s="10" t="n">
        <v>132705</v>
      </c>
    </row>
    <row r="377">
      <c r="A377" s="10" t="inlineStr">
        <is>
          <t>2024-09-22</t>
        </is>
      </c>
      <c r="B377" s="10" t="n">
        <v>197168</v>
      </c>
    </row>
    <row r="378">
      <c r="A378" s="10" t="inlineStr">
        <is>
          <t>12/07/2023</t>
        </is>
      </c>
      <c r="B378" s="10" t="n">
        <v>92101</v>
      </c>
    </row>
    <row r="379">
      <c r="A379" s="10" t="inlineStr">
        <is>
          <t>2023-07-22</t>
        </is>
      </c>
      <c r="B379" s="10" t="n">
        <v>121131</v>
      </c>
    </row>
    <row r="380">
      <c r="A380" s="10" t="inlineStr">
        <is>
          <t>2024-05-28</t>
        </is>
      </c>
      <c r="B380" s="10" t="n">
        <v>145697</v>
      </c>
    </row>
    <row r="381">
      <c r="A381" s="10" t="inlineStr">
        <is>
          <t>2025-12-10</t>
        </is>
      </c>
      <c r="B381" s="10" t="inlineStr">
        <is>
          <t>Rp 211.625</t>
        </is>
      </c>
    </row>
    <row r="382">
      <c r="A382" s="10" t="inlineStr">
        <is>
          <t>2026-02-10</t>
        </is>
      </c>
      <c r="B382" s="10" t="n">
        <v>124407</v>
      </c>
    </row>
    <row r="383">
      <c r="A383" s="10" t="inlineStr">
        <is>
          <t>04 Jun 2023</t>
        </is>
      </c>
      <c r="B383" s="10" t="n">
        <v>145630</v>
      </c>
    </row>
    <row r="384">
      <c r="A384" s="10" t="inlineStr">
        <is>
          <t>2025-07-13</t>
        </is>
      </c>
      <c r="B384" s="10" t="n">
        <v>149575</v>
      </c>
    </row>
    <row r="385">
      <c r="A385" s="10" t="inlineStr">
        <is>
          <t>2026-01-10</t>
        </is>
      </c>
      <c r="B385" s="10" t="inlineStr">
        <is>
          <t>Rp 167.234</t>
        </is>
      </c>
    </row>
    <row r="386">
      <c r="A386" s="10" t="inlineStr">
        <is>
          <t>31/10/2023</t>
        </is>
      </c>
      <c r="B386" s="10" t="n"/>
    </row>
    <row r="387">
      <c r="A387" s="10" t="inlineStr">
        <is>
          <t>2025-02-04</t>
        </is>
      </c>
      <c r="B387" s="10" t="n">
        <v>122401</v>
      </c>
    </row>
    <row r="388">
      <c r="A388" s="10" t="inlineStr">
        <is>
          <t>27/12/2025</t>
        </is>
      </c>
      <c r="B388" s="10" t="n">
        <v>290034</v>
      </c>
    </row>
    <row r="389">
      <c r="A389" s="10" t="inlineStr">
        <is>
          <t>2023-10-25</t>
        </is>
      </c>
      <c r="B389" s="10" t="n">
        <v>118054</v>
      </c>
    </row>
    <row r="390">
      <c r="A390" s="10" t="inlineStr">
        <is>
          <t>2025-11-05</t>
        </is>
      </c>
      <c r="B390" s="10" t="n">
        <v>182086</v>
      </c>
    </row>
    <row r="391">
      <c r="A391" s="10" t="inlineStr">
        <is>
          <t>2023-08-30</t>
        </is>
      </c>
      <c r="B391" s="10" t="n">
        <v>109028</v>
      </c>
    </row>
    <row r="392">
      <c r="A392" s="10" t="inlineStr">
        <is>
          <t>03/05/2026</t>
        </is>
      </c>
      <c r="B392" s="10" t="n">
        <v>262821</v>
      </c>
    </row>
    <row r="393">
      <c r="A393" s="10" t="inlineStr">
        <is>
          <t>12 Dec 2023</t>
        </is>
      </c>
      <c r="B393" s="10" t="n">
        <v>158370</v>
      </c>
    </row>
    <row r="394">
      <c r="A394" s="10" t="inlineStr">
        <is>
          <t>06 Mar 2026</t>
        </is>
      </c>
      <c r="B394" s="10" t="n">
        <v>151668</v>
      </c>
    </row>
    <row r="395">
      <c r="A395" s="10" t="inlineStr">
        <is>
          <t>26 Dec 2024</t>
        </is>
      </c>
      <c r="B395" s="10" t="n">
        <v>192896</v>
      </c>
    </row>
    <row r="396">
      <c r="A396" s="10" t="inlineStr">
        <is>
          <t>2024-12-17</t>
        </is>
      </c>
      <c r="B396" s="10" t="n">
        <v>165500</v>
      </c>
    </row>
    <row r="397">
      <c r="A397" s="10" t="inlineStr">
        <is>
          <t>2025-03-24</t>
        </is>
      </c>
      <c r="B397" s="10" t="inlineStr">
        <is>
          <t>Rp 121.129</t>
        </is>
      </c>
    </row>
    <row r="398">
      <c r="A398" s="10" t="inlineStr">
        <is>
          <t>2025-09-24</t>
        </is>
      </c>
      <c r="B398" s="10" t="n"/>
    </row>
    <row r="399">
      <c r="A399" s="10" t="inlineStr">
        <is>
          <t>2024-05-11</t>
        </is>
      </c>
      <c r="B399" s="10" t="inlineStr">
        <is>
          <t>Rp 191.154</t>
        </is>
      </c>
    </row>
    <row r="400">
      <c r="A400" s="10" t="inlineStr">
        <is>
          <t>2023-07-08</t>
        </is>
      </c>
      <c r="B400" s="10" t="n">
        <v>125500</v>
      </c>
    </row>
    <row r="401">
      <c r="A401" s="10" t="inlineStr">
        <is>
          <t>27 Aug 2023</t>
        </is>
      </c>
      <c r="B401" s="10" t="inlineStr">
        <is>
          <t>Rp 125.917</t>
        </is>
      </c>
    </row>
    <row r="402">
      <c r="A402" s="10" t="inlineStr">
        <is>
          <t>2026-01-07</t>
        </is>
      </c>
      <c r="B402" s="10" t="n">
        <v>116855</v>
      </c>
    </row>
    <row r="403">
      <c r="A403" s="10" t="inlineStr">
        <is>
          <t>30/04/2025</t>
        </is>
      </c>
      <c r="B403" s="10" t="n">
        <v>144227</v>
      </c>
    </row>
    <row r="404">
      <c r="A404" s="10" t="inlineStr">
        <is>
          <t>2025-03-15</t>
        </is>
      </c>
      <c r="B404" s="10" t="n">
        <v>173285</v>
      </c>
    </row>
    <row r="405">
      <c r="A405" s="10" t="inlineStr">
        <is>
          <t>2025-03-29</t>
        </is>
      </c>
      <c r="B405" s="10" t="inlineStr">
        <is>
          <t>Rp 194.300</t>
        </is>
      </c>
    </row>
    <row r="406">
      <c r="A406" s="10" t="inlineStr">
        <is>
          <t>10 Oct 2023</t>
        </is>
      </c>
      <c r="B406" s="10" t="n">
        <v>104920</v>
      </c>
    </row>
    <row r="407">
      <c r="A407" s="10" t="inlineStr">
        <is>
          <t>2025-07-27</t>
        </is>
      </c>
      <c r="B407" s="10" t="n">
        <v>140749</v>
      </c>
    </row>
    <row r="408">
      <c r="A408" s="10" t="inlineStr">
        <is>
          <t>2024-02-10</t>
        </is>
      </c>
      <c r="B408" s="10" t="n">
        <v>132190</v>
      </c>
    </row>
    <row r="409">
      <c r="A409" s="10" t="inlineStr">
        <is>
          <t>12/03/2026</t>
        </is>
      </c>
      <c r="B409" s="10" t="n">
        <v>155465</v>
      </c>
    </row>
    <row r="410">
      <c r="A410" s="10" t="inlineStr">
        <is>
          <t>2026-05-06</t>
        </is>
      </c>
      <c r="B410" s="10" t="n">
        <v>222133</v>
      </c>
    </row>
    <row r="411">
      <c r="A411" s="10" t="inlineStr">
        <is>
          <t>2025-06-18</t>
        </is>
      </c>
      <c r="B411" s="10" t="n">
        <v>185110</v>
      </c>
    </row>
    <row r="412">
      <c r="A412" s="10" t="inlineStr">
        <is>
          <t>2025-03-10</t>
        </is>
      </c>
      <c r="B412" s="10" t="n">
        <v>137726</v>
      </c>
    </row>
    <row r="413">
      <c r="A413" s="10" t="inlineStr">
        <is>
          <t>2025-07-04</t>
        </is>
      </c>
      <c r="B413" s="10" t="n">
        <v>164445</v>
      </c>
    </row>
    <row r="414">
      <c r="A414" s="10" t="inlineStr">
        <is>
          <t>2024-09-19</t>
        </is>
      </c>
      <c r="B414" s="10" t="n">
        <v>147266</v>
      </c>
    </row>
    <row r="415">
      <c r="A415" s="10" t="inlineStr">
        <is>
          <t>02 Dec 2024</t>
        </is>
      </c>
      <c r="B415" s="10" t="n">
        <v>214388</v>
      </c>
    </row>
    <row r="416">
      <c r="A416" s="10" t="inlineStr">
        <is>
          <t>2025-12-24</t>
        </is>
      </c>
      <c r="B416" s="10" t="n">
        <v>200726</v>
      </c>
    </row>
    <row r="417">
      <c r="A417" s="10" t="inlineStr">
        <is>
          <t>14/12/2023</t>
        </is>
      </c>
      <c r="B417" s="10" t="n">
        <v>157083</v>
      </c>
    </row>
    <row r="418">
      <c r="A418" s="10" t="inlineStr">
        <is>
          <t>2025-01-27</t>
        </is>
      </c>
      <c r="B418" s="10" t="n">
        <v>130753</v>
      </c>
    </row>
    <row r="419">
      <c r="A419" s="10" t="inlineStr">
        <is>
          <t>2025-01-28</t>
        </is>
      </c>
      <c r="B419" s="10" t="n">
        <v>136705</v>
      </c>
    </row>
    <row r="420">
      <c r="A420" s="10" t="inlineStr">
        <is>
          <t>2023-07-05</t>
        </is>
      </c>
      <c r="B420" s="10" t="n">
        <v>96277</v>
      </c>
    </row>
    <row r="421">
      <c r="A421" s="10" t="inlineStr">
        <is>
          <t>09 Dec 2023</t>
        </is>
      </c>
      <c r="B421" s="10" t="n">
        <v>212309</v>
      </c>
    </row>
    <row r="422">
      <c r="A422" s="10" t="inlineStr">
        <is>
          <t>2026-01-22</t>
        </is>
      </c>
      <c r="B422" s="10" t="n">
        <v>145228</v>
      </c>
    </row>
    <row r="423">
      <c r="A423" s="10" t="inlineStr">
        <is>
          <t>2023-06-15</t>
        </is>
      </c>
      <c r="B423" s="10" t="n">
        <v>134914</v>
      </c>
    </row>
    <row r="424">
      <c r="A424" s="10" t="inlineStr">
        <is>
          <t>2023-06-22</t>
        </is>
      </c>
      <c r="B424" s="10" t="inlineStr">
        <is>
          <t>Rp 129.975</t>
        </is>
      </c>
    </row>
    <row r="425">
      <c r="A425" s="10" t="inlineStr">
        <is>
          <t>2024-04-08</t>
        </is>
      </c>
      <c r="B425" s="10" t="inlineStr">
        <is>
          <t>Rp 119.560</t>
        </is>
      </c>
    </row>
    <row r="426">
      <c r="A426" s="10" t="inlineStr">
        <is>
          <t>04 Jan 2025</t>
        </is>
      </c>
      <c r="B426" s="10" t="n">
        <v>168093</v>
      </c>
    </row>
    <row r="427">
      <c r="A427" s="10" t="inlineStr">
        <is>
          <t>2025-05-22</t>
        </is>
      </c>
      <c r="B427" s="10" t="n">
        <v>211219</v>
      </c>
    </row>
    <row r="428">
      <c r="A428" s="10" t="inlineStr">
        <is>
          <t>2024-11-25</t>
        </is>
      </c>
      <c r="B428" s="10" t="n">
        <v>190564</v>
      </c>
    </row>
    <row r="429">
      <c r="A429" s="10" t="inlineStr">
        <is>
          <t>2026-05-24</t>
        </is>
      </c>
      <c r="B429" s="10" t="n">
        <v>244135</v>
      </c>
    </row>
    <row r="430">
      <c r="A430" s="10" t="inlineStr">
        <is>
          <t>2025-03-28</t>
        </is>
      </c>
      <c r="B430" s="10" t="n">
        <v>151172</v>
      </c>
    </row>
    <row r="431">
      <c r="A431" s="10" t="inlineStr">
        <is>
          <t>2024-12-04</t>
        </is>
      </c>
      <c r="B431" s="10" t="n">
        <v>190229</v>
      </c>
    </row>
    <row r="432">
      <c r="A432" s="10" t="inlineStr">
        <is>
          <t>2025-03-11</t>
        </is>
      </c>
      <c r="B432" s="10" t="n">
        <v>143974</v>
      </c>
    </row>
    <row r="433">
      <c r="A433" s="10" t="inlineStr">
        <is>
          <t>2025-10-27</t>
        </is>
      </c>
      <c r="B433" s="10" t="n">
        <v>170349</v>
      </c>
    </row>
    <row r="434">
      <c r="A434" s="10" t="inlineStr">
        <is>
          <t>2025-06-17</t>
        </is>
      </c>
      <c r="B434" s="10" t="n">
        <v>147705</v>
      </c>
    </row>
    <row r="435">
      <c r="A435" s="10" t="inlineStr">
        <is>
          <t>02 Nov 2024</t>
        </is>
      </c>
      <c r="B435" s="10" t="n">
        <v>254765</v>
      </c>
    </row>
    <row r="436">
      <c r="A436" s="10" t="inlineStr">
        <is>
          <t>2025-04-22</t>
        </is>
      </c>
      <c r="B436" s="10" t="n">
        <v>148218</v>
      </c>
    </row>
    <row r="437">
      <c r="A437" s="10" t="inlineStr">
        <is>
          <t>2024-10-22</t>
        </is>
      </c>
      <c r="B437" s="10" t="n">
        <v>148247</v>
      </c>
    </row>
    <row r="438">
      <c r="A438" s="10" t="inlineStr">
        <is>
          <t>2023-08-29</t>
        </is>
      </c>
      <c r="B438" s="10" t="n">
        <v>83224</v>
      </c>
    </row>
    <row r="439">
      <c r="A439" s="10" t="inlineStr">
        <is>
          <t>01 May 2025</t>
        </is>
      </c>
      <c r="B439" s="10" t="n">
        <v>213360</v>
      </c>
    </row>
    <row r="440">
      <c r="A440" s="10" t="inlineStr">
        <is>
          <t>01 Sep 2024</t>
        </is>
      </c>
      <c r="B440" s="10" t="n">
        <v>169388</v>
      </c>
    </row>
    <row r="441">
      <c r="A441" s="10" t="inlineStr">
        <is>
          <t>2024-03-02</t>
        </is>
      </c>
      <c r="B441" s="10" t="inlineStr">
        <is>
          <t>Rp 134.268</t>
        </is>
      </c>
    </row>
    <row r="442">
      <c r="A442" s="10" t="inlineStr">
        <is>
          <t>14/03/2024</t>
        </is>
      </c>
      <c r="B442" s="10" t="inlineStr">
        <is>
          <t>Rp 104.246</t>
        </is>
      </c>
    </row>
    <row r="443">
      <c r="A443" s="10" t="inlineStr">
        <is>
          <t>07 Jun 2023</t>
        </is>
      </c>
      <c r="B443" s="10" t="n">
        <v>145433</v>
      </c>
    </row>
    <row r="444">
      <c r="A444" s="10" t="inlineStr">
        <is>
          <t>2023-09-09</t>
        </is>
      </c>
      <c r="B444" s="10" t="inlineStr">
        <is>
          <t>Rp 149.903</t>
        </is>
      </c>
    </row>
    <row r="445">
      <c r="A445" s="10" t="inlineStr">
        <is>
          <t>2024-09-05</t>
        </is>
      </c>
      <c r="B445" s="10" t="inlineStr">
        <is>
          <t>Rp 166.917</t>
        </is>
      </c>
    </row>
    <row r="446">
      <c r="A446" s="10" t="inlineStr">
        <is>
          <t>2024-11-11</t>
        </is>
      </c>
      <c r="B446" s="10" t="n">
        <v>189697</v>
      </c>
    </row>
    <row r="447">
      <c r="A447" s="10" t="inlineStr">
        <is>
          <t>2023-11-29</t>
        </is>
      </c>
      <c r="B447" s="10" t="inlineStr">
        <is>
          <t>Rp 111.157</t>
        </is>
      </c>
    </row>
    <row r="448">
      <c r="A448" s="10" t="inlineStr">
        <is>
          <t>2024-03-10</t>
        </is>
      </c>
      <c r="B448" s="10" t="n">
        <v>120751</v>
      </c>
    </row>
    <row r="449">
      <c r="A449" s="10" t="inlineStr">
        <is>
          <t>16/10/2025</t>
        </is>
      </c>
      <c r="B449" s="10" t="n">
        <v>145966</v>
      </c>
    </row>
    <row r="450">
      <c r="A450" s="10" t="inlineStr">
        <is>
          <t>2025-01-12</t>
        </is>
      </c>
      <c r="B450" s="10" t="inlineStr">
        <is>
          <t>Rp 150.117</t>
        </is>
      </c>
    </row>
    <row r="451">
      <c r="A451" s="10" t="inlineStr">
        <is>
          <t>2024-06-18</t>
        </is>
      </c>
      <c r="B451" s="10" t="n">
        <v>109684</v>
      </c>
    </row>
    <row r="452">
      <c r="A452" s="10" t="inlineStr">
        <is>
          <t>2024-05-25</t>
        </is>
      </c>
      <c r="B452" s="10" t="inlineStr">
        <is>
          <t>Rp 206.267</t>
        </is>
      </c>
    </row>
    <row r="453">
      <c r="A453" s="10" t="inlineStr">
        <is>
          <t>2024-03-20</t>
        </is>
      </c>
      <c r="B453" s="10" t="n">
        <v>128239</v>
      </c>
    </row>
    <row r="454">
      <c r="A454" s="10" t="inlineStr">
        <is>
          <t>2025-07-21</t>
        </is>
      </c>
      <c r="B454" s="10" t="n">
        <v>138558</v>
      </c>
    </row>
    <row r="455">
      <c r="A455" s="10" t="inlineStr">
        <is>
          <t>05 Dec 2023</t>
        </is>
      </c>
      <c r="B455" s="10" t="n">
        <v>166703</v>
      </c>
    </row>
    <row r="456">
      <c r="A456" s="10" t="inlineStr">
        <is>
          <t>2025-10-09</t>
        </is>
      </c>
      <c r="B456" s="10" t="inlineStr">
        <is>
          <t>Rp 147.418</t>
        </is>
      </c>
    </row>
    <row r="457">
      <c r="A457" s="10" t="inlineStr">
        <is>
          <t>09 Oct 2024</t>
        </is>
      </c>
      <c r="B457" s="10" t="n">
        <v>122496</v>
      </c>
    </row>
    <row r="458">
      <c r="A458" s="10" t="inlineStr">
        <is>
          <t>12 Jun 2023</t>
        </is>
      </c>
      <c r="B458" s="10" t="n">
        <v>117788</v>
      </c>
    </row>
    <row r="459">
      <c r="A459" s="10" t="inlineStr">
        <is>
          <t>2023-08-14</t>
        </is>
      </c>
      <c r="B459" s="10" t="n">
        <v>85265</v>
      </c>
    </row>
    <row r="460">
      <c r="A460" s="10" t="inlineStr">
        <is>
          <t>2023-12-10</t>
        </is>
      </c>
      <c r="B460" s="10" t="n">
        <v>225371</v>
      </c>
    </row>
    <row r="461">
      <c r="A461" s="10" t="inlineStr">
        <is>
          <t>2025-07-24</t>
        </is>
      </c>
      <c r="B461" s="10" t="inlineStr">
        <is>
          <t>Rp 121.369</t>
        </is>
      </c>
    </row>
    <row r="462">
      <c r="A462" s="10" t="inlineStr">
        <is>
          <t>24 Nov 2023</t>
        </is>
      </c>
      <c r="B462" s="10" t="n">
        <v>124206</v>
      </c>
    </row>
    <row r="463">
      <c r="A463" s="10" t="inlineStr">
        <is>
          <t>2025-03-06</t>
        </is>
      </c>
      <c r="B463" s="10" t="n">
        <v>129601</v>
      </c>
    </row>
    <row r="464">
      <c r="A464" s="10" t="inlineStr">
        <is>
          <t>2025-02-03</t>
        </is>
      </c>
      <c r="B464" s="10" t="n">
        <v>137488</v>
      </c>
    </row>
    <row r="465">
      <c r="A465" s="10" t="inlineStr">
        <is>
          <t>31 Jan 2026</t>
        </is>
      </c>
      <c r="B465" s="10" t="n">
        <v>169518</v>
      </c>
    </row>
    <row r="466">
      <c r="A466" s="10" t="inlineStr">
        <is>
          <t>10/08/2023</t>
        </is>
      </c>
      <c r="B466" s="10" t="inlineStr">
        <is>
          <t>Rp 89.525</t>
        </is>
      </c>
    </row>
    <row r="467">
      <c r="A467" s="10" t="inlineStr">
        <is>
          <t>2025-09-29</t>
        </is>
      </c>
      <c r="B467" s="10" t="n">
        <v>129426</v>
      </c>
    </row>
    <row r="468">
      <c r="A468" s="10" t="inlineStr">
        <is>
          <t>2023-11-22</t>
        </is>
      </c>
      <c r="B468" s="10" t="n">
        <v>133575</v>
      </c>
    </row>
    <row r="469">
      <c r="A469" s="10" t="inlineStr">
        <is>
          <t>14/11/2023</t>
        </is>
      </c>
      <c r="B469" s="10" t="n">
        <v>110712</v>
      </c>
    </row>
    <row r="470">
      <c r="A470" s="10" t="inlineStr">
        <is>
          <t>2025-01-22</t>
        </is>
      </c>
      <c r="B470" s="10" t="inlineStr">
        <is>
          <t>Rp 140.263</t>
        </is>
      </c>
    </row>
    <row r="471">
      <c r="A471" s="10" t="inlineStr">
        <is>
          <t>2025-04-09</t>
        </is>
      </c>
      <c r="B471" s="10" t="n">
        <v>138388</v>
      </c>
    </row>
    <row r="472">
      <c r="A472" s="10" t="inlineStr">
        <is>
          <t>2024-08-13</t>
        </is>
      </c>
      <c r="B472" s="10" t="n">
        <v>106477</v>
      </c>
    </row>
    <row r="473">
      <c r="A473" s="10" t="inlineStr">
        <is>
          <t>2025-03-01</t>
        </is>
      </c>
      <c r="B473" s="10" t="inlineStr">
        <is>
          <t>Rp 149.069</t>
        </is>
      </c>
    </row>
    <row r="474">
      <c r="A474" s="10" t="inlineStr">
        <is>
          <t>2025-07-09</t>
        </is>
      </c>
      <c r="B474" s="10" t="n">
        <v>117436</v>
      </c>
    </row>
    <row r="475">
      <c r="A475" s="10" t="inlineStr">
        <is>
          <t>2024-12-03</t>
        </is>
      </c>
      <c r="B475" s="10" t="n">
        <v>210735</v>
      </c>
    </row>
    <row r="476">
      <c r="A476" s="10" t="inlineStr">
        <is>
          <t>2025-06-13</t>
        </is>
      </c>
      <c r="B476" s="10" t="n">
        <v>163781</v>
      </c>
    </row>
    <row r="477">
      <c r="A477" s="10" t="inlineStr">
        <is>
          <t>02 Dec 2023</t>
        </is>
      </c>
      <c r="B477" s="10" t="n">
        <v>223398</v>
      </c>
    </row>
    <row r="478">
      <c r="A478" s="10" t="inlineStr">
        <is>
          <t>2025-09-05</t>
        </is>
      </c>
      <c r="B478" s="10" t="n">
        <v>143589</v>
      </c>
    </row>
    <row r="479">
      <c r="A479" s="10" t="inlineStr">
        <is>
          <t>2025-06-19</t>
        </is>
      </c>
      <c r="B479" s="10" t="n">
        <v>163377</v>
      </c>
    </row>
    <row r="480">
      <c r="A480" s="10" t="inlineStr">
        <is>
          <t>2025-05-06</t>
        </is>
      </c>
      <c r="B480" s="10" t="n">
        <v>224131</v>
      </c>
    </row>
    <row r="481">
      <c r="A481" s="10" t="inlineStr">
        <is>
          <t>21/06/2023</t>
        </is>
      </c>
      <c r="B481" s="10" t="n">
        <v>144157</v>
      </c>
    </row>
    <row r="482">
      <c r="A482" s="10" t="inlineStr">
        <is>
          <t>2026-05-05</t>
        </is>
      </c>
      <c r="B482" s="10" t="n">
        <v>250061</v>
      </c>
    </row>
    <row r="483">
      <c r="A483" s="10" t="inlineStr">
        <is>
          <t>25 May 2025</t>
        </is>
      </c>
      <c r="B483" s="10" t="n">
        <v>243305</v>
      </c>
    </row>
    <row r="484">
      <c r="A484" s="10" t="inlineStr">
        <is>
          <t>2025-10-10</t>
        </is>
      </c>
      <c r="B484" s="10" t="n">
        <v>215974</v>
      </c>
    </row>
    <row r="485">
      <c r="A485" s="10" t="inlineStr">
        <is>
          <t>2026-02-17</t>
        </is>
      </c>
      <c r="B485" s="10" t="n">
        <v>144976</v>
      </c>
    </row>
    <row r="486">
      <c r="A486" s="10" t="inlineStr">
        <is>
          <t>2024-12-28</t>
        </is>
      </c>
      <c r="B486" s="10" t="inlineStr">
        <is>
          <t>Rp 287.984</t>
        </is>
      </c>
    </row>
    <row r="487">
      <c r="A487" s="10" t="inlineStr">
        <is>
          <t>2026-01-26</t>
        </is>
      </c>
      <c r="B487" s="10" t="inlineStr">
        <is>
          <t>Rp 148.501</t>
        </is>
      </c>
    </row>
    <row r="488">
      <c r="A488" s="10" t="inlineStr">
        <is>
          <t>2023-11-26</t>
        </is>
      </c>
      <c r="B488" s="10" t="n">
        <v>144032</v>
      </c>
    </row>
    <row r="489">
      <c r="A489" s="10" t="inlineStr">
        <is>
          <t>27/06/2024</t>
        </is>
      </c>
      <c r="B489" s="10" t="n">
        <v>123456</v>
      </c>
    </row>
    <row r="490">
      <c r="A490" s="10" t="inlineStr">
        <is>
          <t>2023-11-23</t>
        </is>
      </c>
      <c r="B490" s="10" t="n">
        <v>116655</v>
      </c>
    </row>
    <row r="491">
      <c r="A491" s="10" t="inlineStr">
        <is>
          <t>2024-06-16</t>
        </is>
      </c>
      <c r="B491" s="10" t="inlineStr">
        <is>
          <t>Rp 160.165</t>
        </is>
      </c>
    </row>
    <row r="492">
      <c r="A492" s="10" t="inlineStr">
        <is>
          <t>16 Oct 2023</t>
        </is>
      </c>
      <c r="B492" s="10" t="n">
        <v>119018</v>
      </c>
    </row>
    <row r="493">
      <c r="A493" s="10" t="inlineStr">
        <is>
          <t>17/07/2023</t>
        </is>
      </c>
      <c r="B493" s="10" t="n">
        <v>110065</v>
      </c>
    </row>
    <row r="494">
      <c r="A494" s="10" t="inlineStr">
        <is>
          <t>2024-02-13</t>
        </is>
      </c>
      <c r="B494" s="10" t="n">
        <v>87810</v>
      </c>
    </row>
    <row r="495">
      <c r="A495" s="10" t="inlineStr">
        <is>
          <t>2024-03-21</t>
        </is>
      </c>
      <c r="B495" s="10" t="n">
        <v>123072</v>
      </c>
    </row>
    <row r="496">
      <c r="A496" s="10" t="inlineStr">
        <is>
          <t>2024-05-10</t>
        </is>
      </c>
      <c r="B496" s="10" t="inlineStr">
        <is>
          <t>Rp 189.958</t>
        </is>
      </c>
    </row>
    <row r="497">
      <c r="A497" s="10" t="inlineStr">
        <is>
          <t>2023-10-30</t>
        </is>
      </c>
      <c r="B497" s="10" t="n">
        <v>112031</v>
      </c>
    </row>
    <row r="498">
      <c r="A498" s="10" t="inlineStr">
        <is>
          <t>15 Jun 2024</t>
        </is>
      </c>
      <c r="B498" s="10" t="inlineStr">
        <is>
          <t>Rp 152.756</t>
        </is>
      </c>
    </row>
    <row r="499">
      <c r="A499" s="10" t="inlineStr">
        <is>
          <t>2024-12-30</t>
        </is>
      </c>
      <c r="B499" s="10" t="inlineStr">
        <is>
          <t>Rp 188.730</t>
        </is>
      </c>
    </row>
    <row r="500">
      <c r="A500" s="10" t="inlineStr">
        <is>
          <t>30/10/2025</t>
        </is>
      </c>
      <c r="B500" s="10" t="n">
        <v>165060</v>
      </c>
    </row>
    <row r="501">
      <c r="A501" s="10" t="inlineStr">
        <is>
          <t>19/03/2025</t>
        </is>
      </c>
      <c r="B501" s="10" t="n">
        <v>134703</v>
      </c>
    </row>
    <row r="502">
      <c r="A502" s="10" t="inlineStr">
        <is>
          <t>13 Dec 2024</t>
        </is>
      </c>
      <c r="B502" s="10" t="inlineStr">
        <is>
          <t>Rp 221.672</t>
        </is>
      </c>
    </row>
    <row r="503">
      <c r="A503" s="10" t="inlineStr">
        <is>
          <t>2023-09-21</t>
        </is>
      </c>
      <c r="B503" s="10" t="n">
        <v>129487</v>
      </c>
    </row>
    <row r="504">
      <c r="A504" s="10" t="inlineStr">
        <is>
          <t>2024-11-15</t>
        </is>
      </c>
      <c r="B504" s="10" t="n">
        <v>186891</v>
      </c>
    </row>
    <row r="505">
      <c r="A505" s="10" t="inlineStr">
        <is>
          <t>2024-01-08</t>
        </is>
      </c>
      <c r="B505" s="10" t="n">
        <v>120439</v>
      </c>
    </row>
    <row r="506">
      <c r="A506" s="10" t="inlineStr">
        <is>
          <t>2024-07-15</t>
        </is>
      </c>
      <c r="B506" s="10" t="n">
        <v>101396</v>
      </c>
    </row>
    <row r="507">
      <c r="A507" s="10" t="inlineStr">
        <is>
          <t>2025-09-18</t>
        </is>
      </c>
      <c r="B507" s="10" t="inlineStr">
        <is>
          <t>Rp 135.712</t>
        </is>
      </c>
    </row>
    <row r="508">
      <c r="A508" s="10" t="inlineStr">
        <is>
          <t>2023-08-11</t>
        </is>
      </c>
      <c r="B508" s="10" t="n">
        <v>98012</v>
      </c>
    </row>
    <row r="509">
      <c r="A509" s="10" t="inlineStr">
        <is>
          <t>2026-01-25</t>
        </is>
      </c>
      <c r="B509" s="10" t="n">
        <v>153630</v>
      </c>
    </row>
    <row r="510">
      <c r="A510" s="10" t="inlineStr">
        <is>
          <t>2024-03-04</t>
        </is>
      </c>
      <c r="B510" s="10" t="n">
        <v>96122</v>
      </c>
    </row>
    <row r="511">
      <c r="A511" s="10" t="inlineStr">
        <is>
          <t>2024-03-15</t>
        </is>
      </c>
      <c r="B511" s="10" t="inlineStr">
        <is>
          <t>Rp 134.779</t>
        </is>
      </c>
    </row>
    <row r="512">
      <c r="A512" s="10" t="inlineStr">
        <is>
          <t>23/02/2026</t>
        </is>
      </c>
      <c r="B512" s="10" t="inlineStr">
        <is>
          <t>Rp 125.069</t>
        </is>
      </c>
    </row>
    <row r="513">
      <c r="A513" s="10" t="inlineStr">
        <is>
          <t>09 Sep 2024</t>
        </is>
      </c>
      <c r="B513" s="10" t="n">
        <v>160874</v>
      </c>
    </row>
    <row r="514">
      <c r="A514" s="10" t="inlineStr">
        <is>
          <t>23 Apr 2024</t>
        </is>
      </c>
      <c r="B514" s="10" t="n">
        <v>123906</v>
      </c>
    </row>
    <row r="515">
      <c r="A515" s="10" t="inlineStr">
        <is>
          <t>2025-08-24</t>
        </is>
      </c>
      <c r="B515" s="10" t="n">
        <v>170383</v>
      </c>
    </row>
    <row r="516">
      <c r="A516" s="10" t="inlineStr">
        <is>
          <t>2024-12-15</t>
        </is>
      </c>
      <c r="B516" s="10" t="n">
        <v>235055</v>
      </c>
    </row>
    <row r="517">
      <c r="A517" s="10" t="inlineStr">
        <is>
          <t>2025-07-28</t>
        </is>
      </c>
      <c r="B517" s="10" t="n">
        <v>116495</v>
      </c>
    </row>
    <row r="518">
      <c r="A518" s="10" t="inlineStr">
        <is>
          <t>2023-07-07</t>
        </is>
      </c>
      <c r="B518" s="10" t="n">
        <v>103486</v>
      </c>
    </row>
    <row r="519">
      <c r="A519" s="10" t="inlineStr">
        <is>
          <t>2025-09-30</t>
        </is>
      </c>
      <c r="B519" s="10" t="n">
        <v>119449</v>
      </c>
    </row>
    <row r="520">
      <c r="A520" s="10" t="inlineStr">
        <is>
          <t>2024-06-01</t>
        </is>
      </c>
      <c r="B520" s="10" t="n">
        <v>181388</v>
      </c>
    </row>
    <row r="521">
      <c r="A521" s="10" t="inlineStr">
        <is>
          <t>03 Sep 2023</t>
        </is>
      </c>
      <c r="B521" s="10" t="n">
        <v>142594</v>
      </c>
    </row>
    <row r="522">
      <c r="A522" s="10" t="inlineStr">
        <is>
          <t>2025-11-17</t>
        </is>
      </c>
      <c r="B522" s="10" t="n">
        <v>182561</v>
      </c>
    </row>
    <row r="523">
      <c r="A523" s="10" t="inlineStr">
        <is>
          <t>2026-04-29</t>
        </is>
      </c>
      <c r="B523" s="10" t="inlineStr">
        <is>
          <t>Rp 178.021</t>
        </is>
      </c>
    </row>
    <row r="524">
      <c r="A524" s="10" t="inlineStr">
        <is>
          <t>05/01/2025</t>
        </is>
      </c>
      <c r="B524" s="10" t="inlineStr">
        <is>
          <t>Rp 167.310</t>
        </is>
      </c>
    </row>
    <row r="525">
      <c r="A525" s="10" t="inlineStr">
        <is>
          <t>2025-07-25</t>
        </is>
      </c>
      <c r="B525" s="10" t="n">
        <v>144131</v>
      </c>
    </row>
    <row r="526">
      <c r="A526" s="10" t="inlineStr">
        <is>
          <t>2025-06-01</t>
        </is>
      </c>
      <c r="B526" s="10" t="n">
        <v>170295</v>
      </c>
    </row>
    <row r="527">
      <c r="A527" s="10" t="inlineStr">
        <is>
          <t>2024-07-26</t>
        </is>
      </c>
      <c r="B527" s="10" t="n">
        <v>137637</v>
      </c>
    </row>
    <row r="528">
      <c r="A528" s="10" t="inlineStr">
        <is>
          <t>2026-05-22</t>
        </is>
      </c>
      <c r="B528" s="10" t="n">
        <v>304507</v>
      </c>
    </row>
    <row r="529">
      <c r="A529" s="10" t="inlineStr">
        <is>
          <t>28/04/2025</t>
        </is>
      </c>
      <c r="B529" s="10" t="n">
        <v>154063</v>
      </c>
    </row>
    <row r="530">
      <c r="A530" s="10" t="inlineStr">
        <is>
          <t>21 Nov 2025</t>
        </is>
      </c>
      <c r="B530" s="10" t="n">
        <v>178954</v>
      </c>
    </row>
    <row r="531">
      <c r="A531" s="10" t="inlineStr">
        <is>
          <t>2023-08-03</t>
        </is>
      </c>
      <c r="B531" s="10" t="n">
        <v>106492</v>
      </c>
    </row>
    <row r="532">
      <c r="A532" s="10" t="inlineStr">
        <is>
          <t>2025-10-18</t>
        </is>
      </c>
      <c r="B532" s="10" t="n">
        <v>214979</v>
      </c>
    </row>
    <row r="533">
      <c r="A533" s="10" t="inlineStr">
        <is>
          <t>2023-12-15</t>
        </is>
      </c>
      <c r="B533" s="10" t="inlineStr">
        <is>
          <t>Rp 194.610</t>
        </is>
      </c>
    </row>
    <row r="534">
      <c r="A534" s="10" t="inlineStr">
        <is>
          <t>2024-12-19</t>
        </is>
      </c>
      <c r="B534" s="10" t="n">
        <v>212872</v>
      </c>
    </row>
    <row r="535">
      <c r="A535" s="10" t="inlineStr">
        <is>
          <t>2023-10-17</t>
        </is>
      </c>
      <c r="B535" s="10" t="n">
        <v>107430</v>
      </c>
    </row>
    <row r="536">
      <c r="A536" s="10" t="inlineStr">
        <is>
          <t>2026-01-09</t>
        </is>
      </c>
      <c r="B536" s="10" t="n">
        <v>134964</v>
      </c>
    </row>
    <row r="537">
      <c r="A537" s="10" t="inlineStr">
        <is>
          <t>2023-10-02</t>
        </is>
      </c>
      <c r="B537" s="10" t="n">
        <v>104193</v>
      </c>
    </row>
    <row r="538">
      <c r="A538" s="10" t="inlineStr">
        <is>
          <t>21/02/2024</t>
        </is>
      </c>
      <c r="B538" s="10" t="n">
        <v>96691</v>
      </c>
    </row>
    <row r="539">
      <c r="A539" s="10" t="inlineStr">
        <is>
          <t>2024-06-08</t>
        </is>
      </c>
      <c r="B539" s="10" t="n">
        <v>170225</v>
      </c>
    </row>
    <row r="540">
      <c r="A540" s="10" t="inlineStr">
        <is>
          <t>02/02/2026</t>
        </is>
      </c>
      <c r="B540" s="10" t="n">
        <v>124768</v>
      </c>
    </row>
    <row r="541">
      <c r="A541" s="10" t="inlineStr">
        <is>
          <t>2024-08-28</t>
        </is>
      </c>
      <c r="B541" s="10" t="n">
        <v>105556</v>
      </c>
    </row>
    <row r="542">
      <c r="A542" s="10" t="inlineStr">
        <is>
          <t>2024-12-22</t>
        </is>
      </c>
      <c r="B542" s="10" t="inlineStr">
        <is>
          <t>Rp 230.149</t>
        </is>
      </c>
    </row>
    <row r="543">
      <c r="A543" s="10" t="inlineStr">
        <is>
          <t>2025-03-27</t>
        </is>
      </c>
      <c r="B543" s="10" t="inlineStr">
        <is>
          <t>Rp 135.872</t>
        </is>
      </c>
    </row>
    <row r="544">
      <c r="A544" s="10" t="inlineStr">
        <is>
          <t>2025-08-29</t>
        </is>
      </c>
      <c r="B544" s="10" t="n">
        <v>127853</v>
      </c>
    </row>
    <row r="545">
      <c r="A545" s="10" t="inlineStr">
        <is>
          <t>2023-07-13</t>
        </is>
      </c>
      <c r="B545" s="10" t="n">
        <v>110233</v>
      </c>
    </row>
    <row r="546">
      <c r="A546" s="10" t="inlineStr">
        <is>
          <t>2023-11-21</t>
        </is>
      </c>
      <c r="B546" s="10" t="n">
        <v>131626</v>
      </c>
    </row>
    <row r="547">
      <c r="A547" s="10" t="inlineStr">
        <is>
          <t>2023-09-16</t>
        </is>
      </c>
      <c r="B547" s="10" t="n">
        <v>165093</v>
      </c>
    </row>
    <row r="548">
      <c r="A548" s="10" t="inlineStr">
        <is>
          <t>2024-02-08</t>
        </is>
      </c>
      <c r="B548" s="10" t="n">
        <v>90147</v>
      </c>
    </row>
    <row r="549">
      <c r="A549" s="10" t="inlineStr">
        <is>
          <t>21 Jul 2023</t>
        </is>
      </c>
      <c r="B549" s="10" t="n">
        <v>114905</v>
      </c>
    </row>
    <row r="550">
      <c r="A550" s="10" t="inlineStr">
        <is>
          <t>2024-01-20</t>
        </is>
      </c>
      <c r="B550" s="10" t="n">
        <v>152218</v>
      </c>
    </row>
    <row r="551">
      <c r="A551" s="10" t="inlineStr">
        <is>
          <t>2024-02-24</t>
        </is>
      </c>
      <c r="B551" s="10" t="n">
        <v>133708</v>
      </c>
    </row>
    <row r="552">
      <c r="A552" s="10" t="inlineStr">
        <is>
          <t>2024-07-07</t>
        </is>
      </c>
      <c r="B552" s="10" t="n">
        <v>118918</v>
      </c>
    </row>
    <row r="553">
      <c r="A553" s="10" t="inlineStr">
        <is>
          <t>2025-05-21</t>
        </is>
      </c>
      <c r="B553" s="10" t="inlineStr">
        <is>
          <t>Rp 223.105</t>
        </is>
      </c>
    </row>
    <row r="554">
      <c r="A554" s="10" t="inlineStr">
        <is>
          <t>2024-11-30</t>
        </is>
      </c>
      <c r="B554" s="10" t="n">
        <v>234106</v>
      </c>
    </row>
    <row r="555">
      <c r="A555" s="10" t="inlineStr">
        <is>
          <t>2024-07-02</t>
        </is>
      </c>
      <c r="B555" s="10" t="inlineStr">
        <is>
          <t>Rp 114.946</t>
        </is>
      </c>
    </row>
    <row r="556">
      <c r="A556" s="10" t="inlineStr">
        <is>
          <t>2024-02-29</t>
        </is>
      </c>
      <c r="B556" s="10" t="n">
        <v>98136</v>
      </c>
    </row>
    <row r="557">
      <c r="A557" s="10" t="inlineStr">
        <is>
          <t>2025-08-21</t>
        </is>
      </c>
      <c r="B557" s="10" t="n">
        <v>124864</v>
      </c>
    </row>
    <row r="558">
      <c r="A558" s="10" t="inlineStr">
        <is>
          <t>2026-03-18</t>
        </is>
      </c>
      <c r="B558" s="10" t="inlineStr">
        <is>
          <t>Rp 139.121</t>
        </is>
      </c>
    </row>
    <row r="559">
      <c r="A559" s="10" t="inlineStr">
        <is>
          <t>29/06/2025</t>
        </is>
      </c>
      <c r="B559" s="10" t="inlineStr">
        <is>
          <t>Rp 189.201</t>
        </is>
      </c>
    </row>
    <row r="560">
      <c r="A560" s="10" t="inlineStr">
        <is>
          <t>2026-03-29</t>
        </is>
      </c>
      <c r="B560" s="10" t="n">
        <v>181337</v>
      </c>
    </row>
    <row r="561">
      <c r="A561" s="10" t="inlineStr">
        <is>
          <t>27 May 2026</t>
        </is>
      </c>
      <c r="B561" s="10" t="n">
        <v>280389</v>
      </c>
    </row>
    <row r="562">
      <c r="A562" s="10" t="inlineStr">
        <is>
          <t>16 Dec 2024</t>
        </is>
      </c>
      <c r="B562" s="10" t="n">
        <v>175117</v>
      </c>
    </row>
    <row r="563">
      <c r="A563" s="10" t="inlineStr">
        <is>
          <t>2024-07-19</t>
        </is>
      </c>
      <c r="B563" s="10" t="n">
        <v>108003</v>
      </c>
    </row>
    <row r="564">
      <c r="A564" s="10" t="inlineStr">
        <is>
          <t>2024-09-25</t>
        </is>
      </c>
      <c r="B564" s="10" t="n">
        <v>144343</v>
      </c>
    </row>
    <row r="565">
      <c r="A565" s="10" t="inlineStr">
        <is>
          <t>2026-04-13</t>
        </is>
      </c>
      <c r="B565" s="10" t="n">
        <v>159814</v>
      </c>
    </row>
    <row r="566">
      <c r="A566" s="10" t="inlineStr">
        <is>
          <t>2024-05-31</t>
        </is>
      </c>
      <c r="B566" s="10" t="n">
        <v>215120</v>
      </c>
    </row>
    <row r="567">
      <c r="A567" s="10" t="inlineStr">
        <is>
          <t>2025-09-27</t>
        </is>
      </c>
      <c r="B567" s="10" t="n">
        <v>187808</v>
      </c>
    </row>
    <row r="568">
      <c r="A568" s="10" t="inlineStr">
        <is>
          <t>2024-03-29</t>
        </is>
      </c>
      <c r="B568" s="10" t="inlineStr">
        <is>
          <t>Rp 127.602</t>
        </is>
      </c>
    </row>
    <row r="569">
      <c r="A569" s="10" t="inlineStr">
        <is>
          <t>2026-05-13</t>
        </is>
      </c>
      <c r="B569" s="10" t="n">
        <v>215291</v>
      </c>
    </row>
    <row r="570">
      <c r="A570" s="10" t="inlineStr">
        <is>
          <t>2025-08-27</t>
        </is>
      </c>
      <c r="B570" s="10" t="n">
        <v>118106</v>
      </c>
    </row>
    <row r="571">
      <c r="A571" s="10" t="inlineStr">
        <is>
          <t>2023-07-09</t>
        </is>
      </c>
      <c r="B571" s="10" t="n">
        <v>131298</v>
      </c>
    </row>
    <row r="572">
      <c r="A572" s="10" t="inlineStr">
        <is>
          <t>2024-06-14</t>
        </is>
      </c>
      <c r="B572" s="10" t="n">
        <v>141817</v>
      </c>
    </row>
    <row r="573">
      <c r="A573" s="10" t="inlineStr">
        <is>
          <t>2024-10-03</t>
        </is>
      </c>
      <c r="B573" s="10" t="inlineStr">
        <is>
          <t>Rp 124.513</t>
        </is>
      </c>
    </row>
    <row r="574">
      <c r="A574" s="10" t="inlineStr">
        <is>
          <t>2025-07-29</t>
        </is>
      </c>
      <c r="B574" s="10" t="n">
        <v>137035</v>
      </c>
    </row>
    <row r="575">
      <c r="A575" s="10" t="inlineStr">
        <is>
          <t>2026-03-13</t>
        </is>
      </c>
      <c r="B575" s="10" t="n">
        <v>164798</v>
      </c>
    </row>
    <row r="576">
      <c r="A576" s="10" t="inlineStr">
        <is>
          <t>2025-01-30</t>
        </is>
      </c>
      <c r="B576" s="10" t="n">
        <v>121646</v>
      </c>
    </row>
    <row r="577">
      <c r="A577" s="10" t="inlineStr">
        <is>
          <t>09/11/2024</t>
        </is>
      </c>
      <c r="B577" s="10" t="n">
        <v>205793</v>
      </c>
    </row>
    <row r="578">
      <c r="A578" s="10" t="inlineStr">
        <is>
          <t>01/07/2024</t>
        </is>
      </c>
      <c r="B578" s="10" t="inlineStr">
        <is>
          <t>Rp 111.683</t>
        </is>
      </c>
    </row>
    <row r="579">
      <c r="A579" s="10" t="inlineStr">
        <is>
          <t>2023-08-13</t>
        </is>
      </c>
      <c r="B579" s="10" t="n">
        <v>109035</v>
      </c>
    </row>
    <row r="580">
      <c r="A580" s="10" t="inlineStr">
        <is>
          <t>2024-02-06</t>
        </is>
      </c>
      <c r="B580" s="10" t="n">
        <v>102984</v>
      </c>
    </row>
    <row r="581">
      <c r="A581" s="10" t="inlineStr">
        <is>
          <t>20 Jun 2025</t>
        </is>
      </c>
      <c r="B581" s="10" t="n">
        <v>214214</v>
      </c>
    </row>
    <row r="582">
      <c r="A582" s="10" t="inlineStr">
        <is>
          <t>2025-10-31</t>
        </is>
      </c>
      <c r="B582" s="10" t="n"/>
    </row>
    <row r="583">
      <c r="A583" s="10" t="inlineStr">
        <is>
          <t>2023-06-14</t>
        </is>
      </c>
      <c r="B583" s="10" t="n">
        <v>117701</v>
      </c>
    </row>
    <row r="584">
      <c r="A584" s="10" t="inlineStr">
        <is>
          <t>2026-04-19</t>
        </is>
      </c>
      <c r="B584" s="10" t="inlineStr">
        <is>
          <t>Rp 203.660</t>
        </is>
      </c>
    </row>
    <row r="585">
      <c r="A585" s="10" t="inlineStr">
        <is>
          <t>2025-01-24</t>
        </is>
      </c>
      <c r="B585" s="10" t="n">
        <v>150560</v>
      </c>
    </row>
    <row r="586">
      <c r="A586" s="10" t="inlineStr">
        <is>
          <t>2025-05-08</t>
        </is>
      </c>
      <c r="B586" s="10" t="n">
        <v>206879</v>
      </c>
    </row>
    <row r="587">
      <c r="A587" s="10" t="inlineStr">
        <is>
          <t>2025-02-06</t>
        </is>
      </c>
      <c r="B587" s="10" t="n">
        <v>120838</v>
      </c>
    </row>
    <row r="588">
      <c r="A588" s="10" t="inlineStr">
        <is>
          <t>2025-04-03</t>
        </is>
      </c>
      <c r="B588" s="10" t="n">
        <v>170986</v>
      </c>
    </row>
    <row r="589">
      <c r="A589" s="10" t="inlineStr">
        <is>
          <t>2025-06-02</t>
        </is>
      </c>
      <c r="B589" s="10" t="n">
        <v>155253</v>
      </c>
    </row>
    <row r="590">
      <c r="A590" s="10" t="inlineStr">
        <is>
          <t>2024-04-04</t>
        </is>
      </c>
      <c r="B590" s="10" t="inlineStr">
        <is>
          <t>Rp 148.409</t>
        </is>
      </c>
    </row>
    <row r="591">
      <c r="A591" s="10" t="inlineStr">
        <is>
          <t>2025-08-15</t>
        </is>
      </c>
      <c r="B591" s="10" t="n">
        <v>148102</v>
      </c>
    </row>
    <row r="592">
      <c r="A592" s="10" t="inlineStr">
        <is>
          <t>2025-01-11</t>
        </is>
      </c>
      <c r="B592" s="10" t="n">
        <v>191673</v>
      </c>
    </row>
    <row r="593">
      <c r="A593" s="10" t="inlineStr">
        <is>
          <t>2024-12-31</t>
        </is>
      </c>
      <c r="B593" s="10" t="n">
        <v>170352</v>
      </c>
    </row>
    <row r="594">
      <c r="A594" s="10" t="inlineStr">
        <is>
          <t>2024-12-27</t>
        </is>
      </c>
      <c r="B594" s="10" t="n">
        <v>224107</v>
      </c>
    </row>
    <row r="595">
      <c r="A595" s="10" t="inlineStr">
        <is>
          <t>02/04/2025</t>
        </is>
      </c>
      <c r="B595" s="10" t="inlineStr">
        <is>
          <t>Rp 149.671</t>
        </is>
      </c>
    </row>
    <row r="596">
      <c r="A596" s="10" t="inlineStr">
        <is>
          <t>17 May 2025</t>
        </is>
      </c>
      <c r="B596" s="10" t="n">
        <v>339697</v>
      </c>
    </row>
    <row r="597">
      <c r="A597" s="10" t="inlineStr">
        <is>
          <t>2023-12-03</t>
        </is>
      </c>
      <c r="B597" s="10" t="n">
        <v>191823</v>
      </c>
    </row>
    <row r="598">
      <c r="A598" s="10" t="inlineStr">
        <is>
          <t>2023-08-24</t>
        </is>
      </c>
      <c r="B598" s="10" t="n">
        <v>111771</v>
      </c>
    </row>
    <row r="599">
      <c r="A599" s="10" t="inlineStr">
        <is>
          <t>2023-10-26</t>
        </is>
      </c>
      <c r="B599" s="10" t="n">
        <v>123617</v>
      </c>
    </row>
    <row r="600">
      <c r="A600" s="10" t="inlineStr">
        <is>
          <t>2026-04-25</t>
        </is>
      </c>
      <c r="B600" s="10" t="n">
        <v>213481</v>
      </c>
    </row>
    <row r="601">
      <c r="A601" s="10" t="inlineStr">
        <is>
          <t>27/05/2024</t>
        </is>
      </c>
      <c r="B601" s="10" t="n">
        <v>150101</v>
      </c>
    </row>
    <row r="602">
      <c r="A602" s="10" t="inlineStr">
        <is>
          <t>2025-02-25</t>
        </is>
      </c>
      <c r="B602" s="10" t="n">
        <v>104469</v>
      </c>
    </row>
    <row r="603">
      <c r="A603" s="10" t="inlineStr">
        <is>
          <t>2024-07-11</t>
        </is>
      </c>
      <c r="B603" s="10" t="n">
        <v>118426</v>
      </c>
    </row>
    <row r="604">
      <c r="A604" s="10" t="inlineStr">
        <is>
          <t>2025-01-07</t>
        </is>
      </c>
      <c r="B604" s="10" t="n">
        <v>122622</v>
      </c>
    </row>
    <row r="605">
      <c r="A605" s="10" t="inlineStr">
        <is>
          <t>30/09/2024</t>
        </is>
      </c>
      <c r="B605" s="10" t="n">
        <v>127052</v>
      </c>
    </row>
    <row r="606">
      <c r="A606" s="10" t="inlineStr">
        <is>
          <t>2025-07-02</t>
        </is>
      </c>
      <c r="B606" s="10" t="n">
        <v>139165</v>
      </c>
    </row>
    <row r="607">
      <c r="A607" s="10" t="inlineStr">
        <is>
          <t>2024-01-03</t>
        </is>
      </c>
      <c r="B607" s="10" t="n">
        <v>119088</v>
      </c>
    </row>
    <row r="608">
      <c r="A608" s="10" t="inlineStr">
        <is>
          <t>03/11/2023</t>
        </is>
      </c>
      <c r="B608" s="10" t="inlineStr">
        <is>
          <t>Rp 161.888</t>
        </is>
      </c>
    </row>
    <row r="609">
      <c r="A609" s="10" t="inlineStr">
        <is>
          <t>2025-04-10</t>
        </is>
      </c>
      <c r="B609" s="10" t="n">
        <v>167084</v>
      </c>
    </row>
    <row r="610">
      <c r="A610" s="10" t="inlineStr">
        <is>
          <t>2024-03-24</t>
        </is>
      </c>
      <c r="B610" s="10" t="n">
        <v>132023</v>
      </c>
    </row>
    <row r="611">
      <c r="A611" s="10" t="inlineStr">
        <is>
          <t>09/02/2026</t>
        </is>
      </c>
      <c r="B611" s="10" t="n">
        <v>147159</v>
      </c>
    </row>
    <row r="612">
      <c r="A612" s="10" t="inlineStr">
        <is>
          <t>03 May 2025</t>
        </is>
      </c>
      <c r="B612" s="10" t="n">
        <v>319521</v>
      </c>
    </row>
    <row r="613">
      <c r="A613" s="10" t="inlineStr">
        <is>
          <t>12 Aug 2025</t>
        </is>
      </c>
      <c r="B613" s="10" t="n"/>
    </row>
    <row r="614">
      <c r="A614" s="10" t="inlineStr">
        <is>
          <t>2025-04-17</t>
        </is>
      </c>
      <c r="B614" s="10" t="n">
        <v>151607</v>
      </c>
    </row>
    <row r="615">
      <c r="A615" s="10" t="inlineStr">
        <is>
          <t>13/04/2024</t>
        </is>
      </c>
      <c r="B615" s="10" t="n">
        <v>179450</v>
      </c>
    </row>
    <row r="616">
      <c r="A616" s="10" t="inlineStr">
        <is>
          <t>01/08/2024</t>
        </is>
      </c>
      <c r="B616" s="10" t="inlineStr">
        <is>
          <t>Rp 98.256</t>
        </is>
      </c>
    </row>
    <row r="617">
      <c r="A617" s="10" t="inlineStr">
        <is>
          <t>21/12/2024</t>
        </is>
      </c>
      <c r="B617" s="10" t="n">
        <v>216564</v>
      </c>
    </row>
    <row r="618">
      <c r="A618" s="10" t="inlineStr">
        <is>
          <t>03 Mar 2024</t>
        </is>
      </c>
      <c r="B618" s="10" t="n">
        <v>143537</v>
      </c>
    </row>
    <row r="619">
      <c r="A619" s="10" t="inlineStr">
        <is>
          <t>2026-05-29</t>
        </is>
      </c>
      <c r="B619" s="10" t="n">
        <v>278335</v>
      </c>
    </row>
    <row r="620">
      <c r="A620" s="10" t="inlineStr">
        <is>
          <t>2025-03-09</t>
        </is>
      </c>
      <c r="B620" s="10" t="n"/>
    </row>
    <row r="621">
      <c r="A621" s="10" t="inlineStr">
        <is>
          <t>27 Jun 2023</t>
        </is>
      </c>
      <c r="B621" s="10" t="n">
        <v>122597</v>
      </c>
    </row>
    <row r="622">
      <c r="A622" s="10" t="inlineStr">
        <is>
          <t>2023-09-23</t>
        </is>
      </c>
      <c r="B622" s="10" t="n">
        <v>130314</v>
      </c>
    </row>
    <row r="623">
      <c r="A623" s="10" t="inlineStr">
        <is>
          <t>2025-07-16</t>
        </is>
      </c>
      <c r="B623" s="10" t="n">
        <v>139745</v>
      </c>
    </row>
    <row r="624">
      <c r="A624" s="10" t="inlineStr">
        <is>
          <t>2023-12-21</t>
        </is>
      </c>
      <c r="B624" s="10" t="n">
        <v>164798</v>
      </c>
    </row>
    <row r="625">
      <c r="A625" s="10" t="inlineStr">
        <is>
          <t>2025-11-27</t>
        </is>
      </c>
      <c r="B625" s="10" t="n">
        <v>177903</v>
      </c>
    </row>
    <row r="626">
      <c r="A626" s="10" t="inlineStr">
        <is>
          <t>2026-01-28</t>
        </is>
      </c>
      <c r="B626" s="10" t="n">
        <v>123814</v>
      </c>
    </row>
    <row r="627">
      <c r="A627" s="10" t="inlineStr">
        <is>
          <t>2023-11-08</t>
        </is>
      </c>
      <c r="B627" s="10" t="n">
        <v>114923</v>
      </c>
    </row>
    <row r="628">
      <c r="A628" s="10" t="inlineStr">
        <is>
          <t>15/05/2024</t>
        </is>
      </c>
      <c r="B628" s="10" t="inlineStr">
        <is>
          <t>Rp 185.592</t>
        </is>
      </c>
    </row>
    <row r="629">
      <c r="A629" s="10" t="inlineStr">
        <is>
          <t>2024-01-02</t>
        </is>
      </c>
      <c r="B629" s="10" t="n">
        <v>112995</v>
      </c>
    </row>
    <row r="630">
      <c r="A630" s="10" t="inlineStr">
        <is>
          <t>21/06/2025</t>
        </is>
      </c>
      <c r="B630" s="10" t="n">
        <v>239869</v>
      </c>
    </row>
    <row r="631">
      <c r="A631" s="10" t="inlineStr">
        <is>
          <t>2023-09-14</t>
        </is>
      </c>
      <c r="B631" s="10" t="n">
        <v>135169</v>
      </c>
    </row>
    <row r="632">
      <c r="A632" s="10" t="inlineStr">
        <is>
          <t>15 Apr 2025</t>
        </is>
      </c>
      <c r="B632" s="10" t="n">
        <v>169145</v>
      </c>
    </row>
    <row r="633">
      <c r="A633" s="10" t="inlineStr">
        <is>
          <t>2025-04-06</t>
        </is>
      </c>
      <c r="B633" s="10" t="n">
        <v>199517</v>
      </c>
    </row>
    <row r="634">
      <c r="A634" s="10" t="inlineStr">
        <is>
          <t>05 Oct 2025</t>
        </is>
      </c>
      <c r="B634" s="10" t="n">
        <v>179721</v>
      </c>
    </row>
    <row r="635">
      <c r="A635" s="10" t="inlineStr">
        <is>
          <t>2026-03-22</t>
        </is>
      </c>
      <c r="B635" s="10" t="n">
        <v>172096</v>
      </c>
    </row>
    <row r="636">
      <c r="A636" s="10" t="inlineStr">
        <is>
          <t>2024-04-25</t>
        </is>
      </c>
      <c r="B636" s="10" t="n">
        <v>154199</v>
      </c>
    </row>
    <row r="637">
      <c r="A637" s="10" t="inlineStr">
        <is>
          <t>2025-01-14</t>
        </is>
      </c>
      <c r="B637" s="10" t="n">
        <v>113287</v>
      </c>
    </row>
    <row r="638">
      <c r="A638" s="10" t="inlineStr">
        <is>
          <t>02 Sep 2023</t>
        </is>
      </c>
      <c r="B638" s="10" t="n">
        <v>149826</v>
      </c>
    </row>
    <row r="639">
      <c r="A639" s="10" t="inlineStr">
        <is>
          <t>2026-03-01</t>
        </is>
      </c>
      <c r="B639" s="10" t="n">
        <v>204621</v>
      </c>
    </row>
    <row r="640">
      <c r="A640" s="10" t="inlineStr">
        <is>
          <t>2023-06-29</t>
        </is>
      </c>
      <c r="B640" s="10" t="n"/>
    </row>
    <row r="641">
      <c r="A641" s="10" t="inlineStr">
        <is>
          <t>2026-04-21</t>
        </is>
      </c>
      <c r="B641" s="10" t="n">
        <v>180631</v>
      </c>
    </row>
    <row r="642">
      <c r="A642" s="10" t="inlineStr">
        <is>
          <t>2024-06-22</t>
        </is>
      </c>
      <c r="B642" s="10" t="n">
        <v>181887</v>
      </c>
    </row>
    <row r="643">
      <c r="A643" s="10" t="inlineStr">
        <is>
          <t>2024-04-27</t>
        </is>
      </c>
      <c r="B643" s="10" t="n"/>
    </row>
    <row r="644">
      <c r="A644" s="10" t="inlineStr">
        <is>
          <t>2024-03-19</t>
        </is>
      </c>
      <c r="B644" s="10" t="n">
        <v>123499</v>
      </c>
    </row>
    <row r="645">
      <c r="A645" s="10" t="inlineStr">
        <is>
          <t>2025-07-08</t>
        </is>
      </c>
      <c r="B645" s="10" t="n">
        <v>136200</v>
      </c>
    </row>
    <row r="646">
      <c r="A646" s="10" t="inlineStr">
        <is>
          <t>2024-11-12</t>
        </is>
      </c>
      <c r="B646" s="10" t="n">
        <v>172460</v>
      </c>
    </row>
    <row r="647">
      <c r="A647" s="10" t="inlineStr">
        <is>
          <t>2023-08-23</t>
        </is>
      </c>
      <c r="B647" s="10" t="n">
        <v>87779</v>
      </c>
    </row>
    <row r="648">
      <c r="A648" s="10" t="inlineStr">
        <is>
          <t>2025-01-25</t>
        </is>
      </c>
      <c r="B648" s="10" t="n">
        <v>142773</v>
      </c>
    </row>
    <row r="649">
      <c r="A649" s="10" t="inlineStr">
        <is>
          <t>2024-09-17</t>
        </is>
      </c>
      <c r="B649" s="10" t="n">
        <v>130201</v>
      </c>
    </row>
    <row r="650">
      <c r="A650" s="10" t="inlineStr">
        <is>
          <t>28 Nov 2024</t>
        </is>
      </c>
      <c r="B650" s="10" t="inlineStr">
        <is>
          <t>Rp 208.112</t>
        </is>
      </c>
    </row>
    <row r="651">
      <c r="A651" s="10" t="inlineStr">
        <is>
          <t>2024-09-03</t>
        </is>
      </c>
      <c r="B651" s="10" t="n">
        <v>132663</v>
      </c>
    </row>
    <row r="652">
      <c r="A652" s="10" t="inlineStr">
        <is>
          <t>2023-09-04</t>
        </is>
      </c>
      <c r="B652" s="10" t="n">
        <v>111015</v>
      </c>
    </row>
    <row r="653">
      <c r="A653" s="10" t="inlineStr">
        <is>
          <t>30 Dec 2023</t>
        </is>
      </c>
      <c r="B653" s="10" t="n">
        <v>235603</v>
      </c>
    </row>
    <row r="654">
      <c r="A654" s="10" t="inlineStr">
        <is>
          <t>2026-02-16</t>
        </is>
      </c>
      <c r="B654" s="10" t="n">
        <v>118903</v>
      </c>
    </row>
    <row r="655">
      <c r="A655" s="10" t="inlineStr">
        <is>
          <t>02/08/2024</t>
        </is>
      </c>
      <c r="B655" s="10" t="n">
        <v>121764</v>
      </c>
    </row>
    <row r="656">
      <c r="A656" s="10" t="inlineStr">
        <is>
          <t>2025-03-22</t>
        </is>
      </c>
      <c r="B656" s="10" t="n">
        <v>182628</v>
      </c>
    </row>
    <row r="657">
      <c r="A657" s="10" t="inlineStr">
        <is>
          <t>16/06/2023</t>
        </is>
      </c>
      <c r="B657" s="10" t="n">
        <v>176891</v>
      </c>
    </row>
    <row r="658">
      <c r="A658" s="10" t="inlineStr">
        <is>
          <t>2025-08-16</t>
        </is>
      </c>
      <c r="B658" s="10" t="n">
        <v>139859</v>
      </c>
    </row>
    <row r="659">
      <c r="A659" s="10" t="inlineStr">
        <is>
          <t>2025-10-20</t>
        </is>
      </c>
      <c r="B659" s="10" t="n">
        <v>144498</v>
      </c>
    </row>
    <row r="660">
      <c r="A660" s="10" t="inlineStr">
        <is>
          <t>2023-11-19</t>
        </is>
      </c>
      <c r="B660" s="10" t="n">
        <v>143048</v>
      </c>
    </row>
    <row r="661">
      <c r="A661" s="10" t="inlineStr">
        <is>
          <t>20 Jun 2025</t>
        </is>
      </c>
      <c r="B661" s="10" t="n">
        <v>214214</v>
      </c>
    </row>
    <row r="662">
      <c r="A662" s="10" t="inlineStr">
        <is>
          <t>2023-06-24</t>
        </is>
      </c>
      <c r="B662" s="10" t="n">
        <v>192499</v>
      </c>
    </row>
    <row r="663">
      <c r="A663" s="10" t="inlineStr">
        <is>
          <t>2024-07-29</t>
        </is>
      </c>
      <c r="B663" s="10" t="n">
        <v>105272</v>
      </c>
    </row>
    <row r="664">
      <c r="A664" s="10" t="inlineStr">
        <is>
          <t>16 Sep 2025</t>
        </is>
      </c>
      <c r="B664" s="10" t="n">
        <v>145827</v>
      </c>
    </row>
    <row r="665">
      <c r="A665" s="10" t="inlineStr">
        <is>
          <t>2025-04-21</t>
        </is>
      </c>
      <c r="B665" s="10" t="n">
        <v>141021</v>
      </c>
    </row>
    <row r="666">
      <c r="A666" s="10" t="inlineStr">
        <is>
          <t>2025-04-01</t>
        </is>
      </c>
      <c r="B666" s="10" t="n">
        <v>135749</v>
      </c>
    </row>
    <row r="667">
      <c r="A667" s="10" t="inlineStr">
        <is>
          <t>2025-08-20</t>
        </is>
      </c>
      <c r="B667" s="10" t="n">
        <v>142236</v>
      </c>
    </row>
    <row r="668">
      <c r="A668" s="10" t="inlineStr">
        <is>
          <t>2026-01-16</t>
        </is>
      </c>
      <c r="B668" s="10" t="n">
        <v>163481</v>
      </c>
    </row>
    <row r="669">
      <c r="A669" s="10" t="inlineStr">
        <is>
          <t>2023-11-15</t>
        </is>
      </c>
      <c r="B669" s="10" t="n">
        <v>134749</v>
      </c>
    </row>
    <row r="670">
      <c r="A670" s="10" t="inlineStr">
        <is>
          <t>2024-07-25</t>
        </is>
      </c>
      <c r="B670" s="10" t="n">
        <v>105093</v>
      </c>
    </row>
    <row r="671">
      <c r="A671" s="10" t="inlineStr">
        <is>
          <t>2024-10-01</t>
        </is>
      </c>
      <c r="B671" s="10" t="n">
        <v>118313</v>
      </c>
    </row>
    <row r="672">
      <c r="A672" s="10" t="inlineStr">
        <is>
          <t>26/02/2024</t>
        </is>
      </c>
      <c r="B672" s="10" t="inlineStr">
        <is>
          <t>Rp 87.903</t>
        </is>
      </c>
    </row>
    <row r="673">
      <c r="A673" s="10" t="inlineStr">
        <is>
          <t>2025-11-18</t>
        </is>
      </c>
      <c r="B673" s="10" t="n">
        <v>163901</v>
      </c>
    </row>
    <row r="674">
      <c r="A674" s="10" t="inlineStr">
        <is>
          <t>2026-04-12</t>
        </is>
      </c>
      <c r="B674" s="10" t="inlineStr">
        <is>
          <t>Rp 228.820</t>
        </is>
      </c>
    </row>
    <row r="675">
      <c r="A675" s="10" t="inlineStr">
        <is>
          <t>2024-09-10</t>
        </is>
      </c>
      <c r="B675" s="10" t="n">
        <v>126329</v>
      </c>
    </row>
    <row r="676">
      <c r="A676" s="10" t="inlineStr">
        <is>
          <t>2025-09-23</t>
        </is>
      </c>
      <c r="B676" s="10" t="n">
        <v>134769</v>
      </c>
    </row>
    <row r="677">
      <c r="A677" s="10" t="inlineStr">
        <is>
          <t>2024-05-02</t>
        </is>
      </c>
      <c r="B677" s="10" t="inlineStr">
        <is>
          <t>Rp 193.305</t>
        </is>
      </c>
    </row>
    <row r="678">
      <c r="A678" s="10" t="inlineStr">
        <is>
          <t>2023-08-16</t>
        </is>
      </c>
      <c r="B678" s="10" t="n">
        <v>86250</v>
      </c>
    </row>
    <row r="679">
      <c r="A679" s="10" t="inlineStr">
        <is>
          <t>15/04/2026</t>
        </is>
      </c>
      <c r="B679" s="10" t="n">
        <v>174529</v>
      </c>
    </row>
    <row r="680">
      <c r="A680" s="10" t="inlineStr">
        <is>
          <t>27 Aug 2024</t>
        </is>
      </c>
      <c r="B680" s="10" t="n">
        <v>119034</v>
      </c>
    </row>
    <row r="681">
      <c r="A681" s="10" t="inlineStr">
        <is>
          <t>2025-05-07</t>
        </is>
      </c>
      <c r="B681" s="10" t="n">
        <v>243844</v>
      </c>
    </row>
    <row r="682">
      <c r="A682" s="10" t="inlineStr">
        <is>
          <t>15 Aug 2023</t>
        </is>
      </c>
      <c r="B682" s="10" t="n">
        <v>107765</v>
      </c>
    </row>
    <row r="683">
      <c r="A683" s="10" t="inlineStr">
        <is>
          <t>31 Mar 2025</t>
        </is>
      </c>
      <c r="B683" s="10" t="n">
        <v>125635</v>
      </c>
    </row>
    <row r="684">
      <c r="A684" s="10" t="inlineStr">
        <is>
          <t>2025-05-02</t>
        </is>
      </c>
      <c r="B684" s="10" t="inlineStr">
        <is>
          <t>Rp 247.046</t>
        </is>
      </c>
    </row>
    <row r="685">
      <c r="A685" s="10" t="inlineStr">
        <is>
          <t>19 Oct 2023</t>
        </is>
      </c>
      <c r="B685" s="10" t="n">
        <v>101839</v>
      </c>
    </row>
    <row r="686">
      <c r="A686" s="10" t="inlineStr">
        <is>
          <t>2023-09-19</t>
        </is>
      </c>
      <c r="B686" s="10" t="n">
        <v>112542</v>
      </c>
    </row>
    <row r="687">
      <c r="A687" s="10" t="inlineStr">
        <is>
          <t>22/01/2024</t>
        </is>
      </c>
      <c r="B687" s="10" t="n">
        <v>118421</v>
      </c>
    </row>
    <row r="688">
      <c r="A688" s="10" t="inlineStr">
        <is>
          <t>2026-02-25</t>
        </is>
      </c>
      <c r="B688" s="10" t="n">
        <v>145354</v>
      </c>
    </row>
    <row r="689">
      <c r="A689" s="10" t="inlineStr">
        <is>
          <t>2025-04-20</t>
        </is>
      </c>
      <c r="B689" s="10" t="n">
        <v>189224</v>
      </c>
    </row>
    <row r="690">
      <c r="A690" s="10" t="inlineStr">
        <is>
          <t>2024-04-03</t>
        </is>
      </c>
      <c r="B690" s="10" t="n">
        <v>140560</v>
      </c>
    </row>
    <row r="691">
      <c r="A691" s="10" t="inlineStr">
        <is>
          <t>13 Jun 2024</t>
        </is>
      </c>
      <c r="B691" s="10" t="n">
        <v>124019</v>
      </c>
    </row>
    <row r="692">
      <c r="A692" s="10" t="inlineStr">
        <is>
          <t>2025-01-16</t>
        </is>
      </c>
      <c r="B692" s="10" t="n">
        <v>143118</v>
      </c>
    </row>
    <row r="693">
      <c r="A693" s="10" t="inlineStr">
        <is>
          <t>2023-06-10</t>
        </is>
      </c>
      <c r="B693" s="10" t="inlineStr">
        <is>
          <t>Rp 173.409</t>
        </is>
      </c>
    </row>
    <row r="694">
      <c r="A694" s="10" t="inlineStr">
        <is>
          <t>28/05/2026</t>
        </is>
      </c>
      <c r="B694" s="10" t="n">
        <v>269502</v>
      </c>
    </row>
    <row r="695">
      <c r="A695" s="10" t="inlineStr">
        <is>
          <t>2026-01-06</t>
        </is>
      </c>
      <c r="B695" s="10" t="n">
        <v>125691</v>
      </c>
    </row>
    <row r="696">
      <c r="A696" s="10" t="inlineStr">
        <is>
          <t>2025-09-26</t>
        </is>
      </c>
      <c r="B696" s="10" t="n">
        <v>167370</v>
      </c>
    </row>
    <row r="697">
      <c r="A697" s="10" t="inlineStr">
        <is>
          <t>26/05/2026</t>
        </is>
      </c>
      <c r="B697" s="10" t="n">
        <v>274057</v>
      </c>
    </row>
    <row r="698">
      <c r="A698" s="10" t="inlineStr">
        <is>
          <t>02 Jul 2023</t>
        </is>
      </c>
      <c r="B698" s="10" t="n">
        <v>123730</v>
      </c>
    </row>
    <row r="699">
      <c r="A699" s="10" t="inlineStr">
        <is>
          <t>2024-05-22</t>
        </is>
      </c>
      <c r="B699" s="10" t="inlineStr">
        <is>
          <t>Rp 160.693</t>
        </is>
      </c>
    </row>
    <row r="700">
      <c r="A700" s="10" t="inlineStr">
        <is>
          <t>2024-07-28</t>
        </is>
      </c>
      <c r="B700" s="10" t="n">
        <v>146662</v>
      </c>
    </row>
    <row r="701">
      <c r="A701" s="10" t="inlineStr">
        <is>
          <t>30/08/2024</t>
        </is>
      </c>
      <c r="B701" s="10" t="n">
        <v>129015</v>
      </c>
    </row>
    <row r="702">
      <c r="A702" s="10" t="inlineStr">
        <is>
          <t>2024-05-30</t>
        </is>
      </c>
      <c r="B702" s="10" t="n">
        <v>152125</v>
      </c>
    </row>
    <row r="703">
      <c r="A703" s="10" t="inlineStr">
        <is>
          <t>2025-08-31</t>
        </is>
      </c>
      <c r="B703" s="10" t="n">
        <v>158450</v>
      </c>
    </row>
    <row r="704">
      <c r="A704" s="10" t="inlineStr">
        <is>
          <t>2024-01-04</t>
        </is>
      </c>
      <c r="B704" s="10" t="inlineStr">
        <is>
          <t>Rp 114.994</t>
        </is>
      </c>
    </row>
    <row r="705">
      <c r="A705" s="10" t="inlineStr">
        <is>
          <t>2026-03-23</t>
        </is>
      </c>
      <c r="B705" s="10" t="n">
        <v>133962</v>
      </c>
    </row>
    <row r="706">
      <c r="A706" s="10" t="inlineStr">
        <is>
          <t>2025-09-15</t>
        </is>
      </c>
      <c r="B706" s="10" t="n"/>
    </row>
    <row r="707">
      <c r="A707" s="10" t="inlineStr">
        <is>
          <t>2025-08-14</t>
        </is>
      </c>
      <c r="B707" s="10" t="n">
        <v>139039</v>
      </c>
    </row>
    <row r="708">
      <c r="A708" s="10" t="inlineStr">
        <is>
          <t>01/12/2025</t>
        </is>
      </c>
      <c r="B708" s="10" t="n">
        <v>237100</v>
      </c>
    </row>
    <row r="709">
      <c r="A709" s="10" t="inlineStr">
        <is>
          <t>2023-09-10</t>
        </is>
      </c>
      <c r="B709" s="10" t="n">
        <v>156446</v>
      </c>
    </row>
    <row r="710">
      <c r="A710" s="10" t="inlineStr">
        <is>
          <t>06/12/2024</t>
        </is>
      </c>
      <c r="B710" s="10" t="n">
        <v>236491</v>
      </c>
    </row>
    <row r="711">
      <c r="A711" s="10" t="inlineStr">
        <is>
          <t>2026-05-12</t>
        </is>
      </c>
      <c r="B711" s="10" t="n">
        <v>211936</v>
      </c>
    </row>
    <row r="712">
      <c r="A712" s="10" t="inlineStr">
        <is>
          <t>2024-01-07</t>
        </is>
      </c>
      <c r="B712" s="10" t="n">
        <v>147662</v>
      </c>
    </row>
    <row r="713">
      <c r="A713" s="10" t="inlineStr">
        <is>
          <t>2025-03-30</t>
        </is>
      </c>
      <c r="B713" s="10" t="n">
        <v>158961</v>
      </c>
    </row>
    <row r="714">
      <c r="A714" s="10" t="inlineStr">
        <is>
          <t>2026-02-03</t>
        </is>
      </c>
      <c r="B714" s="10" t="n">
        <v>154727</v>
      </c>
    </row>
    <row r="715">
      <c r="A715" s="10" t="inlineStr">
        <is>
          <t>2025-02-21</t>
        </is>
      </c>
      <c r="B715" s="10" t="n">
        <v>149925</v>
      </c>
    </row>
    <row r="716">
      <c r="A716" s="10" t="inlineStr">
        <is>
          <t>2025-10-21</t>
        </is>
      </c>
      <c r="B716" s="10" t="n">
        <v>181821</v>
      </c>
    </row>
    <row r="717">
      <c r="A717" s="10" t="inlineStr">
        <is>
          <t>2023-08-09</t>
        </is>
      </c>
      <c r="B717" s="10" t="inlineStr">
        <is>
          <t>Rp 109.990</t>
        </is>
      </c>
    </row>
    <row r="718">
      <c r="A718" s="10" t="inlineStr">
        <is>
          <t>2025-07-03</t>
        </is>
      </c>
      <c r="B718" s="10" t="n">
        <v>135582</v>
      </c>
    </row>
    <row r="719">
      <c r="A719" s="10" t="inlineStr">
        <is>
          <t>2023-11-20</t>
        </is>
      </c>
      <c r="B719" s="10" t="n">
        <v>137658</v>
      </c>
    </row>
    <row r="720">
      <c r="A720" s="10" t="inlineStr">
        <is>
          <t>06/08/2024</t>
        </is>
      </c>
      <c r="B720" s="10" t="n">
        <v>101902</v>
      </c>
    </row>
    <row r="721">
      <c r="A721" s="10" t="inlineStr">
        <is>
          <t>2023-10-28</t>
        </is>
      </c>
      <c r="B721" s="10" t="n">
        <v>123662</v>
      </c>
    </row>
    <row r="722">
      <c r="A722" s="10" t="inlineStr">
        <is>
          <t>2024-01-23</t>
        </is>
      </c>
      <c r="B722" s="10" t="n">
        <v>122058</v>
      </c>
    </row>
    <row r="723">
      <c r="A723" s="10" t="inlineStr">
        <is>
          <t>24 Sep 2024</t>
        </is>
      </c>
      <c r="B723" s="10" t="n">
        <v>131628</v>
      </c>
    </row>
    <row r="724">
      <c r="A724" s="10" t="inlineStr">
        <is>
          <t>08/08/2025</t>
        </is>
      </c>
      <c r="B724" s="10" t="n">
        <v>167864</v>
      </c>
    </row>
    <row r="725">
      <c r="A725" s="10" t="inlineStr">
        <is>
          <t>2024-06-20</t>
        </is>
      </c>
      <c r="B725" s="10" t="n">
        <v>126713</v>
      </c>
    </row>
    <row r="726">
      <c r="A726" s="10" t="inlineStr">
        <is>
          <t>17/05/2026</t>
        </is>
      </c>
      <c r="B726" s="10" t="n">
        <v>265082</v>
      </c>
    </row>
    <row r="727">
      <c r="A727" s="10" t="inlineStr">
        <is>
          <t>27/12/2023</t>
        </is>
      </c>
      <c r="B727" s="10" t="n">
        <v>144447</v>
      </c>
    </row>
    <row r="728">
      <c r="A728" s="10" t="inlineStr">
        <is>
          <t>2024-05-06</t>
        </is>
      </c>
      <c r="B728" s="10" t="n">
        <v>158027</v>
      </c>
    </row>
    <row r="729">
      <c r="A729" s="10" t="inlineStr">
        <is>
          <t>2025-04-23</t>
        </is>
      </c>
      <c r="B729" s="10" t="n">
        <v>131542</v>
      </c>
    </row>
    <row r="730">
      <c r="A730" s="10" t="inlineStr">
        <is>
          <t>2025-02-02</t>
        </is>
      </c>
      <c r="B730" s="10" t="n">
        <v>143669</v>
      </c>
    </row>
    <row r="731">
      <c r="A731" s="10" t="inlineStr">
        <is>
          <t>2025-12-11</t>
        </is>
      </c>
      <c r="B731" s="10" t="n">
        <v>222962</v>
      </c>
    </row>
    <row r="732">
      <c r="A732" s="10" t="inlineStr">
        <is>
          <t>2023-10-06</t>
        </is>
      </c>
      <c r="B732" s="10" t="n">
        <v>138458</v>
      </c>
    </row>
    <row r="733">
      <c r="A733" s="10" t="inlineStr">
        <is>
          <t>2025-12-09</t>
        </is>
      </c>
      <c r="B733" s="10" t="n">
        <v>211259</v>
      </c>
    </row>
    <row r="734">
      <c r="A734" s="10" t="inlineStr">
        <is>
          <t>03 Nov 2025</t>
        </is>
      </c>
      <c r="B734" s="10" t="n">
        <v>188596</v>
      </c>
    </row>
    <row r="735">
      <c r="A735" s="10" t="inlineStr">
        <is>
          <t>2026-01-11</t>
        </is>
      </c>
      <c r="B735" s="10" t="n">
        <v>151763</v>
      </c>
    </row>
    <row r="736">
      <c r="A736" s="10" t="inlineStr">
        <is>
          <t>2026-03-17</t>
        </is>
      </c>
      <c r="B736" s="10" t="n">
        <v>157098</v>
      </c>
    </row>
    <row r="737">
      <c r="A737" s="10" t="inlineStr">
        <is>
          <t>2025-02-05</t>
        </is>
      </c>
      <c r="B737" s="10" t="inlineStr">
        <is>
          <t>Rp 141.558</t>
        </is>
      </c>
    </row>
    <row r="738">
      <c r="A738" s="10" t="inlineStr">
        <is>
          <t>2025-06-28</t>
        </is>
      </c>
      <c r="B738" s="10" t="inlineStr">
        <is>
          <t>Rp 224.829</t>
        </is>
      </c>
    </row>
    <row r="739">
      <c r="A739" s="10" t="inlineStr">
        <is>
          <t>25 May 2026</t>
        </is>
      </c>
      <c r="B739" s="10" t="n">
        <v>251823</v>
      </c>
    </row>
    <row r="740">
      <c r="A740" s="10" t="inlineStr">
        <is>
          <t>2025-01-09</t>
        </is>
      </c>
      <c r="B740" s="10" t="n">
        <v>134820</v>
      </c>
    </row>
    <row r="741">
      <c r="A741" s="10" t="inlineStr">
        <is>
          <t>2024-06-24</t>
        </is>
      </c>
      <c r="B741" s="10" t="n">
        <v>131000</v>
      </c>
    </row>
    <row r="742">
      <c r="A742" s="10" t="inlineStr">
        <is>
          <t>2023-07-24</t>
        </is>
      </c>
      <c r="B742" s="10" t="n">
        <v>105705</v>
      </c>
    </row>
    <row r="743">
      <c r="A743" s="10" t="inlineStr">
        <is>
          <t>2024-01-16</t>
        </is>
      </c>
      <c r="B743" s="10" t="n">
        <v>108367</v>
      </c>
    </row>
    <row r="744">
      <c r="A744" s="10" t="inlineStr">
        <is>
          <t>2023-07-06</t>
        </is>
      </c>
      <c r="B744" s="10" t="inlineStr">
        <is>
          <t>Rp 122.853</t>
        </is>
      </c>
    </row>
    <row r="745">
      <c r="A745" s="10" t="inlineStr">
        <is>
          <t>2025-08-04</t>
        </is>
      </c>
      <c r="B745" s="10" t="inlineStr">
        <is>
          <t>Rp 108.171</t>
        </is>
      </c>
    </row>
    <row r="746">
      <c r="A746" s="10" t="inlineStr">
        <is>
          <t>2025-02-12</t>
        </is>
      </c>
      <c r="B746" s="10" t="inlineStr">
        <is>
          <t>Rp 107.781</t>
        </is>
      </c>
    </row>
    <row r="747">
      <c r="A747" s="10" t="inlineStr">
        <is>
          <t>2024-04-10</t>
        </is>
      </c>
      <c r="B747" s="10" t="n">
        <v>135781</v>
      </c>
    </row>
    <row r="748">
      <c r="A748" s="10" t="inlineStr">
        <is>
          <t>2023-06-08</t>
        </is>
      </c>
      <c r="B748" s="10" t="n">
        <v>145731</v>
      </c>
    </row>
    <row r="749">
      <c r="A749" s="10" t="inlineStr">
        <is>
          <t>2024-11-19</t>
        </is>
      </c>
      <c r="B749" s="10" t="inlineStr">
        <is>
          <t>Rp 167.839</t>
        </is>
      </c>
    </row>
    <row r="750">
      <c r="A750" s="10" t="inlineStr">
        <is>
          <t>2025-06-26</t>
        </is>
      </c>
      <c r="B750" s="10" t="n">
        <v>192804</v>
      </c>
    </row>
    <row r="751">
      <c r="A751" s="10" t="inlineStr">
        <is>
          <t>2025-07-19</t>
        </is>
      </c>
      <c r="B751" s="10" t="n">
        <v>152196</v>
      </c>
    </row>
    <row r="752">
      <c r="A752" s="10" t="inlineStr">
        <is>
          <t>2024-04-14</t>
        </is>
      </c>
      <c r="B752" s="10" t="n">
        <v>158426</v>
      </c>
    </row>
    <row r="753">
      <c r="A753" s="10" t="inlineStr">
        <is>
          <t>2024-04-06</t>
        </is>
      </c>
      <c r="B753" s="10" t="n">
        <v>182293</v>
      </c>
    </row>
    <row r="754">
      <c r="A754" s="10" t="inlineStr">
        <is>
          <t>2025-09-26</t>
        </is>
      </c>
      <c r="B754" s="10" t="n">
        <v>167370</v>
      </c>
    </row>
    <row r="755">
      <c r="A755" s="10" t="inlineStr">
        <is>
          <t>28/03/2024</t>
        </is>
      </c>
      <c r="B755" s="10" t="n">
        <v>97467</v>
      </c>
    </row>
    <row r="756">
      <c r="A756" s="10" t="inlineStr">
        <is>
          <t>09/07/2024</t>
        </is>
      </c>
      <c r="B756" s="10" t="n">
        <v>110460</v>
      </c>
    </row>
    <row r="757">
      <c r="A757" s="10" t="inlineStr">
        <is>
          <t>2025-09-06</t>
        </is>
      </c>
      <c r="B757" s="10" t="n">
        <v>167564</v>
      </c>
    </row>
    <row r="758">
      <c r="A758" s="10" t="inlineStr">
        <is>
          <t>2025-05-20</t>
        </is>
      </c>
      <c r="B758" s="10" t="inlineStr">
        <is>
          <t>Rp 249.884</t>
        </is>
      </c>
    </row>
    <row r="759">
      <c r="A759" s="10" t="inlineStr">
        <is>
          <t>2026-03-07</t>
        </is>
      </c>
      <c r="B759" s="10" t="n">
        <v>208755</v>
      </c>
    </row>
    <row r="760">
      <c r="A760" s="10" t="inlineStr">
        <is>
          <t>14 Nov 2024</t>
        </is>
      </c>
      <c r="B760" s="10" t="n">
        <v>185276</v>
      </c>
    </row>
    <row r="761">
      <c r="A761" s="10" t="inlineStr">
        <is>
          <t>16/05/2025</t>
        </is>
      </c>
      <c r="B761" s="10" t="inlineStr">
        <is>
          <t>Rp 308.007</t>
        </is>
      </c>
    </row>
    <row r="762">
      <c r="A762" s="10" t="inlineStr">
        <is>
          <t>15/05/2026</t>
        </is>
      </c>
      <c r="B762" s="10" t="inlineStr">
        <is>
          <t>Rp 299.432</t>
        </is>
      </c>
    </row>
    <row r="763">
      <c r="A763" s="10" t="inlineStr">
        <is>
          <t>2024-11-03</t>
        </is>
      </c>
      <c r="B763" s="10" t="n">
        <v>224547</v>
      </c>
    </row>
    <row r="764">
      <c r="A764" s="10" t="inlineStr">
        <is>
          <t>2023-08-26</t>
        </is>
      </c>
      <c r="B764" s="10" t="n">
        <v>140275</v>
      </c>
    </row>
    <row r="765">
      <c r="A765" s="10" t="inlineStr">
        <is>
          <t>2026-05-11</t>
        </is>
      </c>
      <c r="B765" s="10" t="n">
        <v>251737</v>
      </c>
    </row>
    <row r="766">
      <c r="A766" s="10" t="inlineStr">
        <is>
          <t>2023-08-01</t>
        </is>
      </c>
      <c r="B766" s="10" t="n">
        <v>94165</v>
      </c>
    </row>
    <row r="767">
      <c r="A767" s="10" t="inlineStr">
        <is>
          <t>2024-08-26</t>
        </is>
      </c>
      <c r="B767" s="10" t="inlineStr">
        <is>
          <t>Rp 93.472</t>
        </is>
      </c>
    </row>
    <row r="768">
      <c r="A768" s="10" t="inlineStr">
        <is>
          <t>2025-09-11</t>
        </is>
      </c>
      <c r="B768" s="10" t="n">
        <v>135678</v>
      </c>
    </row>
    <row r="769">
      <c r="A769" s="10" t="inlineStr">
        <is>
          <t>2024-10-24</t>
        </is>
      </c>
      <c r="B769" s="10" t="inlineStr">
        <is>
          <t>Rp 148.822</t>
        </is>
      </c>
    </row>
    <row r="770">
      <c r="A770" s="10" t="inlineStr">
        <is>
          <t>2025-02-20</t>
        </is>
      </c>
      <c r="B770" s="10" t="n">
        <v>133056</v>
      </c>
    </row>
    <row r="771">
      <c r="A771" s="10" t="inlineStr">
        <is>
          <t>2023-12-06</t>
        </is>
      </c>
      <c r="B771" s="10" t="n">
        <v>160680</v>
      </c>
    </row>
    <row r="772">
      <c r="A772" s="10" t="inlineStr">
        <is>
          <t>2023-11-10</t>
        </is>
      </c>
      <c r="B772" s="10" t="n">
        <v>150742</v>
      </c>
    </row>
    <row r="773">
      <c r="A773" s="10" t="inlineStr">
        <is>
          <t>2024-01-29</t>
        </is>
      </c>
      <c r="B773" s="10" t="n">
        <v>125319</v>
      </c>
    </row>
    <row r="774">
      <c r="A774" s="10" t="inlineStr">
        <is>
          <t>12/09/2025</t>
        </is>
      </c>
      <c r="B774" s="10" t="inlineStr">
        <is>
          <t>Rp 159.857</t>
        </is>
      </c>
    </row>
    <row r="775">
      <c r="A775" s="10" t="inlineStr">
        <is>
          <t>2025-05-29</t>
        </is>
      </c>
      <c r="B775" s="10" t="inlineStr">
        <is>
          <t>Rp 267.257</t>
        </is>
      </c>
    </row>
    <row r="776">
      <c r="A776" s="10" t="inlineStr">
        <is>
          <t>2024-11-13</t>
        </is>
      </c>
      <c r="B776" s="10" t="n">
        <v>159873</v>
      </c>
    </row>
    <row r="777">
      <c r="A777" s="10" t="inlineStr">
        <is>
          <t>06 Jun 2024</t>
        </is>
      </c>
      <c r="B777" s="10" t="n">
        <v>134743</v>
      </c>
    </row>
    <row r="778">
      <c r="A778" s="10" t="inlineStr">
        <is>
          <t>05 Jan 2026</t>
        </is>
      </c>
      <c r="B778" s="10" t="n">
        <v>114585</v>
      </c>
    </row>
    <row r="779">
      <c r="A779" s="10" t="inlineStr">
        <is>
          <t>2024-05-23</t>
        </is>
      </c>
      <c r="B779" s="10" t="n">
        <v>168414</v>
      </c>
    </row>
    <row r="780">
      <c r="A780" s="10" t="inlineStr">
        <is>
          <t>2024-02-09</t>
        </is>
      </c>
      <c r="B780" s="10" t="inlineStr">
        <is>
          <t>Rp 120.077</t>
        </is>
      </c>
    </row>
    <row r="781">
      <c r="A781" s="10" t="inlineStr">
        <is>
          <t>2026-01-13</t>
        </is>
      </c>
      <c r="B781" s="10" t="n">
        <v>134304</v>
      </c>
    </row>
    <row r="782">
      <c r="A782" s="10" t="inlineStr">
        <is>
          <t>2023-09-05</t>
        </is>
      </c>
      <c r="B782" s="10" t="n">
        <v>118283</v>
      </c>
    </row>
    <row r="783">
      <c r="A783" s="10" t="inlineStr">
        <is>
          <t>2024-01-31</t>
        </is>
      </c>
      <c r="B783" s="10" t="n">
        <v>102945</v>
      </c>
    </row>
    <row r="784">
      <c r="A784" s="10" t="inlineStr">
        <is>
          <t>2023-09-22</t>
        </is>
      </c>
      <c r="B784" s="10" t="inlineStr">
        <is>
          <t>Rp 138.699</t>
        </is>
      </c>
    </row>
    <row r="785">
      <c r="A785" s="10" t="inlineStr">
        <is>
          <t>05/04/2026</t>
        </is>
      </c>
      <c r="B785" s="10" t="n">
        <v>234038</v>
      </c>
    </row>
    <row r="786">
      <c r="A786" s="10" t="inlineStr">
        <is>
          <t>2025-06-24</t>
        </is>
      </c>
      <c r="B786" s="10" t="n">
        <v>162259</v>
      </c>
    </row>
    <row r="787">
      <c r="A787" s="10" t="inlineStr">
        <is>
          <t>23/08/2024</t>
        </is>
      </c>
      <c r="B787" s="10" t="inlineStr">
        <is>
          <t>Rp 140.697</t>
        </is>
      </c>
    </row>
    <row r="788">
      <c r="A788" s="10" t="inlineStr">
        <is>
          <t>2024-07-31</t>
        </is>
      </c>
      <c r="B788" s="10" t="n"/>
    </row>
    <row r="789">
      <c r="A789" s="10" t="inlineStr">
        <is>
          <t>2025-10-25</t>
        </is>
      </c>
      <c r="B789" s="10" t="n">
        <v>184585</v>
      </c>
    </row>
    <row r="790">
      <c r="A790" s="10" t="inlineStr">
        <is>
          <t>14/06/2025</t>
        </is>
      </c>
      <c r="B790" s="10" t="inlineStr">
        <is>
          <t>Rp 217.456</t>
        </is>
      </c>
    </row>
    <row r="791">
      <c r="A791" s="10" t="inlineStr">
        <is>
          <t>2025-11-30</t>
        </is>
      </c>
      <c r="B791" s="10" t="inlineStr">
        <is>
          <t>Rp 183.808</t>
        </is>
      </c>
    </row>
    <row r="792">
      <c r="A792" s="10" t="inlineStr">
        <is>
          <t>2026-01-29</t>
        </is>
      </c>
      <c r="B792" s="10" t="n">
        <v>117992</v>
      </c>
    </row>
    <row r="793">
      <c r="A793" s="10" t="inlineStr">
        <is>
          <t>2024-07-21</t>
        </is>
      </c>
      <c r="B793" s="10" t="n">
        <v>144256</v>
      </c>
    </row>
    <row r="794">
      <c r="A794" s="10" t="inlineStr">
        <is>
          <t>13/06/2023</t>
        </is>
      </c>
      <c r="B794" s="10" t="n">
        <v>148091</v>
      </c>
    </row>
    <row r="795">
      <c r="A795" s="10" t="inlineStr">
        <is>
          <t>01 Aug 2025</t>
        </is>
      </c>
      <c r="B795" s="10" t="n">
        <v>144650</v>
      </c>
    </row>
    <row r="796">
      <c r="A796" s="10" t="inlineStr">
        <is>
          <t>2023-11-11</t>
        </is>
      </c>
      <c r="B796" s="10" t="inlineStr">
        <is>
          <t>Rp 155.687</t>
        </is>
      </c>
    </row>
    <row r="797">
      <c r="A797" s="10" t="inlineStr">
        <is>
          <t>26 Jun 2024</t>
        </is>
      </c>
      <c r="B797" s="10" t="n">
        <v>135876</v>
      </c>
    </row>
    <row r="798">
      <c r="A798" s="10" t="inlineStr">
        <is>
          <t>2026-01-20</t>
        </is>
      </c>
      <c r="B798" s="10" t="n">
        <v>117693</v>
      </c>
    </row>
    <row r="799">
      <c r="A799" s="10" t="inlineStr">
        <is>
          <t>2025-10-28</t>
        </is>
      </c>
      <c r="B799" s="10" t="n">
        <v>171439</v>
      </c>
    </row>
    <row r="800">
      <c r="A800" s="10" t="inlineStr">
        <is>
          <t>2024-03-13</t>
        </is>
      </c>
      <c r="B800" s="10" t="n">
        <v>127969</v>
      </c>
    </row>
    <row r="801">
      <c r="A801" s="10" t="inlineStr">
        <is>
          <t>01/07/2025</t>
        </is>
      </c>
      <c r="B801" s="10" t="n">
        <v>107911</v>
      </c>
    </row>
    <row r="802">
      <c r="A802" s="10" t="inlineStr">
        <is>
          <t>18/10/2024</t>
        </is>
      </c>
      <c r="B802" s="10" t="n">
        <v>172374</v>
      </c>
    </row>
    <row r="803">
      <c r="A803" s="10" t="inlineStr">
        <is>
          <t>2024-02-20</t>
        </is>
      </c>
      <c r="B803" s="10" t="n">
        <v>112891</v>
      </c>
    </row>
    <row r="804">
      <c r="A804" s="10" t="inlineStr">
        <is>
          <t>2024-03-09</t>
        </is>
      </c>
      <c r="B804" s="10" t="n">
        <v>122961</v>
      </c>
    </row>
    <row r="805">
      <c r="A805" s="10" t="inlineStr">
        <is>
          <t>05 Oct 2024</t>
        </is>
      </c>
      <c r="B805" s="10" t="n">
        <v>163414</v>
      </c>
    </row>
    <row r="806">
      <c r="A806" s="10" t="inlineStr">
        <is>
          <t>2024-03-20</t>
        </is>
      </c>
      <c r="B806" s="10" t="n">
        <v>128239</v>
      </c>
    </row>
    <row r="807">
      <c r="A807" s="10" t="inlineStr">
        <is>
          <t>2023-12-24</t>
        </is>
      </c>
      <c r="B807" s="10" t="n">
        <v>224217</v>
      </c>
    </row>
    <row r="808">
      <c r="A808" s="10" t="inlineStr">
        <is>
          <t>2024-01-19</t>
        </is>
      </c>
      <c r="B808" s="10" t="n">
        <v>152653</v>
      </c>
    </row>
    <row r="809">
      <c r="A809" s="10" t="inlineStr">
        <is>
          <t>2026-04-18</t>
        </is>
      </c>
      <c r="B809" s="10" t="n"/>
    </row>
    <row r="810">
      <c r="A810" s="10" t="inlineStr">
        <is>
          <t>2025-05-14</t>
        </is>
      </c>
      <c r="B810" s="10" t="n">
        <v>268808</v>
      </c>
    </row>
    <row r="811">
      <c r="A811" s="10" t="inlineStr">
        <is>
          <t>2025-11-13</t>
        </is>
      </c>
      <c r="B811" s="10" t="n">
        <v>185585</v>
      </c>
    </row>
    <row r="812">
      <c r="A812" s="10" t="inlineStr">
        <is>
          <t>2026-04-23</t>
        </is>
      </c>
      <c r="B812" s="10" t="n">
        <v>173404</v>
      </c>
    </row>
    <row r="813">
      <c r="A813" s="10" t="inlineStr">
        <is>
          <t>05/07/2024</t>
        </is>
      </c>
      <c r="B813" s="10" t="n">
        <v>119430</v>
      </c>
    </row>
    <row r="814">
      <c r="A814" s="10" t="inlineStr">
        <is>
          <t>10/10/2024</t>
        </is>
      </c>
      <c r="B814" s="10" t="n">
        <v>133974</v>
      </c>
    </row>
    <row r="815">
      <c r="A815" s="10" t="inlineStr">
        <is>
          <t>2025-04-14</t>
        </is>
      </c>
      <c r="B815" s="10" t="inlineStr">
        <is>
          <t>Rp 146.836</t>
        </is>
      </c>
    </row>
    <row r="816">
      <c r="A816" s="10" t="inlineStr">
        <is>
          <t>2026-02-22</t>
        </is>
      </c>
      <c r="B816" s="10" t="n">
        <v>146033</v>
      </c>
    </row>
    <row r="817">
      <c r="A817" s="10" t="inlineStr">
        <is>
          <t>2023-11-05</t>
        </is>
      </c>
      <c r="B817" s="10" t="n">
        <v>168446</v>
      </c>
    </row>
    <row r="818">
      <c r="A818" s="10" t="inlineStr">
        <is>
          <t>2026-02-20</t>
        </is>
      </c>
      <c r="B818" s="10" t="n">
        <v>172721</v>
      </c>
    </row>
    <row r="819">
      <c r="A819" s="10" t="inlineStr">
        <is>
          <t>16 Mar 2025</t>
        </is>
      </c>
      <c r="B819" s="10" t="inlineStr">
        <is>
          <t>Rp 175.913</t>
        </is>
      </c>
    </row>
    <row r="820">
      <c r="A820" s="10" t="inlineStr">
        <is>
          <t>2024-10-04</t>
        </is>
      </c>
      <c r="B820" s="10" t="inlineStr">
        <is>
          <t>Rp 165.574</t>
        </is>
      </c>
    </row>
    <row r="821">
      <c r="A821" s="10" t="inlineStr">
        <is>
          <t>2025-11-12</t>
        </is>
      </c>
      <c r="B821" s="10" t="n">
        <v>152981</v>
      </c>
    </row>
    <row r="822">
      <c r="A822" s="10" t="inlineStr">
        <is>
          <t>2026-02-14</t>
        </is>
      </c>
      <c r="B822" s="10" t="inlineStr">
        <is>
          <t>Rp 189.122</t>
        </is>
      </c>
    </row>
    <row r="823">
      <c r="A823" s="10" t="inlineStr">
        <is>
          <t>2024-05-05</t>
        </is>
      </c>
      <c r="B823" s="10" t="inlineStr">
        <is>
          <t>Rp 198.911</t>
        </is>
      </c>
    </row>
    <row r="824">
      <c r="A824" s="10" t="inlineStr">
        <is>
          <t>14/12/2025</t>
        </is>
      </c>
      <c r="B824" s="10" t="inlineStr">
        <is>
          <t>Rp 293.919</t>
        </is>
      </c>
    </row>
    <row r="825">
      <c r="A825" s="10" t="inlineStr">
        <is>
          <t>14/10/2025</t>
        </is>
      </c>
      <c r="B825" s="10" t="inlineStr">
        <is>
          <t>Rp 182.574</t>
        </is>
      </c>
    </row>
    <row r="826">
      <c r="A826" s="10" t="inlineStr">
        <is>
          <t>2025-09-10</t>
        </is>
      </c>
      <c r="B826" s="10" t="n">
        <v>153102</v>
      </c>
    </row>
    <row r="827">
      <c r="A827" s="10" t="inlineStr">
        <is>
          <t>2024-06-12</t>
        </is>
      </c>
      <c r="B827" s="10" t="n">
        <v>119699</v>
      </c>
    </row>
    <row r="828">
      <c r="A828" s="10" t="inlineStr">
        <is>
          <t>2024-07-06</t>
        </is>
      </c>
      <c r="B828" s="10" t="inlineStr">
        <is>
          <t>Rp 144.362</t>
        </is>
      </c>
    </row>
    <row r="829">
      <c r="A829" s="10" t="inlineStr">
        <is>
          <t>2024-08-21</t>
        </is>
      </c>
      <c r="B829" s="10" t="n">
        <v>125559</v>
      </c>
    </row>
    <row r="830">
      <c r="A830" s="10" t="inlineStr">
        <is>
          <t>16/04/2026</t>
        </is>
      </c>
      <c r="B830" s="10" t="n">
        <v>206334</v>
      </c>
    </row>
    <row r="831">
      <c r="A831" s="10" t="inlineStr">
        <is>
          <t>2023-11-04</t>
        </is>
      </c>
      <c r="B831" s="10" t="n">
        <v>168310</v>
      </c>
    </row>
    <row r="832">
      <c r="A832" s="10" t="inlineStr">
        <is>
          <t>2024-06-21</t>
        </is>
      </c>
      <c r="B832" s="10" t="n">
        <v>147687</v>
      </c>
    </row>
    <row r="833">
      <c r="A833" s="10" t="inlineStr">
        <is>
          <t>2023-11-27</t>
        </is>
      </c>
      <c r="B833" s="10" t="n">
        <v>123289</v>
      </c>
    </row>
    <row r="834">
      <c r="A834" s="10" t="inlineStr">
        <is>
          <t>2025-03-26</t>
        </is>
      </c>
      <c r="B834" s="10" t="n">
        <v>139325</v>
      </c>
    </row>
    <row r="835">
      <c r="A835" s="10" t="inlineStr">
        <is>
          <t>25 Mar 2025</t>
        </is>
      </c>
      <c r="B835" s="10" t="n">
        <v>151133</v>
      </c>
    </row>
    <row r="836">
      <c r="A836" s="10" t="inlineStr">
        <is>
          <t>2023-08-18</t>
        </is>
      </c>
      <c r="B836" s="10" t="n">
        <v>107143</v>
      </c>
    </row>
    <row r="837">
      <c r="A837" s="10" t="inlineStr">
        <is>
          <t>2025-12-22</t>
        </is>
      </c>
      <c r="B837" s="10" t="n">
        <v>239758</v>
      </c>
    </row>
    <row r="838">
      <c r="A838" s="10" t="inlineStr">
        <is>
          <t>14 Mar 2025</t>
        </is>
      </c>
      <c r="B838" s="10" t="n">
        <v>168469</v>
      </c>
    </row>
    <row r="839">
      <c r="A839" s="10" t="inlineStr">
        <is>
          <t>2026-04-07</t>
        </is>
      </c>
      <c r="B839" s="10" t="n">
        <v>197448</v>
      </c>
    </row>
    <row r="840">
      <c r="A840" s="10" t="inlineStr">
        <is>
          <t>2026-04-14</t>
        </is>
      </c>
      <c r="B840" s="10" t="n">
        <v>183767</v>
      </c>
    </row>
    <row r="841">
      <c r="A841" s="10" t="inlineStr">
        <is>
          <t>2025-12-12</t>
        </is>
      </c>
      <c r="B841" s="10" t="n">
        <v>268480</v>
      </c>
    </row>
    <row r="842">
      <c r="A842" s="10" t="inlineStr">
        <is>
          <t>2023-09-01</t>
        </is>
      </c>
      <c r="B842" s="10" t="inlineStr">
        <is>
          <t>Rp 125.742</t>
        </is>
      </c>
    </row>
    <row r="843">
      <c r="A843" s="10" t="inlineStr">
        <is>
          <t>2025-06-06</t>
        </is>
      </c>
      <c r="B843" s="10" t="n">
        <v>186643</v>
      </c>
    </row>
    <row r="844">
      <c r="A844" s="10" t="inlineStr">
        <is>
          <t>2025-04-25</t>
        </is>
      </c>
      <c r="B844" s="10" t="n">
        <v>168684</v>
      </c>
    </row>
    <row r="845">
      <c r="A845" s="10" t="inlineStr">
        <is>
          <t>2024-04-15</t>
        </is>
      </c>
      <c r="B845" s="10" t="inlineStr">
        <is>
          <t>Rp 148.654</t>
        </is>
      </c>
    </row>
    <row r="846">
      <c r="A846" s="10" t="inlineStr">
        <is>
          <t>2025-03-05</t>
        </is>
      </c>
      <c r="B846" s="10" t="inlineStr">
        <is>
          <t>Rp 137.566</t>
        </is>
      </c>
    </row>
    <row r="847">
      <c r="A847" s="10" t="inlineStr">
        <is>
          <t>2025-05-10</t>
        </is>
      </c>
      <c r="B847" s="10" t="n">
        <v>270821</v>
      </c>
    </row>
    <row r="848">
      <c r="A848" s="10" t="inlineStr">
        <is>
          <t>2024-09-27</t>
        </is>
      </c>
      <c r="B848" s="10" t="n">
        <v>181991</v>
      </c>
    </row>
    <row r="849">
      <c r="A849" s="10" t="inlineStr">
        <is>
          <t>2025-04-26</t>
        </is>
      </c>
      <c r="B849" s="10" t="n">
        <v>207833</v>
      </c>
    </row>
    <row r="850">
      <c r="A850" s="10" t="inlineStr">
        <is>
          <t>2023-12-16</t>
        </is>
      </c>
      <c r="B850" s="10" t="n">
        <v>238574</v>
      </c>
    </row>
    <row r="851">
      <c r="A851" s="10" t="inlineStr">
        <is>
          <t>2023-09-13</t>
        </is>
      </c>
      <c r="B851" s="10" t="n">
        <v>109347</v>
      </c>
    </row>
    <row r="852">
      <c r="A852" s="10" t="inlineStr">
        <is>
          <t>2025-09-02</t>
        </is>
      </c>
      <c r="B852" s="10" t="n">
        <v>117082</v>
      </c>
    </row>
    <row r="853">
      <c r="A853" s="10" t="inlineStr">
        <is>
          <t>26 Aug 2025</t>
        </is>
      </c>
      <c r="B853" s="10" t="n">
        <v>120521</v>
      </c>
    </row>
    <row r="854">
      <c r="A854" s="10" t="inlineStr">
        <is>
          <t>2024-11-06</t>
        </is>
      </c>
      <c r="B854" s="10" t="n">
        <v>177727</v>
      </c>
    </row>
    <row r="855">
      <c r="A855" s="10" t="inlineStr">
        <is>
          <t>12 May 2025</t>
        </is>
      </c>
      <c r="B855" s="10" t="n">
        <v>198993</v>
      </c>
    </row>
    <row r="856">
      <c r="A856" s="10" t="inlineStr">
        <is>
          <t>10 Feb 2025</t>
        </is>
      </c>
      <c r="B856" s="10" t="n">
        <v>105294</v>
      </c>
    </row>
    <row r="857">
      <c r="A857" s="10" t="inlineStr">
        <is>
          <t>2025-02-19</t>
        </is>
      </c>
      <c r="B857" s="10" t="n">
        <v>125268</v>
      </c>
    </row>
    <row r="858">
      <c r="A858" s="10" t="inlineStr">
        <is>
          <t>05/03/2026</t>
        </is>
      </c>
      <c r="B858" s="10" t="n">
        <v>178826</v>
      </c>
    </row>
    <row r="859">
      <c r="A859" s="10" t="inlineStr">
        <is>
          <t>2024-08-12</t>
        </is>
      </c>
      <c r="B859" s="10" t="n">
        <v>117367</v>
      </c>
    </row>
    <row r="860">
      <c r="A860" s="10" t="inlineStr">
        <is>
          <t>2026-05-07</t>
        </is>
      </c>
      <c r="B860" s="10" t="inlineStr">
        <is>
          <t>Rp 242.535</t>
        </is>
      </c>
    </row>
    <row r="861">
      <c r="A861" s="10" t="inlineStr">
        <is>
          <t>2023-10-12</t>
        </is>
      </c>
      <c r="B861" s="10" t="n">
        <v>114516</v>
      </c>
    </row>
    <row r="862">
      <c r="A862" s="10" t="inlineStr">
        <is>
          <t>2023-09-27</t>
        </is>
      </c>
      <c r="B862" s="10" t="n">
        <v>121436</v>
      </c>
    </row>
    <row r="863">
      <c r="A863" s="10" t="inlineStr">
        <is>
          <t>2025-08-23</t>
        </is>
      </c>
      <c r="B863" s="10" t="n">
        <v>151123</v>
      </c>
    </row>
    <row r="864">
      <c r="A864" s="10" t="inlineStr">
        <is>
          <t>2025-03-08</t>
        </is>
      </c>
      <c r="B864" s="10" t="inlineStr">
        <is>
          <t>Rp 184.566</t>
        </is>
      </c>
    </row>
    <row r="865">
      <c r="A865" s="10" t="inlineStr">
        <is>
          <t>2025-12-17</t>
        </is>
      </c>
      <c r="B865" s="10" t="n">
        <v>220809</v>
      </c>
    </row>
    <row r="866">
      <c r="A866" s="10" t="inlineStr">
        <is>
          <t>2024-11-23</t>
        </is>
      </c>
      <c r="B866" s="10" t="inlineStr">
        <is>
          <t>Rp 253.712</t>
        </is>
      </c>
    </row>
    <row r="867">
      <c r="A867" s="10" t="inlineStr">
        <is>
          <t>2024-07-12</t>
        </is>
      </c>
      <c r="B867" s="10" t="n">
        <v>117907</v>
      </c>
    </row>
    <row r="868">
      <c r="A868" s="10" t="inlineStr">
        <is>
          <t>2025-12-03</t>
        </is>
      </c>
      <c r="B868" s="10" t="n">
        <v>221623</v>
      </c>
    </row>
    <row r="869">
      <c r="A869" s="10" t="inlineStr">
        <is>
          <t>06/06/2023</t>
        </is>
      </c>
      <c r="B869" s="10" t="n">
        <v>132096</v>
      </c>
    </row>
    <row r="870">
      <c r="A870" s="10" t="inlineStr">
        <is>
          <t>2024-03-05</t>
        </is>
      </c>
      <c r="B870" s="10" t="n">
        <v>107169</v>
      </c>
    </row>
    <row r="871">
      <c r="A871" s="10" t="inlineStr">
        <is>
          <t>2025-04-11</t>
        </is>
      </c>
      <c r="B871" s="10" t="inlineStr">
        <is>
          <t>Rp 168.014</t>
        </is>
      </c>
    </row>
    <row r="872">
      <c r="A872" s="10" t="inlineStr">
        <is>
          <t>03/08/2025</t>
        </is>
      </c>
      <c r="B872" s="10" t="n">
        <v>171703</v>
      </c>
    </row>
    <row r="873">
      <c r="A873" s="10" t="inlineStr">
        <is>
          <t>2024-04-11</t>
        </is>
      </c>
      <c r="B873" s="10" t="n">
        <v>123655</v>
      </c>
    </row>
    <row r="874">
      <c r="A874" s="10" t="inlineStr">
        <is>
          <t>2026-04-03</t>
        </is>
      </c>
      <c r="B874" s="10" t="n">
        <v>201411</v>
      </c>
    </row>
    <row r="875">
      <c r="A875" s="10" t="inlineStr">
        <is>
          <t>2023-09-24</t>
        </is>
      </c>
      <c r="B875" s="10" t="inlineStr">
        <is>
          <t>Rp 143.942</t>
        </is>
      </c>
    </row>
    <row r="876">
      <c r="A876" s="10" t="inlineStr">
        <is>
          <t>2026-03-30</t>
        </is>
      </c>
      <c r="B876" s="10" t="inlineStr">
        <is>
          <t>Rp 152.314</t>
        </is>
      </c>
    </row>
    <row r="877">
      <c r="A877" s="10" t="inlineStr">
        <is>
          <t>08 Jan 2025</t>
        </is>
      </c>
      <c r="B877" s="10" t="inlineStr">
        <is>
          <t>Rp 141.603</t>
        </is>
      </c>
    </row>
    <row r="878">
      <c r="A878" s="10" t="inlineStr">
        <is>
          <t>2026-02-01</t>
        </is>
      </c>
      <c r="B878" s="10" t="n">
        <v>157079</v>
      </c>
    </row>
    <row r="879">
      <c r="A879" s="10" t="inlineStr">
        <is>
          <t>02 Jan 2026</t>
        </is>
      </c>
      <c r="B879" s="10" t="n">
        <v>152255</v>
      </c>
    </row>
    <row r="880">
      <c r="A880" s="10" t="inlineStr">
        <is>
          <t>2024-04-29</t>
        </is>
      </c>
      <c r="B880" s="10" t="n">
        <v>117214</v>
      </c>
    </row>
    <row r="881">
      <c r="A881" s="10" t="inlineStr">
        <is>
          <t>26/12/2023</t>
        </is>
      </c>
      <c r="B881" s="10" t="n">
        <v>143619</v>
      </c>
    </row>
    <row r="882">
      <c r="A882" s="10" t="inlineStr">
        <is>
          <t>19/05/2025</t>
        </is>
      </c>
      <c r="B882" s="10" t="inlineStr">
        <is>
          <t>Rp 218.509</t>
        </is>
      </c>
    </row>
    <row r="883">
      <c r="A883" s="10" t="inlineStr">
        <is>
          <t>2025-01-06</t>
        </is>
      </c>
      <c r="B883" s="10" t="inlineStr">
        <is>
          <t>Rp 121.647</t>
        </is>
      </c>
    </row>
    <row r="884">
      <c r="A884" s="10" t="inlineStr">
        <is>
          <t>2023-06-09</t>
        </is>
      </c>
      <c r="B884" s="10" t="n">
        <v>139381</v>
      </c>
    </row>
    <row r="885">
      <c r="A885" s="10" t="inlineStr">
        <is>
          <t>2024-01-09</t>
        </is>
      </c>
      <c r="B885" s="10" t="n">
        <v>110618</v>
      </c>
    </row>
    <row r="886">
      <c r="A886" s="10" t="inlineStr">
        <is>
          <t>2024-12-09</t>
        </is>
      </c>
      <c r="B886" s="10" t="n">
        <v>209196</v>
      </c>
    </row>
    <row r="887">
      <c r="A887" s="10" t="inlineStr">
        <is>
          <t>2024-09-11</t>
        </is>
      </c>
      <c r="B887" s="10" t="inlineStr">
        <is>
          <t>Rp 158.221</t>
        </is>
      </c>
    </row>
    <row r="888">
      <c r="A888" s="10" t="inlineStr">
        <is>
          <t>2024-02-18</t>
        </is>
      </c>
      <c r="B888" s="10" t="n">
        <v>119752</v>
      </c>
    </row>
    <row r="889">
      <c r="A889" s="10" t="inlineStr">
        <is>
          <t>21/11/2024</t>
        </is>
      </c>
      <c r="B889" s="10" t="n">
        <v>206186</v>
      </c>
    </row>
    <row r="890">
      <c r="A890" s="10" t="inlineStr">
        <is>
          <t>2024-10-28</t>
        </is>
      </c>
      <c r="B890" s="10" t="n">
        <v>153102</v>
      </c>
    </row>
    <row r="891">
      <c r="A891" s="10" t="inlineStr">
        <is>
          <t>2025-09-13</t>
        </is>
      </c>
      <c r="B891" s="10" t="n">
        <v>183498</v>
      </c>
    </row>
    <row r="892">
      <c r="A892" s="10" t="inlineStr">
        <is>
          <t>2024-11-10</t>
        </is>
      </c>
      <c r="B892" s="10" t="n">
        <v>214538</v>
      </c>
    </row>
    <row r="893">
      <c r="A893" s="10" t="inlineStr">
        <is>
          <t>2024-01-26</t>
        </is>
      </c>
      <c r="B893" s="10" t="n">
        <v>132726</v>
      </c>
    </row>
    <row r="894">
      <c r="A894" s="10" t="inlineStr">
        <is>
          <t>2024-12-05</t>
        </is>
      </c>
      <c r="B894" s="10" t="n">
        <v>229381</v>
      </c>
    </row>
    <row r="895">
      <c r="A895" s="10" t="inlineStr">
        <is>
          <t>2026-04-09</t>
        </is>
      </c>
      <c r="B895" s="10" t="inlineStr">
        <is>
          <t>Rp 155.256</t>
        </is>
      </c>
    </row>
    <row r="896">
      <c r="A896" s="10" t="inlineStr">
        <is>
          <t>28/02/2024</t>
        </is>
      </c>
      <c r="B896" s="10" t="n">
        <v>88108</v>
      </c>
    </row>
    <row r="897">
      <c r="A897" s="10" t="inlineStr">
        <is>
          <t>12/10/2024</t>
        </is>
      </c>
      <c r="B897" s="10" t="n">
        <v>185130</v>
      </c>
    </row>
    <row r="898">
      <c r="A898" s="10" t="inlineStr">
        <is>
          <t>2024-08-31</t>
        </is>
      </c>
      <c r="B898" s="10" t="n">
        <v>137828</v>
      </c>
    </row>
    <row r="899">
      <c r="A899" s="10" t="inlineStr">
        <is>
          <t>2024-07-24</t>
        </is>
      </c>
      <c r="B899" s="10" t="inlineStr">
        <is>
          <t>Rp 124.286</t>
        </is>
      </c>
    </row>
    <row r="900">
      <c r="A900" s="10" t="inlineStr">
        <is>
          <t>2026-01-19</t>
        </is>
      </c>
      <c r="B900" s="10" t="n">
        <v>127955</v>
      </c>
    </row>
    <row r="901">
      <c r="A901" s="10" t="inlineStr">
        <is>
          <t>2023-08-19</t>
        </is>
      </c>
      <c r="B901" s="10" t="n">
        <v>137961</v>
      </c>
    </row>
    <row r="902">
      <c r="A902" s="10" t="inlineStr">
        <is>
          <t>2025-04-07</t>
        </is>
      </c>
      <c r="B902" s="10" t="inlineStr">
        <is>
          <t>Rp 134.416</t>
        </is>
      </c>
    </row>
    <row r="903">
      <c r="A903" s="10" t="inlineStr">
        <is>
          <t>2023-07-30</t>
        </is>
      </c>
      <c r="B903" s="10" t="n">
        <v>107246</v>
      </c>
    </row>
    <row r="904">
      <c r="A904" s="10" t="inlineStr">
        <is>
          <t>2025-12-04</t>
        </is>
      </c>
      <c r="B904" s="10" t="n">
        <v>266303</v>
      </c>
    </row>
    <row r="905">
      <c r="A905" s="10" t="inlineStr">
        <is>
          <t>04 Aug 2024</t>
        </is>
      </c>
      <c r="B905" s="10" t="inlineStr">
        <is>
          <t>Rp 137.615</t>
        </is>
      </c>
    </row>
    <row r="906">
      <c r="A906" s="10" t="inlineStr">
        <is>
          <t>2023-12-20</t>
        </is>
      </c>
      <c r="B906" s="10" t="n">
        <v>143341</v>
      </c>
    </row>
    <row r="907">
      <c r="A907" s="10" t="inlineStr">
        <is>
          <t>2025-09-22</t>
        </is>
      </c>
      <c r="B907" s="10" t="n">
        <v>147373</v>
      </c>
    </row>
    <row r="908">
      <c r="A908" s="10" t="inlineStr">
        <is>
          <t>2023-12-01</t>
        </is>
      </c>
      <c r="B908" s="10" t="n">
        <v>217974</v>
      </c>
    </row>
    <row r="909">
      <c r="A909" s="10" t="inlineStr">
        <is>
          <t>16/04/2024</t>
        </is>
      </c>
      <c r="B909" s="10" t="n">
        <v>152824</v>
      </c>
    </row>
    <row r="910">
      <c r="A910" s="10" t="inlineStr">
        <is>
          <t>2023-11-25</t>
        </is>
      </c>
      <c r="B910" s="10" t="n">
        <v>165121</v>
      </c>
    </row>
    <row r="911">
      <c r="A911" s="10" t="inlineStr">
        <is>
          <t>10/04/2026</t>
        </is>
      </c>
      <c r="B911" s="10" t="n">
        <v>215423</v>
      </c>
    </row>
    <row r="912">
      <c r="A912" s="10" t="inlineStr">
        <is>
          <t>2025-01-26</t>
        </is>
      </c>
      <c r="B912" s="10" t="n">
        <v>168932</v>
      </c>
    </row>
    <row r="913">
      <c r="A913" s="10" t="inlineStr">
        <is>
          <t>2023-11-16</t>
        </is>
      </c>
      <c r="B913" s="10" t="n">
        <v>118477</v>
      </c>
    </row>
    <row r="914">
      <c r="A914" s="10" t="inlineStr">
        <is>
          <t>19 Dec 2023</t>
        </is>
      </c>
      <c r="B914" s="10" t="n">
        <v>162338</v>
      </c>
    </row>
    <row r="915">
      <c r="A915" s="10" t="inlineStr">
        <is>
          <t>2023-08-22</t>
        </is>
      </c>
      <c r="B915" s="10" t="inlineStr">
        <is>
          <t>Rp 106.793</t>
        </is>
      </c>
    </row>
    <row r="916">
      <c r="A916" s="10" t="inlineStr">
        <is>
          <t>2025-09-28</t>
        </is>
      </c>
      <c r="B916" s="10" t="n">
        <v>179062</v>
      </c>
    </row>
    <row r="917">
      <c r="A917" s="10" t="inlineStr">
        <is>
          <t>06 Nov 2023</t>
        </is>
      </c>
      <c r="B917" s="10" t="n">
        <v>138202</v>
      </c>
    </row>
    <row r="918">
      <c r="A918" s="10" t="inlineStr">
        <is>
          <t>2023-08-25</t>
        </is>
      </c>
      <c r="B918" s="10" t="n">
        <v>119726</v>
      </c>
    </row>
    <row r="919">
      <c r="A919" s="10" t="inlineStr">
        <is>
          <t>2025-05-04</t>
        </is>
      </c>
      <c r="B919" s="10" t="n">
        <v>267680</v>
      </c>
    </row>
    <row r="920">
      <c r="A920" s="10" t="inlineStr">
        <is>
          <t>2023-11-01</t>
        </is>
      </c>
      <c r="B920" s="10" t="n">
        <v>144122</v>
      </c>
    </row>
    <row r="921">
      <c r="A921" s="10" t="inlineStr">
        <is>
          <t>2023-11-02</t>
        </is>
      </c>
      <c r="B921" s="10" t="n">
        <v>145372</v>
      </c>
    </row>
    <row r="922">
      <c r="A922" s="10" t="inlineStr">
        <is>
          <t>2025-03-04</t>
        </is>
      </c>
      <c r="B922" s="10" t="n"/>
    </row>
    <row r="923">
      <c r="A923" s="10" t="inlineStr">
        <is>
          <t>2024-07-10</t>
        </is>
      </c>
      <c r="B923" s="10" t="n">
        <v>96161</v>
      </c>
    </row>
    <row r="924">
      <c r="A924" s="10" t="inlineStr">
        <is>
          <t>2025-11-26</t>
        </is>
      </c>
      <c r="B924" s="10" t="n">
        <v>152545</v>
      </c>
    </row>
    <row r="925">
      <c r="A925" s="10" t="inlineStr">
        <is>
          <t>2025-11-01</t>
        </is>
      </c>
      <c r="B925" s="10" t="n">
        <v>238080</v>
      </c>
    </row>
    <row r="926">
      <c r="A926" s="10" t="inlineStr">
        <is>
          <t>2025-02-23</t>
        </is>
      </c>
      <c r="B926" s="10" t="n">
        <v>152639</v>
      </c>
    </row>
    <row r="927">
      <c r="A927" s="10" t="inlineStr">
        <is>
          <t>2023-10-04</t>
        </is>
      </c>
      <c r="B927" s="10" t="inlineStr">
        <is>
          <t>Rp 112.966</t>
        </is>
      </c>
    </row>
    <row r="928">
      <c r="A928" s="10" t="inlineStr">
        <is>
          <t>2024-11-04</t>
        </is>
      </c>
      <c r="B928" s="10" t="n">
        <v>164631</v>
      </c>
    </row>
    <row r="929">
      <c r="A929" s="10" t="inlineStr">
        <is>
          <t>19/01/2025</t>
        </is>
      </c>
      <c r="B929" s="10" t="n">
        <v>144905</v>
      </c>
    </row>
    <row r="930">
      <c r="A930" s="10" t="inlineStr">
        <is>
          <t>2024-11-29</t>
        </is>
      </c>
      <c r="B930" s="10" t="n">
        <v>191283</v>
      </c>
    </row>
    <row r="931">
      <c r="A931" s="10" t="inlineStr">
        <is>
          <t>2024-07-22</t>
        </is>
      </c>
      <c r="B931" s="10" t="n">
        <v>111795</v>
      </c>
    </row>
    <row r="932">
      <c r="A932" s="10" t="inlineStr">
        <is>
          <t>2025-05-26</t>
        </is>
      </c>
      <c r="B932" s="10" t="inlineStr">
        <is>
          <t>Rp 202.222</t>
        </is>
      </c>
    </row>
    <row r="933">
      <c r="A933" s="10" t="inlineStr">
        <is>
          <t>2024-06-16</t>
        </is>
      </c>
      <c r="B933" s="10" t="inlineStr">
        <is>
          <t>Rp 160.165</t>
        </is>
      </c>
    </row>
    <row r="934">
      <c r="A934" s="10" t="inlineStr">
        <is>
          <t>2024-11-22</t>
        </is>
      </c>
      <c r="B934" s="10" t="n">
        <v>233560</v>
      </c>
    </row>
    <row r="935">
      <c r="A935" s="10" t="inlineStr">
        <is>
          <t>2025-06-16</t>
        </is>
      </c>
      <c r="B935" s="10" t="n">
        <v>159494</v>
      </c>
    </row>
    <row r="936">
      <c r="A936" s="10" t="inlineStr">
        <is>
          <t>2025-09-01</t>
        </is>
      </c>
      <c r="B936" s="10" t="n">
        <v>131518</v>
      </c>
    </row>
    <row r="937">
      <c r="A937" s="10" t="inlineStr">
        <is>
          <t>2024-03-30</t>
        </is>
      </c>
      <c r="B937" s="10" t="n">
        <v>158325</v>
      </c>
    </row>
    <row r="938">
      <c r="A938" s="10" t="inlineStr">
        <is>
          <t>26/09/2023</t>
        </is>
      </c>
      <c r="B938" s="10" t="n">
        <v>129131</v>
      </c>
    </row>
    <row r="939">
      <c r="A939" s="10" t="inlineStr">
        <is>
          <t>09/02/2025</t>
        </is>
      </c>
      <c r="B939" s="10" t="n">
        <v>151584</v>
      </c>
    </row>
    <row r="940">
      <c r="A940" s="10" t="inlineStr">
        <is>
          <t>2025-05-11</t>
        </is>
      </c>
      <c r="B940" s="10" t="inlineStr">
        <is>
          <t>Rp 283.853</t>
        </is>
      </c>
    </row>
    <row r="941">
      <c r="A941" s="10" t="inlineStr">
        <is>
          <t>2025-02-27</t>
        </is>
      </c>
      <c r="B941" s="10" t="n">
        <v>115779</v>
      </c>
    </row>
    <row r="942">
      <c r="A942" s="10" t="inlineStr">
        <is>
          <t>2025-08-02</t>
        </is>
      </c>
      <c r="B942" s="10" t="n">
        <v>149889</v>
      </c>
    </row>
    <row r="943">
      <c r="A943" s="10" t="inlineStr">
        <is>
          <t>2024-10-21</t>
        </is>
      </c>
      <c r="B943" s="10" t="n">
        <v>122004</v>
      </c>
    </row>
    <row r="944">
      <c r="A944" s="10" t="inlineStr">
        <is>
          <t>2025-06-08</t>
        </is>
      </c>
      <c r="B944" s="10" t="n">
        <v>201652</v>
      </c>
    </row>
    <row r="945">
      <c r="A945" s="10" t="inlineStr">
        <is>
          <t>2024-09-20</t>
        </is>
      </c>
      <c r="B945" s="10" t="n">
        <v>162422</v>
      </c>
    </row>
    <row r="946">
      <c r="A946" s="10" t="inlineStr">
        <is>
          <t>19 May 2024</t>
        </is>
      </c>
      <c r="B946" s="10" t="n">
        <v>211901</v>
      </c>
    </row>
    <row r="947">
      <c r="A947" s="10" t="inlineStr">
        <is>
          <t>30/06/2023</t>
        </is>
      </c>
      <c r="B947" s="10" t="n">
        <v>169718</v>
      </c>
    </row>
    <row r="948">
      <c r="A948" s="10" t="inlineStr">
        <is>
          <t>2025-09-25</t>
        </is>
      </c>
      <c r="B948" s="10" t="n">
        <v>152643</v>
      </c>
    </row>
    <row r="949">
      <c r="A949" s="10" t="inlineStr">
        <is>
          <t>09 Aug 2024</t>
        </is>
      </c>
      <c r="B949" s="10" t="n">
        <v>128417</v>
      </c>
    </row>
    <row r="950">
      <c r="A950" s="10" t="inlineStr">
        <is>
          <t>05/11/2024</t>
        </is>
      </c>
      <c r="B950" s="10" t="n">
        <v>171508</v>
      </c>
    </row>
    <row r="951">
      <c r="A951" s="10" t="inlineStr">
        <is>
          <t>2023-10-21</t>
        </is>
      </c>
      <c r="B951" s="10" t="n">
        <v>132600</v>
      </c>
    </row>
    <row r="952">
      <c r="A952" s="10" t="inlineStr">
        <is>
          <t>23/11/2025</t>
        </is>
      </c>
      <c r="B952" s="10" t="n">
        <v>202301</v>
      </c>
    </row>
    <row r="953">
      <c r="A953" s="10" t="inlineStr">
        <is>
          <t>2026-04-08</t>
        </is>
      </c>
      <c r="B953" s="10" t="n">
        <v>155777</v>
      </c>
    </row>
    <row r="954">
      <c r="A954" s="10" t="inlineStr">
        <is>
          <t>2026-02-15</t>
        </is>
      </c>
      <c r="B954" s="10" t="n">
        <v>167170</v>
      </c>
    </row>
    <row r="955">
      <c r="A955" s="10" t="inlineStr">
        <is>
          <t>2024-03-12</t>
        </is>
      </c>
      <c r="B955" s="10" t="n">
        <v>117504</v>
      </c>
    </row>
    <row r="956">
      <c r="A956" s="10" t="inlineStr">
        <is>
          <t>2025-06-07</t>
        </is>
      </c>
      <c r="B956" s="10" t="n">
        <v>219529</v>
      </c>
    </row>
    <row r="957">
      <c r="A957" s="10" t="inlineStr">
        <is>
          <t>2023-08-07</t>
        </is>
      </c>
      <c r="B957" s="10" t="n"/>
    </row>
    <row r="958">
      <c r="A958" s="10" t="inlineStr">
        <is>
          <t>18/07/2025</t>
        </is>
      </c>
      <c r="B958" s="10" t="n">
        <v>128382</v>
      </c>
    </row>
    <row r="959">
      <c r="A959" s="10" t="inlineStr">
        <is>
          <t>26 Sep 2024</t>
        </is>
      </c>
      <c r="B959" s="10" t="inlineStr">
        <is>
          <t>Rp 142.394</t>
        </is>
      </c>
    </row>
    <row r="960">
      <c r="A960" s="10" t="inlineStr">
        <is>
          <t>2024-05-04</t>
        </is>
      </c>
      <c r="B960" s="10" t="n">
        <v>208387</v>
      </c>
    </row>
    <row r="961">
      <c r="A961" s="10" t="inlineStr">
        <is>
          <t>2025-09-14</t>
        </is>
      </c>
      <c r="B961" s="10" t="n">
        <v>136466</v>
      </c>
    </row>
    <row r="962">
      <c r="A962" s="10" t="inlineStr">
        <is>
          <t>10/06/2024</t>
        </is>
      </c>
      <c r="B962" s="10" t="n">
        <v>106572</v>
      </c>
    </row>
    <row r="963">
      <c r="A963" s="10" t="inlineStr">
        <is>
          <t>19 Sep 2025</t>
        </is>
      </c>
      <c r="B963" s="10" t="n">
        <v>151891</v>
      </c>
    </row>
    <row r="964">
      <c r="A964" s="10" t="inlineStr">
        <is>
          <t>2024-03-25</t>
        </is>
      </c>
      <c r="B964" s="10" t="inlineStr">
        <is>
          <t>Rp 114.409</t>
        </is>
      </c>
    </row>
    <row r="965">
      <c r="A965" s="10" t="inlineStr">
        <is>
          <t>2025-09-04</t>
        </is>
      </c>
      <c r="B965" s="10" t="inlineStr">
        <is>
          <t>Rp 130.505</t>
        </is>
      </c>
    </row>
    <row r="966">
      <c r="A966" s="10" t="inlineStr">
        <is>
          <t>2024-02-04</t>
        </is>
      </c>
      <c r="B966" s="10" t="n">
        <v>109243</v>
      </c>
    </row>
    <row r="967">
      <c r="A967" s="10" t="inlineStr">
        <is>
          <t>2026-04-04</t>
        </is>
      </c>
      <c r="B967" s="10" t="inlineStr">
        <is>
          <t>Rp 217.753</t>
        </is>
      </c>
    </row>
    <row r="968">
      <c r="A968" s="10" t="inlineStr">
        <is>
          <t>2024-02-19</t>
        </is>
      </c>
      <c r="B968" s="10" t="n">
        <v>104922</v>
      </c>
    </row>
    <row r="969">
      <c r="A969" s="10" t="inlineStr">
        <is>
          <t>2026-01-01</t>
        </is>
      </c>
      <c r="B969" s="10" t="n">
        <v>144747</v>
      </c>
    </row>
    <row r="970">
      <c r="A970" s="10" t="inlineStr">
        <is>
          <t>2025-11-15</t>
        </is>
      </c>
      <c r="B970" s="10" t="inlineStr">
        <is>
          <t>Rp 238.422</t>
        </is>
      </c>
    </row>
    <row r="971">
      <c r="A971" s="10" t="inlineStr">
        <is>
          <t>2024-09-16</t>
        </is>
      </c>
      <c r="B971" s="10" t="n">
        <v>138522</v>
      </c>
    </row>
    <row r="972">
      <c r="A972" s="10" t="inlineStr">
        <is>
          <t>01 Apr 2024</t>
        </is>
      </c>
      <c r="B972" s="10" t="inlineStr">
        <is>
          <t>Rp 136.732</t>
        </is>
      </c>
    </row>
    <row r="973">
      <c r="A973" s="10" t="inlineStr">
        <is>
          <t>2026-03-24</t>
        </is>
      </c>
      <c r="B973" s="10" t="inlineStr">
        <is>
          <t>Rp 135.261</t>
        </is>
      </c>
    </row>
    <row r="974">
      <c r="A974" s="10" t="inlineStr">
        <is>
          <t>2023-06-20</t>
        </is>
      </c>
      <c r="B974" s="10" t="n">
        <v>122317</v>
      </c>
    </row>
    <row r="975">
      <c r="A975" s="10" t="inlineStr">
        <is>
          <t>2026-01-30</t>
        </is>
      </c>
      <c r="B975" s="10" t="n">
        <v>174158</v>
      </c>
    </row>
    <row r="976">
      <c r="A976" s="10" t="inlineStr">
        <is>
          <t>30 Sep 2023</t>
        </is>
      </c>
      <c r="B976" s="10" t="n">
        <v>150398</v>
      </c>
    </row>
    <row r="977">
      <c r="A977" s="10" t="inlineStr">
        <is>
          <t>2024-11-27</t>
        </is>
      </c>
      <c r="B977" s="10" t="n">
        <v>181890</v>
      </c>
    </row>
    <row r="978">
      <c r="A978" s="10" t="inlineStr">
        <is>
          <t>2023-10-15</t>
        </is>
      </c>
      <c r="B978" s="10" t="n">
        <v>148260</v>
      </c>
    </row>
    <row r="979">
      <c r="A979" s="10" t="inlineStr">
        <is>
          <t>2023-07-14</t>
        </is>
      </c>
      <c r="B979" s="10" t="n">
        <v>104731</v>
      </c>
    </row>
    <row r="980">
      <c r="A980" s="10" t="inlineStr">
        <is>
          <t>15/05/2025</t>
        </is>
      </c>
      <c r="B980" s="10" t="n">
        <v>258292</v>
      </c>
    </row>
    <row r="981">
      <c r="A981" s="10" t="inlineStr">
        <is>
          <t>2025-01-17</t>
        </is>
      </c>
      <c r="B981" s="10" t="inlineStr">
        <is>
          <t>Rp 131.394</t>
        </is>
      </c>
    </row>
    <row r="982">
      <c r="A982" s="10" t="inlineStr">
        <is>
          <t>2026-05-23</t>
        </is>
      </c>
      <c r="B982" s="10" t="n"/>
    </row>
    <row r="983">
      <c r="A983" s="10" t="inlineStr">
        <is>
          <t>15 Feb 2025</t>
        </is>
      </c>
      <c r="B983" s="10" t="n">
        <v>145892</v>
      </c>
    </row>
    <row r="984">
      <c r="A984" s="10" t="inlineStr">
        <is>
          <t>27/04/2025</t>
        </is>
      </c>
      <c r="B984" s="10" t="n">
        <v>197365</v>
      </c>
    </row>
    <row r="985">
      <c r="A985" s="10" t="inlineStr">
        <is>
          <t>2024-12-07</t>
        </is>
      </c>
      <c r="B985" s="10" t="n">
        <v>276601</v>
      </c>
    </row>
    <row r="986">
      <c r="A986" s="10" t="inlineStr">
        <is>
          <t>23 Mar 2024</t>
        </is>
      </c>
      <c r="B986" s="10" t="inlineStr">
        <is>
          <t>Rp 135.521</t>
        </is>
      </c>
    </row>
    <row r="987">
      <c r="A987" s="10" t="inlineStr">
        <is>
          <t>01/04/2026</t>
        </is>
      </c>
      <c r="B987" s="10" t="inlineStr">
        <is>
          <t>Rp 169.867</t>
        </is>
      </c>
    </row>
    <row r="988">
      <c r="A988" s="10" t="inlineStr">
        <is>
          <t>2025-12-19</t>
        </is>
      </c>
      <c r="B988" s="10" t="inlineStr">
        <is>
          <t>Rp 274.568</t>
        </is>
      </c>
    </row>
    <row r="989">
      <c r="A989" s="10" t="inlineStr">
        <is>
          <t>2024-12-25</t>
        </is>
      </c>
      <c r="B989" s="10" t="inlineStr">
        <is>
          <t>Rp 198.977</t>
        </is>
      </c>
    </row>
    <row r="990">
      <c r="A990" s="10" t="inlineStr">
        <is>
          <t>2025-01-20</t>
        </is>
      </c>
      <c r="B990" s="10" t="inlineStr">
        <is>
          <t>Rp 137.795</t>
        </is>
      </c>
    </row>
    <row r="991">
      <c r="A991" s="10" t="inlineStr">
        <is>
          <t>25/03/2026</t>
        </is>
      </c>
      <c r="B991" s="10" t="n">
        <v>171533</v>
      </c>
    </row>
    <row r="992">
      <c r="A992" s="10" t="inlineStr">
        <is>
          <t>2024-01-13</t>
        </is>
      </c>
      <c r="B992" s="10" t="n">
        <v>140433</v>
      </c>
    </row>
    <row r="993">
      <c r="A993" s="10" t="inlineStr">
        <is>
          <t>2024-09-13</t>
        </is>
      </c>
      <c r="B993" s="10" t="n">
        <v>162592</v>
      </c>
    </row>
    <row r="994">
      <c r="A994" s="10" t="inlineStr">
        <is>
          <t>2024-03-18</t>
        </is>
      </c>
      <c r="B994" s="10" t="n">
        <v>102254</v>
      </c>
    </row>
    <row r="995">
      <c r="A995" s="10" t="inlineStr">
        <is>
          <t>2025-04-29</t>
        </is>
      </c>
      <c r="B995" s="10" t="n">
        <v>136237</v>
      </c>
    </row>
    <row r="996">
      <c r="A996" s="10" t="inlineStr">
        <is>
          <t>13/02/2025</t>
        </is>
      </c>
      <c r="B996" s="10" t="n">
        <v>137078</v>
      </c>
    </row>
    <row r="997">
      <c r="A997" s="10" t="inlineStr">
        <is>
          <t>04/07/2023</t>
        </is>
      </c>
      <c r="B997" s="10" t="n">
        <v>89783</v>
      </c>
    </row>
    <row r="998">
      <c r="A998" s="10" t="inlineStr">
        <is>
          <t>2025-04-16</t>
        </is>
      </c>
      <c r="B998" s="10" t="n">
        <v>157541</v>
      </c>
    </row>
    <row r="999">
      <c r="A999" s="10" t="inlineStr">
        <is>
          <t>01/06/2023</t>
        </is>
      </c>
      <c r="B999" s="10" t="inlineStr">
        <is>
          <t>Rp 140.480</t>
        </is>
      </c>
    </row>
    <row r="1000">
      <c r="A1000" s="10" t="inlineStr">
        <is>
          <t>2025-12-25</t>
        </is>
      </c>
      <c r="B1000" s="10" t="n">
        <v>218174</v>
      </c>
    </row>
    <row r="1001">
      <c r="A1001" s="10" t="inlineStr">
        <is>
          <t>2023-10-14</t>
        </is>
      </c>
      <c r="B1001" s="10" t="n">
        <v>157162</v>
      </c>
    </row>
    <row r="1002">
      <c r="A1002" s="10" t="inlineStr">
        <is>
          <t>08/09/2024</t>
        </is>
      </c>
      <c r="B1002" s="10" t="n">
        <v>163478</v>
      </c>
    </row>
    <row r="1003">
      <c r="A1003" s="10" t="inlineStr">
        <is>
          <t>2025-08-17</t>
        </is>
      </c>
      <c r="B1003" s="10" t="n">
        <v>134229</v>
      </c>
    </row>
    <row r="1004">
      <c r="A1004" s="10" t="inlineStr">
        <is>
          <t>2024-05-24</t>
        </is>
      </c>
      <c r="B1004" s="10" t="n">
        <v>186474</v>
      </c>
    </row>
    <row r="1005">
      <c r="A1005" s="10" t="inlineStr">
        <is>
          <t>2024-11-18</t>
        </is>
      </c>
      <c r="B1005" s="10" t="inlineStr">
        <is>
          <t>Rp 178.791</t>
        </is>
      </c>
    </row>
    <row r="1006">
      <c r="A1006" s="10" t="inlineStr">
        <is>
          <t>30 May 2026</t>
        </is>
      </c>
      <c r="B1006" s="10" t="n">
        <v>331475</v>
      </c>
    </row>
    <row r="1007">
      <c r="A1007" s="10" t="inlineStr">
        <is>
          <t>2024-01-12</t>
        </is>
      </c>
      <c r="B1007" s="10" t="n">
        <v>118544</v>
      </c>
    </row>
    <row r="1008">
      <c r="A1008" s="10" t="inlineStr">
        <is>
          <t>22/04/2024</t>
        </is>
      </c>
      <c r="B1008" s="10" t="n">
        <v>126172</v>
      </c>
    </row>
    <row r="1009">
      <c r="A1009" s="10" t="inlineStr">
        <is>
          <t>2024-10-26</t>
        </is>
      </c>
      <c r="B1009" s="10" t="inlineStr">
        <is>
          <t>Rp 189.063</t>
        </is>
      </c>
    </row>
    <row r="1010">
      <c r="A1010" s="10" t="inlineStr">
        <is>
          <t>2023-12-08</t>
        </is>
      </c>
      <c r="B1010" s="10" t="n">
        <v>198917</v>
      </c>
    </row>
    <row r="1011">
      <c r="A1011" s="10" t="inlineStr">
        <is>
          <t>20 May 2026</t>
        </is>
      </c>
      <c r="B1011" s="10" t="inlineStr">
        <is>
          <t>Rp 219.680</t>
        </is>
      </c>
    </row>
    <row r="1012">
      <c r="A1012" s="10" t="inlineStr">
        <is>
          <t>2025-08-06</t>
        </is>
      </c>
      <c r="B1012" s="10" t="n">
        <v>124757</v>
      </c>
    </row>
    <row r="1013">
      <c r="A1013" s="10" t="inlineStr">
        <is>
          <t>2026-03-19</t>
        </is>
      </c>
      <c r="B1013" s="10" t="inlineStr">
        <is>
          <t>Rp 143.929</t>
        </is>
      </c>
    </row>
    <row r="1014">
      <c r="A1014" s="10" t="inlineStr">
        <is>
          <t>2024-01-30</t>
        </is>
      </c>
      <c r="B1014" s="10" t="n">
        <v>116531</v>
      </c>
    </row>
    <row r="1015">
      <c r="A1015" s="10" t="inlineStr">
        <is>
          <t>2024-02-22</t>
        </is>
      </c>
      <c r="B1015" s="10" t="n">
        <v>109117</v>
      </c>
    </row>
    <row r="1016">
      <c r="A1016" s="10" t="inlineStr">
        <is>
          <t>2025-11-02</t>
        </is>
      </c>
      <c r="B1016" s="10" t="n">
        <v>202827</v>
      </c>
    </row>
    <row r="1017">
      <c r="A1017" s="10" t="inlineStr">
        <is>
          <t>2025-07-26</t>
        </is>
      </c>
      <c r="B1017" s="10" t="inlineStr">
        <is>
          <t>Rp 166.192</t>
        </is>
      </c>
    </row>
    <row r="1018">
      <c r="A1018" s="10" t="inlineStr">
        <is>
          <t>27 Mar 2026</t>
        </is>
      </c>
      <c r="B1018" s="10" t="n">
        <v>178804</v>
      </c>
    </row>
    <row r="1019">
      <c r="A1019" s="10" t="inlineStr">
        <is>
          <t>2025-12-31</t>
        </is>
      </c>
      <c r="B1019" s="10" t="n">
        <v>236132</v>
      </c>
    </row>
    <row r="1020">
      <c r="A1020" s="10" t="inlineStr">
        <is>
          <t>2026-02-26</t>
        </is>
      </c>
      <c r="B1020" s="10" t="n">
        <v>130988</v>
      </c>
    </row>
    <row r="1021">
      <c r="A1021" s="10" t="inlineStr">
        <is>
          <t>2023-07-19</t>
        </is>
      </c>
      <c r="B1021" s="10" t="n"/>
    </row>
    <row r="1022">
      <c r="A1022" s="10" t="inlineStr">
        <is>
          <t>2026-02-06</t>
        </is>
      </c>
      <c r="B1022" s="10" t="n">
        <v>140956</v>
      </c>
    </row>
    <row r="1023">
      <c r="A1023" s="10" t="inlineStr">
        <is>
          <t>2023-12-22</t>
        </is>
      </c>
      <c r="B1023" s="10" t="inlineStr">
        <is>
          <t>Rp 172.428</t>
        </is>
      </c>
    </row>
    <row r="1024">
      <c r="A1024" s="10" t="inlineStr">
        <is>
          <t>2023-09-11</t>
        </is>
      </c>
      <c r="B1024" s="10" t="n">
        <v>113311</v>
      </c>
    </row>
    <row r="1025">
      <c r="A1025" s="10" t="inlineStr">
        <is>
          <t>2023-08-06</t>
        </is>
      </c>
      <c r="B1025" s="10" t="n">
        <v>122373</v>
      </c>
    </row>
    <row r="1026">
      <c r="A1026" s="10" t="inlineStr">
        <is>
          <t>2025-08-18</t>
        </is>
      </c>
      <c r="B1026" s="10" t="inlineStr">
        <is>
          <t>Rp 133.379</t>
        </is>
      </c>
    </row>
    <row r="1027">
      <c r="A1027" s="10" t="inlineStr">
        <is>
          <t>2023-06-23</t>
        </is>
      </c>
      <c r="B1027" s="10" t="n">
        <v>137241</v>
      </c>
    </row>
    <row r="1028">
      <c r="A1028" s="10" t="inlineStr">
        <is>
          <t>2026-05-19</t>
        </is>
      </c>
      <c r="B1028" s="10" t="n">
        <v>248786</v>
      </c>
    </row>
    <row r="1029">
      <c r="A1029" s="10" t="inlineStr">
        <is>
          <t>2024-09-06</t>
        </is>
      </c>
      <c r="B1029" s="10" t="n">
        <v>177255</v>
      </c>
    </row>
    <row r="1030">
      <c r="A1030" s="10" t="inlineStr">
        <is>
          <t>2025-06-22</t>
        </is>
      </c>
      <c r="B1030" s="10" t="n">
        <v>183858</v>
      </c>
    </row>
    <row r="1031">
      <c r="A1031" s="10" t="inlineStr">
        <is>
          <t>28/05/2025</t>
        </is>
      </c>
      <c r="B1031" s="10" t="inlineStr">
        <is>
          <t>Rp 232.866</t>
        </is>
      </c>
    </row>
    <row r="1032">
      <c r="A1032" s="10" t="inlineStr">
        <is>
          <t>2025-10-01</t>
        </is>
      </c>
      <c r="B1032" s="10" t="n"/>
    </row>
    <row r="1033">
      <c r="A1033" s="10" t="inlineStr">
        <is>
          <t>2025-03-18</t>
        </is>
      </c>
      <c r="B1033" s="10" t="inlineStr">
        <is>
          <t>Rp 139.287</t>
        </is>
      </c>
    </row>
    <row r="1034">
      <c r="A1034" s="10" t="inlineStr">
        <is>
          <t>2025-10-12</t>
        </is>
      </c>
      <c r="B1034" s="10" t="n">
        <v>169694</v>
      </c>
    </row>
    <row r="1035">
      <c r="A1035" s="10" t="inlineStr">
        <is>
          <t>12/09/2024</t>
        </is>
      </c>
      <c r="B1035" s="10" t="n">
        <v>165578</v>
      </c>
    </row>
    <row r="1036">
      <c r="A1036" s="10" t="inlineStr">
        <is>
          <t>2026-02-07</t>
        </is>
      </c>
      <c r="B1036" s="10" t="inlineStr">
        <is>
          <t>Rp 191.375</t>
        </is>
      </c>
    </row>
    <row r="1037">
      <c r="A1037" s="10" t="inlineStr">
        <is>
          <t>2023-11-09</t>
        </is>
      </c>
      <c r="B1037" s="10" t="n">
        <v>126551</v>
      </c>
    </row>
    <row r="1038">
      <c r="A1038" s="10" t="inlineStr">
        <is>
          <t>2025-10-24</t>
        </is>
      </c>
      <c r="B1038" s="10" t="inlineStr">
        <is>
          <t>Rp 178.114</t>
        </is>
      </c>
    </row>
    <row r="1039">
      <c r="A1039" s="10" t="inlineStr">
        <is>
          <t>2025-11-14</t>
        </is>
      </c>
      <c r="B1039" s="10" t="n">
        <v>221941</v>
      </c>
    </row>
    <row r="1040">
      <c r="A1040" s="10" t="inlineStr">
        <is>
          <t>2026-02-12</t>
        </is>
      </c>
      <c r="B1040" s="10" t="n">
        <v>157362</v>
      </c>
    </row>
    <row r="1041">
      <c r="A1041" s="10" t="inlineStr">
        <is>
          <t>2025-12-15</t>
        </is>
      </c>
      <c r="B1041" s="10" t="n">
        <v>255241</v>
      </c>
    </row>
    <row r="1042">
      <c r="A1042" s="10" t="inlineStr">
        <is>
          <t>2025-10-07</t>
        </is>
      </c>
      <c r="B1042" s="10" t="n">
        <v>175226</v>
      </c>
    </row>
    <row r="1043">
      <c r="A1043" s="10" t="inlineStr">
        <is>
          <t>23/01/2026</t>
        </is>
      </c>
      <c r="B1043" s="10" t="n">
        <v>165813</v>
      </c>
    </row>
    <row r="1044">
      <c r="A1044" s="10" t="inlineStr">
        <is>
          <t>2024-11-08</t>
        </is>
      </c>
      <c r="B1044" s="10" t="n">
        <v>199936</v>
      </c>
    </row>
    <row r="1045">
      <c r="A1045" s="10" t="inlineStr">
        <is>
          <t>2026-02-21</t>
        </is>
      </c>
      <c r="B1045" s="10" t="inlineStr">
        <is>
          <t>Rp 156.667</t>
        </is>
      </c>
    </row>
    <row r="1046">
      <c r="A1046" s="10" t="inlineStr">
        <is>
          <t>2026-05-01</t>
        </is>
      </c>
      <c r="B1046" s="10" t="inlineStr">
        <is>
          <t>Rp 249.115</t>
        </is>
      </c>
    </row>
    <row r="1047">
      <c r="A1047" s="10" t="inlineStr">
        <is>
          <t>2026-04-22</t>
        </is>
      </c>
      <c r="B1047" s="10" t="n">
        <v>162558</v>
      </c>
    </row>
    <row r="1048">
      <c r="A1048" s="10" t="inlineStr">
        <is>
          <t>2025-04-19</t>
        </is>
      </c>
      <c r="B1048" s="10" t="n">
        <v>224632</v>
      </c>
    </row>
    <row r="1049">
      <c r="A1049" s="10" t="inlineStr">
        <is>
          <t>2024-04-02</t>
        </is>
      </c>
      <c r="B1049" s="10" t="n">
        <v>146142</v>
      </c>
    </row>
    <row r="1050">
      <c r="A1050" s="10" t="inlineStr">
        <is>
          <t>2025-04-13</t>
        </is>
      </c>
      <c r="B1050" s="10" t="n">
        <v>204256</v>
      </c>
    </row>
    <row r="1051">
      <c r="A1051" s="10" t="inlineStr">
        <is>
          <t>2023-11-17</t>
        </is>
      </c>
      <c r="B1051" s="10" t="n">
        <v>145035</v>
      </c>
    </row>
    <row r="1052">
      <c r="A1052" s="10" t="inlineStr">
        <is>
          <t>2024-05-20</t>
        </is>
      </c>
      <c r="B1052" s="10" t="inlineStr">
        <is>
          <t>Rp 167.579</t>
        </is>
      </c>
    </row>
    <row r="1053">
      <c r="A1053" s="10" t="inlineStr">
        <is>
          <t>09/05/2026</t>
        </is>
      </c>
      <c r="B1053" s="10" t="n">
        <v>330013</v>
      </c>
    </row>
    <row r="1054">
      <c r="A1054" s="10" t="inlineStr">
        <is>
          <t>18 Jul 2024</t>
        </is>
      </c>
      <c r="B1054" s="10" t="n">
        <v>105936</v>
      </c>
    </row>
    <row r="1055">
      <c r="A1055" s="10" t="inlineStr">
        <is>
          <t>2026-01-18</t>
        </is>
      </c>
      <c r="B1055" s="10" t="n">
        <v>145168</v>
      </c>
    </row>
    <row r="1056">
      <c r="A1056" s="10" t="inlineStr">
        <is>
          <t>2024-01-17</t>
        </is>
      </c>
      <c r="B1056" s="10" t="n">
        <v>115395</v>
      </c>
    </row>
    <row r="1057">
      <c r="A1057" s="10" t="inlineStr">
        <is>
          <t>2024-01-27</t>
        </is>
      </c>
      <c r="B1057" s="10" t="n">
        <v>145534</v>
      </c>
    </row>
    <row r="1058">
      <c r="A1058" s="10" t="inlineStr">
        <is>
          <t>2024-07-04</t>
        </is>
      </c>
      <c r="B1058" s="10" t="n">
        <v>119897</v>
      </c>
    </row>
    <row r="1059">
      <c r="A1059" s="10" t="inlineStr">
        <is>
          <t>2023-12-23</t>
        </is>
      </c>
      <c r="B1059" s="10" t="inlineStr">
        <is>
          <t>Rp 230.150</t>
        </is>
      </c>
    </row>
    <row r="1060">
      <c r="A1060" s="10" t="inlineStr">
        <is>
          <t>02 Mar 2026</t>
        </is>
      </c>
      <c r="B1060" s="10" t="n">
        <v>129547</v>
      </c>
    </row>
    <row r="1061">
      <c r="A1061" s="10" t="inlineStr">
        <is>
          <t>17/03/2024</t>
        </is>
      </c>
      <c r="B1061" s="10" t="n">
        <v>113300</v>
      </c>
    </row>
    <row r="1062">
      <c r="A1062" s="10" t="inlineStr">
        <is>
          <t>2023-06-02</t>
        </is>
      </c>
      <c r="B1062" s="10" t="inlineStr">
        <is>
          <t>Rp 140.694</t>
        </is>
      </c>
    </row>
    <row r="1063">
      <c r="A1063" s="10" t="inlineStr">
        <is>
          <t>2024-04-24</t>
        </is>
      </c>
      <c r="B1063" s="10" t="n">
        <v>148920</v>
      </c>
    </row>
    <row r="1064">
      <c r="A1064" s="10" t="inlineStr">
        <is>
          <t>2026-04-30</t>
        </is>
      </c>
      <c r="B1064" s="10" t="inlineStr">
        <is>
          <t>Rp 200.544</t>
        </is>
      </c>
    </row>
    <row r="1065">
      <c r="A1065" s="10" t="inlineStr">
        <is>
          <t>2025-12-13</t>
        </is>
      </c>
      <c r="B1065" s="10" t="n">
        <v>265106</v>
      </c>
    </row>
    <row r="1066">
      <c r="A1066" s="10" t="inlineStr">
        <is>
          <t>2024-07-08</t>
        </is>
      </c>
      <c r="B1066" s="10" t="n">
        <v>117189</v>
      </c>
    </row>
    <row r="1067">
      <c r="A1067" s="10" t="inlineStr">
        <is>
          <t>2026-03-09</t>
        </is>
      </c>
      <c r="B1067" s="10" t="n">
        <v>160961</v>
      </c>
    </row>
    <row r="1068">
      <c r="A1068" s="10" t="inlineStr">
        <is>
          <t>2024-02-17</t>
        </is>
      </c>
      <c r="B1068" s="10" t="n">
        <v>145348</v>
      </c>
    </row>
    <row r="1069">
      <c r="A1069" s="10" t="inlineStr">
        <is>
          <t>23 Jun 2024</t>
        </is>
      </c>
      <c r="B1069" s="10" t="n">
        <v>165063</v>
      </c>
    </row>
    <row r="1070">
      <c r="A1070" s="10" t="inlineStr">
        <is>
          <t>2023-10-23</t>
        </is>
      </c>
      <c r="B1070" s="10" t="n">
        <v>98705</v>
      </c>
    </row>
    <row r="1071">
      <c r="A1071" s="10" t="inlineStr">
        <is>
          <t>2024-08-14</t>
        </is>
      </c>
      <c r="B1071" s="10" t="n">
        <v>102127</v>
      </c>
    </row>
    <row r="1072">
      <c r="A1072" s="10" t="inlineStr">
        <is>
          <t>2025-09-20</t>
        </is>
      </c>
      <c r="B1072" s="10" t="n">
        <v>177364</v>
      </c>
    </row>
    <row r="1073">
      <c r="A1073" s="10" t="inlineStr">
        <is>
          <t>2025-03-02</t>
        </is>
      </c>
      <c r="B1073" s="10" t="n">
        <v>155916</v>
      </c>
    </row>
    <row r="1074">
      <c r="A1074" s="10" t="inlineStr">
        <is>
          <t>2023-12-04</t>
        </is>
      </c>
      <c r="B1074" s="10" t="n">
        <v>146942</v>
      </c>
    </row>
    <row r="1075">
      <c r="A1075" s="10" t="inlineStr">
        <is>
          <t>2024-05-21</t>
        </is>
      </c>
      <c r="B1075" s="10" t="n">
        <v>159737</v>
      </c>
    </row>
    <row r="1076">
      <c r="A1076" s="10" t="inlineStr">
        <is>
          <t>01 Feb 2024</t>
        </is>
      </c>
      <c r="B1076" s="10" t="inlineStr">
        <is>
          <t>Rp 88.794</t>
        </is>
      </c>
    </row>
    <row r="1077">
      <c r="A1077" s="10" t="inlineStr">
        <is>
          <t>12 Jul 2025</t>
        </is>
      </c>
      <c r="B1077" s="10" t="inlineStr">
        <is>
          <t>Rp 178.909</t>
        </is>
      </c>
    </row>
    <row r="1078">
      <c r="A1078" s="10" t="inlineStr">
        <is>
          <t>2024-08-08</t>
        </is>
      </c>
      <c r="B1078" s="10" t="n">
        <v>101941</v>
      </c>
    </row>
    <row r="1079">
      <c r="A1079" s="10" t="inlineStr">
        <is>
          <t>2025-07-30</t>
        </is>
      </c>
      <c r="B1079" s="10" t="n">
        <v>140850</v>
      </c>
    </row>
    <row r="1080">
      <c r="A1080" s="10" t="inlineStr">
        <is>
          <t>2023-11-30</t>
        </is>
      </c>
      <c r="B1080" s="10" t="n">
        <v>128094</v>
      </c>
    </row>
    <row r="1081">
      <c r="A1081" s="10" t="inlineStr">
        <is>
          <t>2025-12-24</t>
        </is>
      </c>
      <c r="B1081" s="10" t="n">
        <v>200726</v>
      </c>
    </row>
    <row r="1082">
      <c r="A1082" s="10" t="inlineStr">
        <is>
          <t>2023-07-29</t>
        </is>
      </c>
      <c r="B1082" s="10" t="n">
        <v>148914</v>
      </c>
    </row>
    <row r="1083">
      <c r="A1083" s="10" t="inlineStr">
        <is>
          <t>2024-08-17</t>
        </is>
      </c>
      <c r="B1083" s="10" t="n">
        <v>142405</v>
      </c>
    </row>
    <row r="1084">
      <c r="A1084" s="10" t="inlineStr">
        <is>
          <t>2024-05-26</t>
        </is>
      </c>
      <c r="B1084" s="10" t="n">
        <v>205222</v>
      </c>
    </row>
    <row r="1085">
      <c r="A1085" s="10" t="inlineStr">
        <is>
          <t>2026-01-15</t>
        </is>
      </c>
      <c r="B1085" s="10" t="n">
        <v>126349</v>
      </c>
    </row>
    <row r="1086">
      <c r="A1086" s="10" t="inlineStr">
        <is>
          <t>2023-07-20</t>
        </is>
      </c>
      <c r="B1086" s="10" t="inlineStr">
        <is>
          <t>Rp 93.566</t>
        </is>
      </c>
    </row>
    <row r="1087">
      <c r="A1087" s="10" t="inlineStr">
        <is>
          <t>2025-12-20</t>
        </is>
      </c>
      <c r="B1087" s="10" t="n">
        <v>317766</v>
      </c>
    </row>
    <row r="1088">
      <c r="A1088" s="10" t="inlineStr">
        <is>
          <t>30 Jun 2024</t>
        </is>
      </c>
      <c r="B1088" s="10" t="inlineStr">
        <is>
          <t>Rp 131.929</t>
        </is>
      </c>
    </row>
    <row r="1089">
      <c r="A1089" s="10" t="inlineStr">
        <is>
          <t>2025-06-09</t>
        </is>
      </c>
      <c r="B1089" s="10" t="n">
        <v>171028</v>
      </c>
    </row>
    <row r="1090">
      <c r="A1090" s="10" t="inlineStr">
        <is>
          <t>2023-10-08</t>
        </is>
      </c>
      <c r="B1090" s="10" t="n">
        <v>148884</v>
      </c>
    </row>
    <row r="1091">
      <c r="A1091" s="10" t="inlineStr">
        <is>
          <t>2024-01-01</t>
        </is>
      </c>
      <c r="B1091" s="10" t="n">
        <v>118663</v>
      </c>
    </row>
    <row r="1092">
      <c r="A1092" s="10" t="inlineStr">
        <is>
          <t>01/03/2024</t>
        </is>
      </c>
      <c r="B1092" s="10" t="inlineStr">
        <is>
          <t>Rp 140.400</t>
        </is>
      </c>
    </row>
    <row r="1093">
      <c r="A1093" s="10" t="inlineStr">
        <is>
          <t>02/04/2026</t>
        </is>
      </c>
      <c r="B1093" s="10" t="n">
        <v>173199</v>
      </c>
    </row>
    <row r="1094">
      <c r="A1094" s="10" t="inlineStr">
        <is>
          <t>2025-02-22</t>
        </is>
      </c>
      <c r="B1094" s="10" t="n">
        <v>140934</v>
      </c>
    </row>
    <row r="1095">
      <c r="A1095" s="10" t="inlineStr">
        <is>
          <t>2025-11-09</t>
        </is>
      </c>
      <c r="B1095" s="10" t="inlineStr">
        <is>
          <t>Rp 216.057</t>
        </is>
      </c>
    </row>
    <row r="1096">
      <c r="A1096" s="10" t="inlineStr">
        <is>
          <t>21 Jan 2024</t>
        </is>
      </c>
      <c r="B1096" s="10" t="inlineStr">
        <is>
          <t>Rp 149.064</t>
        </is>
      </c>
    </row>
    <row r="1097">
      <c r="A1097" s="10" t="inlineStr">
        <is>
          <t>2025-09-08</t>
        </is>
      </c>
      <c r="B1097" s="10" t="n">
        <v>116630</v>
      </c>
    </row>
    <row r="1098">
      <c r="A1098" s="10" t="inlineStr">
        <is>
          <t>2026-01-08</t>
        </is>
      </c>
      <c r="B1098" s="10" t="n">
        <v>124301</v>
      </c>
    </row>
    <row r="1099">
      <c r="A1099" s="10" t="inlineStr">
        <is>
          <t>2024-09-15</t>
        </is>
      </c>
      <c r="B1099" s="10" t="inlineStr">
        <is>
          <t>Rp 193.820</t>
        </is>
      </c>
    </row>
    <row r="1100">
      <c r="A1100" s="10" t="inlineStr">
        <is>
          <t>2024-01-25</t>
        </is>
      </c>
      <c r="B1100" s="10" t="n">
        <v>132084</v>
      </c>
    </row>
    <row r="1101">
      <c r="A1101" s="10" t="inlineStr">
        <is>
          <t>2026-01-12</t>
        </is>
      </c>
      <c r="B1101" s="10" t="n">
        <v>148198</v>
      </c>
    </row>
    <row r="1102">
      <c r="A1102" s="10" t="inlineStr">
        <is>
          <t>2026-02-13</t>
        </is>
      </c>
      <c r="B1102" s="10" t="n">
        <v>152081</v>
      </c>
    </row>
    <row r="1103">
      <c r="A1103" s="10" t="inlineStr">
        <is>
          <t>2025-06-03</t>
        </is>
      </c>
      <c r="B1103" s="10" t="n">
        <v>146910</v>
      </c>
    </row>
    <row r="1104">
      <c r="A1104" s="10" t="inlineStr">
        <is>
          <t>13 May 2024</t>
        </is>
      </c>
      <c r="B1104" s="10" t="inlineStr">
        <is>
          <t>Rp 148.983</t>
        </is>
      </c>
    </row>
    <row r="1105">
      <c r="A1105" s="10" t="inlineStr">
        <is>
          <t>2024-01-28</t>
        </is>
      </c>
      <c r="B1105" s="10" t="n">
        <v>151486</v>
      </c>
    </row>
    <row r="1106">
      <c r="A1106" s="10" t="inlineStr">
        <is>
          <t>2024-12-23</t>
        </is>
      </c>
      <c r="B1106" s="10" t="n">
        <v>185793</v>
      </c>
    </row>
    <row r="1107">
      <c r="A1107" s="10" t="inlineStr">
        <is>
          <t>10/08/2024</t>
        </is>
      </c>
      <c r="B1107" s="10" t="n">
        <v>146046</v>
      </c>
    </row>
    <row r="1108">
      <c r="A1108" s="10" t="inlineStr">
        <is>
          <t>2024-12-29</t>
        </is>
      </c>
      <c r="B1108" s="10" t="inlineStr">
        <is>
          <t>Rp 201.332</t>
        </is>
      </c>
    </row>
    <row r="1109">
      <c r="A1109" s="10" t="inlineStr">
        <is>
          <t>2025-12-05</t>
        </is>
      </c>
      <c r="B1109" s="10" t="n">
        <v>259371</v>
      </c>
    </row>
    <row r="1110">
      <c r="A1110" s="10" t="inlineStr">
        <is>
          <t>2023-07-27</t>
        </is>
      </c>
      <c r="B1110" s="10" t="n">
        <v>107275</v>
      </c>
    </row>
    <row r="1111">
      <c r="A1111" s="10" t="inlineStr">
        <is>
          <t>2024-10-14</t>
        </is>
      </c>
      <c r="B1111" s="10" t="n">
        <v>116857</v>
      </c>
    </row>
    <row r="1112">
      <c r="A1112" s="10" t="inlineStr">
        <is>
          <t>2025-02-28</t>
        </is>
      </c>
      <c r="B1112" s="10" t="inlineStr">
        <is>
          <t>Rp 153.159</t>
        </is>
      </c>
    </row>
    <row r="1113">
      <c r="A1113" s="10" t="inlineStr">
        <is>
          <t>2024-05-14</t>
        </is>
      </c>
      <c r="B1113" s="10" t="inlineStr">
        <is>
          <t>Rp 158.381</t>
        </is>
      </c>
    </row>
    <row r="1114">
      <c r="A1114" s="10" t="inlineStr">
        <is>
          <t>2024-06-17</t>
        </is>
      </c>
      <c r="B1114" s="10" t="n">
        <v>129916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46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Inconsistent date formats</t>
        </is>
      </c>
      <c r="B5" s="13" t="inlineStr">
        <is>
          <t>01/06/2023  and  01 Jun 2023</t>
        </is>
      </c>
      <c r="C5" s="12" t="inlineStr">
        <is>
          <t>Parsed to real Excel dates</t>
        </is>
      </c>
      <c r="D5" s="12" t="n">
        <v>284</v>
      </c>
    </row>
    <row r="6">
      <c r="A6" s="12" t="inlineStr">
        <is>
          <t>Sales stored as text</t>
        </is>
      </c>
      <c r="B6" s="13" t="inlineStr">
        <is>
          <t>'Rp 140.480'</t>
        </is>
      </c>
      <c r="C6" s="12" t="inlineStr">
        <is>
          <t>Strip 'Rp' and dots, convert with VALUE()</t>
        </is>
      </c>
      <c r="D6" s="12" t="n">
        <v>219</v>
      </c>
    </row>
    <row r="7">
      <c r="A7" s="12" t="inlineStr">
        <is>
          <t>Missing sales days</t>
        </is>
      </c>
      <c r="B7" s="13" t="inlineStr">
        <is>
          <t>(blank cell)</t>
        </is>
      </c>
      <c r="C7" s="12" t="inlineStr">
        <is>
          <t>Interpolated from neighbouring days</t>
        </is>
      </c>
      <c r="D7" s="12" t="n">
        <v>21</v>
      </c>
    </row>
    <row r="8">
      <c r="A8" s="12" t="inlineStr">
        <is>
          <t>Duplicate day rows</t>
        </is>
      </c>
      <c r="B8" s="13" t="inlineStr">
        <is>
          <t>2023-06-01 twice</t>
        </is>
      </c>
      <c r="C8" s="12" t="inlineStr">
        <is>
          <t>Removed exact duplicates</t>
        </is>
      </c>
      <c r="D8" s="12" t="n">
        <v>14</v>
      </c>
    </row>
    <row r="9">
      <c r="A9" s="14" t="inlineStr">
        <is>
          <t>Rows in, then after de-duplication</t>
        </is>
      </c>
      <c r="D9" s="14" t="inlineStr">
        <is>
          <t>1,110 -&gt; 1,096</t>
        </is>
      </c>
    </row>
    <row r="12">
      <c r="A12" s="7" t="inlineStr">
        <is>
          <t>LIVE FORMULA DEMO  (column C recomputes from column A)</t>
        </is>
      </c>
    </row>
    <row r="14" ht="26" customHeight="1">
      <c r="A14" s="9" t="inlineStr">
        <is>
          <t>Raw value</t>
        </is>
      </c>
      <c r="B14" s="9" t="inlineStr">
        <is>
          <t>Formula (shown as text)</t>
        </is>
      </c>
      <c r="C14" s="9" t="inlineStr">
        <is>
          <t>Result (live)</t>
        </is>
      </c>
    </row>
    <row r="15">
      <c r="A15" s="10" t="inlineStr">
        <is>
          <t>Rp 140.480</t>
        </is>
      </c>
      <c r="B15" s="15" t="inlineStr">
        <is>
          <t>VALUE(SUBSTITUTE(SUBSTITUTE(A15,"Rp ",""),".",""))</t>
        </is>
      </c>
      <c r="C15" s="16">
        <f>VALUE(SUBSTITUTE(SUBSTITUTE(A15,"Rp ",""),".",""))</f>
        <v/>
      </c>
    </row>
    <row r="16">
      <c r="A16" s="10" t="inlineStr">
        <is>
          <t>01/06/2023</t>
        </is>
      </c>
      <c r="B16" s="15" t="inlineStr">
        <is>
          <t>DATEVALUE(A16)</t>
        </is>
      </c>
      <c r="C16" s="16">
        <f>DATEVALUE(A16)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</cols>
  <sheetData>
    <row r="1" ht="26" customHeight="1">
      <c r="A1" s="9" t="inlineStr">
        <is>
          <t>date</t>
        </is>
      </c>
      <c r="B1" s="9" t="inlineStr">
        <is>
          <t>sales</t>
        </is>
      </c>
      <c r="C1" s="9" t="inlineStr">
        <is>
          <t>month</t>
        </is>
      </c>
    </row>
    <row r="2">
      <c r="A2" s="17" t="n">
        <v>45078</v>
      </c>
      <c r="B2" s="18" t="n">
        <v>140480</v>
      </c>
      <c r="C2" s="10">
        <f>TEXT($A2,"YYYY-MM")</f>
        <v/>
      </c>
    </row>
    <row r="3">
      <c r="A3" s="17" t="n">
        <v>45079</v>
      </c>
      <c r="B3" s="18" t="n">
        <v>140694</v>
      </c>
      <c r="C3" s="10">
        <f>TEXT($A3,"YYYY-MM")</f>
        <v/>
      </c>
    </row>
    <row r="4">
      <c r="A4" s="17" t="n">
        <v>45080</v>
      </c>
      <c r="B4" s="18" t="n">
        <v>155681</v>
      </c>
      <c r="C4" s="10">
        <f>TEXT($A4,"YYYY-MM")</f>
        <v/>
      </c>
    </row>
    <row r="5">
      <c r="A5" s="17" t="n">
        <v>45081</v>
      </c>
      <c r="B5" s="18" t="n">
        <v>145630</v>
      </c>
      <c r="C5" s="10">
        <f>TEXT($A5,"YYYY-MM")</f>
        <v/>
      </c>
    </row>
    <row r="6">
      <c r="A6" s="17" t="n">
        <v>45082</v>
      </c>
      <c r="B6" s="18" t="n">
        <v>132705</v>
      </c>
      <c r="C6" s="10">
        <f>TEXT($A6,"YYYY-MM")</f>
        <v/>
      </c>
    </row>
    <row r="7">
      <c r="A7" s="17" t="n">
        <v>45083</v>
      </c>
      <c r="B7" s="18" t="n">
        <v>132096</v>
      </c>
      <c r="C7" s="10">
        <f>TEXT($A7,"YYYY-MM")</f>
        <v/>
      </c>
    </row>
    <row r="8">
      <c r="A8" s="17" t="n">
        <v>45084</v>
      </c>
      <c r="B8" s="18" t="n">
        <v>145433</v>
      </c>
      <c r="C8" s="10">
        <f>TEXT($A8,"YYYY-MM")</f>
        <v/>
      </c>
    </row>
    <row r="9">
      <c r="A9" s="17" t="n">
        <v>45085</v>
      </c>
      <c r="B9" s="18" t="n">
        <v>145731</v>
      </c>
      <c r="C9" s="10">
        <f>TEXT($A9,"YYYY-MM")</f>
        <v/>
      </c>
    </row>
    <row r="10">
      <c r="A10" s="17" t="n">
        <v>45086</v>
      </c>
      <c r="B10" s="18" t="n">
        <v>139381</v>
      </c>
      <c r="C10" s="10">
        <f>TEXT($A10,"YYYY-MM")</f>
        <v/>
      </c>
    </row>
    <row r="11">
      <c r="A11" s="17" t="n">
        <v>45087</v>
      </c>
      <c r="B11" s="18" t="n">
        <v>173409</v>
      </c>
      <c r="C11" s="10">
        <f>TEXT($A11,"YYYY-MM")</f>
        <v/>
      </c>
    </row>
    <row r="12">
      <c r="A12" s="17" t="n">
        <v>45088</v>
      </c>
      <c r="B12" s="18" t="n">
        <v>166770</v>
      </c>
      <c r="C12" s="10">
        <f>TEXT($A12,"YYYY-MM")</f>
        <v/>
      </c>
    </row>
    <row r="13">
      <c r="A13" s="17" t="n">
        <v>45089</v>
      </c>
      <c r="B13" s="18" t="n">
        <v>117788</v>
      </c>
      <c r="C13" s="10">
        <f>TEXT($A13,"YYYY-MM")</f>
        <v/>
      </c>
    </row>
    <row r="14">
      <c r="A14" s="17" t="n">
        <v>45090</v>
      </c>
      <c r="B14" s="18" t="n">
        <v>148091</v>
      </c>
      <c r="C14" s="10">
        <f>TEXT($A14,"YYYY-MM")</f>
        <v/>
      </c>
    </row>
    <row r="15">
      <c r="A15" s="17" t="n">
        <v>45091</v>
      </c>
      <c r="B15" s="18" t="n">
        <v>117701</v>
      </c>
      <c r="C15" s="10">
        <f>TEXT($A15,"YYYY-MM")</f>
        <v/>
      </c>
    </row>
    <row r="16">
      <c r="A16" s="17" t="n">
        <v>45092</v>
      </c>
      <c r="B16" s="18" t="n">
        <v>134914</v>
      </c>
      <c r="C16" s="10">
        <f>TEXT($A16,"YYYY-MM")</f>
        <v/>
      </c>
    </row>
    <row r="17">
      <c r="A17" s="17" t="n">
        <v>45093</v>
      </c>
      <c r="B17" s="18" t="n">
        <v>176891</v>
      </c>
      <c r="C17" s="10">
        <f>TEXT($A17,"YYYY-MM")</f>
        <v/>
      </c>
    </row>
    <row r="18">
      <c r="A18" s="17" t="n">
        <v>45094</v>
      </c>
      <c r="B18" s="18" t="n">
        <v>192759</v>
      </c>
      <c r="C18" s="10">
        <f>TEXT($A18,"YYYY-MM")</f>
        <v/>
      </c>
    </row>
    <row r="19">
      <c r="A19" s="17" t="n">
        <v>45095</v>
      </c>
      <c r="B19" s="18" t="n">
        <v>154420</v>
      </c>
      <c r="C19" s="10">
        <f>TEXT($A19,"YYYY-MM")</f>
        <v/>
      </c>
    </row>
    <row r="20">
      <c r="A20" s="17" t="n">
        <v>45096</v>
      </c>
      <c r="B20" s="18" t="n">
        <v>117739</v>
      </c>
      <c r="C20" s="10">
        <f>TEXT($A20,"YYYY-MM")</f>
        <v/>
      </c>
    </row>
    <row r="21">
      <c r="A21" s="17" t="n">
        <v>45097</v>
      </c>
      <c r="B21" s="18" t="n">
        <v>122317</v>
      </c>
      <c r="C21" s="10">
        <f>TEXT($A21,"YYYY-MM")</f>
        <v/>
      </c>
    </row>
    <row r="22">
      <c r="A22" s="17" t="n">
        <v>45098</v>
      </c>
      <c r="B22" s="18" t="n">
        <v>144157</v>
      </c>
      <c r="C22" s="10">
        <f>TEXT($A22,"YYYY-MM")</f>
        <v/>
      </c>
    </row>
    <row r="23">
      <c r="A23" s="17" t="n">
        <v>45099</v>
      </c>
      <c r="B23" s="18" t="n">
        <v>129975</v>
      </c>
      <c r="C23" s="10">
        <f>TEXT($A23,"YYYY-MM")</f>
        <v/>
      </c>
    </row>
    <row r="24">
      <c r="A24" s="17" t="n">
        <v>45100</v>
      </c>
      <c r="B24" s="18" t="n">
        <v>137241</v>
      </c>
      <c r="C24" s="10">
        <f>TEXT($A24,"YYYY-MM")</f>
        <v/>
      </c>
    </row>
    <row r="25">
      <c r="A25" s="17" t="n">
        <v>45101</v>
      </c>
      <c r="B25" s="18" t="n">
        <v>192499</v>
      </c>
      <c r="C25" s="10">
        <f>TEXT($A25,"YYYY-MM")</f>
        <v/>
      </c>
    </row>
    <row r="26">
      <c r="A26" s="17" t="n">
        <v>45102</v>
      </c>
      <c r="B26" s="18" t="n">
        <v>138425</v>
      </c>
      <c r="C26" s="10">
        <f>TEXT($A26,"YYYY-MM")</f>
        <v/>
      </c>
    </row>
    <row r="27">
      <c r="A27" s="17" t="n">
        <v>45103</v>
      </c>
      <c r="B27" s="18" t="n">
        <v>152468</v>
      </c>
      <c r="C27" s="10">
        <f>TEXT($A27,"YYYY-MM")</f>
        <v/>
      </c>
    </row>
    <row r="28">
      <c r="A28" s="17" t="n">
        <v>45104</v>
      </c>
      <c r="B28" s="18" t="n">
        <v>122597</v>
      </c>
      <c r="C28" s="10">
        <f>TEXT($A28,"YYYY-MM")</f>
        <v/>
      </c>
    </row>
    <row r="29">
      <c r="A29" s="17" t="n">
        <v>45105</v>
      </c>
      <c r="B29" s="18" t="n">
        <v>123262</v>
      </c>
      <c r="C29" s="10">
        <f>TEXT($A29,"YYYY-MM")</f>
        <v/>
      </c>
    </row>
    <row r="30">
      <c r="A30" s="17" t="n">
        <v>45106</v>
      </c>
      <c r="B30" s="18" t="n">
        <v>121666</v>
      </c>
      <c r="C30" s="10">
        <f>TEXT($A30,"YYYY-MM")</f>
        <v/>
      </c>
    </row>
    <row r="31">
      <c r="A31" s="17" t="n">
        <v>45107</v>
      </c>
      <c r="B31" s="18" t="n">
        <v>169718</v>
      </c>
      <c r="C31" s="10">
        <f>TEXT($A31,"YYYY-MM")</f>
        <v/>
      </c>
    </row>
    <row r="32">
      <c r="A32" s="17" t="n">
        <v>45108</v>
      </c>
      <c r="B32" s="18" t="n">
        <v>135757</v>
      </c>
      <c r="C32" s="10">
        <f>TEXT($A32,"YYYY-MM")</f>
        <v/>
      </c>
    </row>
    <row r="33">
      <c r="A33" s="17" t="n">
        <v>45109</v>
      </c>
      <c r="B33" s="18" t="n">
        <v>123730</v>
      </c>
      <c r="C33" s="10">
        <f>TEXT($A33,"YYYY-MM")</f>
        <v/>
      </c>
    </row>
    <row r="34">
      <c r="A34" s="17" t="n">
        <v>45110</v>
      </c>
      <c r="B34" s="18" t="n">
        <v>112083</v>
      </c>
      <c r="C34" s="10">
        <f>TEXT($A34,"YYYY-MM")</f>
        <v/>
      </c>
    </row>
    <row r="35">
      <c r="A35" s="17" t="n">
        <v>45111</v>
      </c>
      <c r="B35" s="18" t="n">
        <v>89783</v>
      </c>
      <c r="C35" s="10">
        <f>TEXT($A35,"YYYY-MM")</f>
        <v/>
      </c>
    </row>
    <row r="36">
      <c r="A36" s="17" t="n">
        <v>45112</v>
      </c>
      <c r="B36" s="18" t="n">
        <v>96277</v>
      </c>
      <c r="C36" s="10">
        <f>TEXT($A36,"YYYY-MM")</f>
        <v/>
      </c>
    </row>
    <row r="37">
      <c r="A37" s="17" t="n">
        <v>45113</v>
      </c>
      <c r="B37" s="18" t="n">
        <v>122853</v>
      </c>
      <c r="C37" s="10">
        <f>TEXT($A37,"YYYY-MM")</f>
        <v/>
      </c>
    </row>
    <row r="38">
      <c r="A38" s="17" t="n">
        <v>45114</v>
      </c>
      <c r="B38" s="18" t="n">
        <v>103486</v>
      </c>
      <c r="C38" s="10">
        <f>TEXT($A38,"YYYY-MM")</f>
        <v/>
      </c>
    </row>
    <row r="39">
      <c r="A39" s="17" t="n">
        <v>45115</v>
      </c>
      <c r="B39" s="18" t="n">
        <v>125500</v>
      </c>
      <c r="C39" s="10">
        <f>TEXT($A39,"YYYY-MM")</f>
        <v/>
      </c>
    </row>
    <row r="40">
      <c r="A40" s="17" t="n">
        <v>45116</v>
      </c>
      <c r="B40" s="18" t="n">
        <v>131298</v>
      </c>
      <c r="C40" s="10">
        <f>TEXT($A40,"YYYY-MM")</f>
        <v/>
      </c>
    </row>
    <row r="41">
      <c r="A41" s="17" t="n">
        <v>45117</v>
      </c>
      <c r="B41" s="18" t="n">
        <v>96403</v>
      </c>
      <c r="C41" s="10">
        <f>TEXT($A41,"YYYY-MM")</f>
        <v/>
      </c>
    </row>
    <row r="42">
      <c r="A42" s="17" t="n">
        <v>45118</v>
      </c>
      <c r="B42" s="18" t="n">
        <v>108097</v>
      </c>
      <c r="C42" s="10">
        <f>TEXT($A42,"YYYY-MM")</f>
        <v/>
      </c>
    </row>
    <row r="43">
      <c r="A43" s="17" t="n">
        <v>45119</v>
      </c>
      <c r="B43" s="18" t="n">
        <v>92101</v>
      </c>
      <c r="C43" s="10">
        <f>TEXT($A43,"YYYY-MM")</f>
        <v/>
      </c>
    </row>
    <row r="44">
      <c r="A44" s="17" t="n">
        <v>45120</v>
      </c>
      <c r="B44" s="18" t="n">
        <v>110233</v>
      </c>
      <c r="C44" s="10">
        <f>TEXT($A44,"YYYY-MM")</f>
        <v/>
      </c>
    </row>
    <row r="45">
      <c r="A45" s="17" t="n">
        <v>45121</v>
      </c>
      <c r="B45" s="18" t="n">
        <v>104731</v>
      </c>
      <c r="C45" s="10">
        <f>TEXT($A45,"YYYY-MM")</f>
        <v/>
      </c>
    </row>
    <row r="46">
      <c r="A46" s="17" t="n">
        <v>45122</v>
      </c>
      <c r="B46" s="18" t="n">
        <v>154467</v>
      </c>
      <c r="C46" s="10">
        <f>TEXT($A46,"YYYY-MM")</f>
        <v/>
      </c>
    </row>
    <row r="47">
      <c r="A47" s="17" t="n">
        <v>45123</v>
      </c>
      <c r="B47" s="18" t="n">
        <v>141803</v>
      </c>
      <c r="C47" s="10">
        <f>TEXT($A47,"YYYY-MM")</f>
        <v/>
      </c>
    </row>
    <row r="48">
      <c r="A48" s="17" t="n">
        <v>45124</v>
      </c>
      <c r="B48" s="18" t="n">
        <v>110065</v>
      </c>
      <c r="C48" s="10">
        <f>TEXT($A48,"YYYY-MM")</f>
        <v/>
      </c>
    </row>
    <row r="49">
      <c r="A49" s="17" t="n">
        <v>45125</v>
      </c>
      <c r="B49" s="18" t="n">
        <v>88583</v>
      </c>
      <c r="C49" s="10">
        <f>TEXT($A49,"YYYY-MM")</f>
        <v/>
      </c>
    </row>
    <row r="50">
      <c r="A50" s="17" t="n">
        <v>45126</v>
      </c>
      <c r="B50" s="18" t="n">
        <v>107219</v>
      </c>
      <c r="C50" s="10">
        <f>TEXT($A50,"YYYY-MM")</f>
        <v/>
      </c>
    </row>
    <row r="51">
      <c r="A51" s="17" t="n">
        <v>45127</v>
      </c>
      <c r="B51" s="18" t="n">
        <v>93566</v>
      </c>
      <c r="C51" s="10">
        <f>TEXT($A51,"YYYY-MM")</f>
        <v/>
      </c>
    </row>
    <row r="52">
      <c r="A52" s="17" t="n">
        <v>45128</v>
      </c>
      <c r="B52" s="18" t="n">
        <v>114905</v>
      </c>
      <c r="C52" s="10">
        <f>TEXT($A52,"YYYY-MM")</f>
        <v/>
      </c>
    </row>
    <row r="53">
      <c r="A53" s="17" t="n">
        <v>45129</v>
      </c>
      <c r="B53" s="18" t="n">
        <v>121131</v>
      </c>
      <c r="C53" s="10">
        <f>TEXT($A53,"YYYY-MM")</f>
        <v/>
      </c>
    </row>
    <row r="54">
      <c r="A54" s="17" t="n">
        <v>45130</v>
      </c>
      <c r="B54" s="18" t="n">
        <v>123431</v>
      </c>
      <c r="C54" s="10">
        <f>TEXT($A54,"YYYY-MM")</f>
        <v/>
      </c>
    </row>
    <row r="55">
      <c r="A55" s="17" t="n">
        <v>45131</v>
      </c>
      <c r="B55" s="18" t="n">
        <v>105705</v>
      </c>
      <c r="C55" s="10">
        <f>TEXT($A55,"YYYY-MM")</f>
        <v/>
      </c>
    </row>
    <row r="56">
      <c r="A56" s="17" t="n">
        <v>45132</v>
      </c>
      <c r="B56" s="18" t="n">
        <v>101075</v>
      </c>
      <c r="C56" s="10">
        <f>TEXT($A56,"YYYY-MM")</f>
        <v/>
      </c>
    </row>
    <row r="57">
      <c r="A57" s="17" t="n">
        <v>45133</v>
      </c>
      <c r="B57" s="18" t="n">
        <v>121821</v>
      </c>
      <c r="C57" s="10">
        <f>TEXT($A57,"YYYY-MM")</f>
        <v/>
      </c>
    </row>
    <row r="58">
      <c r="A58" s="17" t="n">
        <v>45134</v>
      </c>
      <c r="B58" s="18" t="n">
        <v>107275</v>
      </c>
      <c r="C58" s="10">
        <f>TEXT($A58,"YYYY-MM")</f>
        <v/>
      </c>
    </row>
    <row r="59">
      <c r="A59" s="17" t="n">
        <v>45135</v>
      </c>
      <c r="B59" s="18" t="n">
        <v>125101</v>
      </c>
      <c r="C59" s="10">
        <f>TEXT($A59,"YYYY-MM")</f>
        <v/>
      </c>
    </row>
    <row r="60">
      <c r="A60" s="17" t="n">
        <v>45136</v>
      </c>
      <c r="B60" s="18" t="n">
        <v>148914</v>
      </c>
      <c r="C60" s="10">
        <f>TEXT($A60,"YYYY-MM")</f>
        <v/>
      </c>
    </row>
    <row r="61">
      <c r="A61" s="17" t="n">
        <v>45137</v>
      </c>
      <c r="B61" s="18" t="n">
        <v>107246</v>
      </c>
      <c r="C61" s="10">
        <f>TEXT($A61,"YYYY-MM")</f>
        <v/>
      </c>
    </row>
    <row r="62">
      <c r="A62" s="17" t="n">
        <v>45138</v>
      </c>
      <c r="B62" s="18" t="n">
        <v>117908</v>
      </c>
      <c r="C62" s="10">
        <f>TEXT($A62,"YYYY-MM")</f>
        <v/>
      </c>
    </row>
    <row r="63">
      <c r="A63" s="17" t="n">
        <v>45139</v>
      </c>
      <c r="B63" s="18" t="n">
        <v>94165</v>
      </c>
      <c r="C63" s="10">
        <f>TEXT($A63,"YYYY-MM")</f>
        <v/>
      </c>
    </row>
    <row r="64">
      <c r="A64" s="17" t="n">
        <v>45140</v>
      </c>
      <c r="B64" s="18" t="n">
        <v>99835</v>
      </c>
      <c r="C64" s="10">
        <f>TEXT($A64,"YYYY-MM")</f>
        <v/>
      </c>
    </row>
    <row r="65">
      <c r="A65" s="17" t="n">
        <v>45141</v>
      </c>
      <c r="B65" s="18" t="n">
        <v>106492</v>
      </c>
      <c r="C65" s="10">
        <f>TEXT($A65,"YYYY-MM")</f>
        <v/>
      </c>
    </row>
    <row r="66">
      <c r="A66" s="17" t="n">
        <v>45142</v>
      </c>
      <c r="B66" s="18" t="n">
        <v>99394</v>
      </c>
      <c r="C66" s="10">
        <f>TEXT($A66,"YYYY-MM")</f>
        <v/>
      </c>
    </row>
    <row r="67">
      <c r="A67" s="17" t="n">
        <v>45143</v>
      </c>
      <c r="B67" s="18" t="n">
        <v>115455</v>
      </c>
      <c r="C67" s="10">
        <f>TEXT($A67,"YYYY-MM")</f>
        <v/>
      </c>
    </row>
    <row r="68">
      <c r="A68" s="17" t="n">
        <v>45144</v>
      </c>
      <c r="B68" s="18" t="n">
        <v>122373</v>
      </c>
      <c r="C68" s="10">
        <f>TEXT($A68,"YYYY-MM")</f>
        <v/>
      </c>
    </row>
    <row r="69">
      <c r="A69" s="17" t="n">
        <v>45145</v>
      </c>
      <c r="B69" s="18" t="n">
        <v>92031</v>
      </c>
      <c r="C69" s="10">
        <f>TEXT($A69,"YYYY-MM")</f>
        <v/>
      </c>
    </row>
    <row r="70">
      <c r="A70" s="17" t="n">
        <v>45146</v>
      </c>
      <c r="B70" s="18" t="n">
        <v>88689</v>
      </c>
      <c r="C70" s="10">
        <f>TEXT($A70,"YYYY-MM")</f>
        <v/>
      </c>
    </row>
    <row r="71">
      <c r="A71" s="17" t="n">
        <v>45147</v>
      </c>
      <c r="B71" s="18" t="n">
        <v>109990</v>
      </c>
      <c r="C71" s="10">
        <f>TEXT($A71,"YYYY-MM")</f>
        <v/>
      </c>
    </row>
    <row r="72">
      <c r="A72" s="17" t="n">
        <v>45148</v>
      </c>
      <c r="B72" s="18" t="n">
        <v>89525</v>
      </c>
      <c r="C72" s="10">
        <f>TEXT($A72,"YYYY-MM")</f>
        <v/>
      </c>
    </row>
    <row r="73">
      <c r="A73" s="17" t="n">
        <v>45149</v>
      </c>
      <c r="B73" s="18" t="n">
        <v>98012</v>
      </c>
      <c r="C73" s="10">
        <f>TEXT($A73,"YYYY-MM")</f>
        <v/>
      </c>
    </row>
    <row r="74">
      <c r="A74" s="17" t="n">
        <v>45150</v>
      </c>
      <c r="B74" s="18" t="n">
        <v>128668</v>
      </c>
      <c r="C74" s="10">
        <f>TEXT($A74,"YYYY-MM")</f>
        <v/>
      </c>
    </row>
    <row r="75">
      <c r="A75" s="17" t="n">
        <v>45151</v>
      </c>
      <c r="B75" s="18" t="n">
        <v>109035</v>
      </c>
      <c r="C75" s="10">
        <f>TEXT($A75,"YYYY-MM")</f>
        <v/>
      </c>
    </row>
    <row r="76">
      <c r="A76" s="17" t="n">
        <v>45152</v>
      </c>
      <c r="B76" s="18" t="n">
        <v>85265</v>
      </c>
      <c r="C76" s="10">
        <f>TEXT($A76,"YYYY-MM")</f>
        <v/>
      </c>
    </row>
    <row r="77">
      <c r="A77" s="17" t="n">
        <v>45153</v>
      </c>
      <c r="B77" s="18" t="n">
        <v>107765</v>
      </c>
      <c r="C77" s="10">
        <f>TEXT($A77,"YYYY-MM")</f>
        <v/>
      </c>
    </row>
    <row r="78">
      <c r="A78" s="17" t="n">
        <v>45154</v>
      </c>
      <c r="B78" s="18" t="n">
        <v>86250</v>
      </c>
      <c r="C78" s="10">
        <f>TEXT($A78,"YYYY-MM")</f>
        <v/>
      </c>
    </row>
    <row r="79">
      <c r="A79" s="17" t="n">
        <v>45155</v>
      </c>
      <c r="B79" s="18" t="n">
        <v>103205</v>
      </c>
      <c r="C79" s="10">
        <f>TEXT($A79,"YYYY-MM")</f>
        <v/>
      </c>
    </row>
    <row r="80">
      <c r="A80" s="17" t="n">
        <v>45156</v>
      </c>
      <c r="B80" s="18" t="n">
        <v>107143</v>
      </c>
      <c r="C80" s="10">
        <f>TEXT($A80,"YYYY-MM")</f>
        <v/>
      </c>
    </row>
    <row r="81">
      <c r="A81" s="17" t="n">
        <v>45157</v>
      </c>
      <c r="B81" s="18" t="n">
        <v>137961</v>
      </c>
      <c r="C81" s="10">
        <f>TEXT($A81,"YYYY-MM")</f>
        <v/>
      </c>
    </row>
    <row r="82">
      <c r="A82" s="17" t="n">
        <v>45158</v>
      </c>
      <c r="B82" s="18" t="n">
        <v>115567</v>
      </c>
      <c r="C82" s="10">
        <f>TEXT($A82,"YYYY-MM")</f>
        <v/>
      </c>
    </row>
    <row r="83">
      <c r="A83" s="17" t="n">
        <v>45159</v>
      </c>
      <c r="B83" s="18" t="n">
        <v>85698</v>
      </c>
      <c r="C83" s="10">
        <f>TEXT($A83,"YYYY-MM")</f>
        <v/>
      </c>
    </row>
    <row r="84">
      <c r="A84" s="17" t="n">
        <v>45160</v>
      </c>
      <c r="B84" s="18" t="n">
        <v>106793</v>
      </c>
      <c r="C84" s="10">
        <f>TEXT($A84,"YYYY-MM")</f>
        <v/>
      </c>
    </row>
    <row r="85">
      <c r="A85" s="17" t="n">
        <v>45161</v>
      </c>
      <c r="B85" s="18" t="n">
        <v>87779</v>
      </c>
      <c r="C85" s="10">
        <f>TEXT($A85,"YYYY-MM")</f>
        <v/>
      </c>
    </row>
    <row r="86">
      <c r="A86" s="17" t="n">
        <v>45162</v>
      </c>
      <c r="B86" s="18" t="n">
        <v>111771</v>
      </c>
      <c r="C86" s="10">
        <f>TEXT($A86,"YYYY-MM")</f>
        <v/>
      </c>
    </row>
    <row r="87">
      <c r="A87" s="17" t="n">
        <v>45163</v>
      </c>
      <c r="B87" s="18" t="n">
        <v>119726</v>
      </c>
      <c r="C87" s="10">
        <f>TEXT($A87,"YYYY-MM")</f>
        <v/>
      </c>
    </row>
    <row r="88">
      <c r="A88" s="17" t="n">
        <v>45164</v>
      </c>
      <c r="B88" s="18" t="n">
        <v>140275</v>
      </c>
      <c r="C88" s="10">
        <f>TEXT($A88,"YYYY-MM")</f>
        <v/>
      </c>
    </row>
    <row r="89">
      <c r="A89" s="17" t="n">
        <v>45165</v>
      </c>
      <c r="B89" s="18" t="n">
        <v>125917</v>
      </c>
      <c r="C89" s="10">
        <f>TEXT($A89,"YYYY-MM")</f>
        <v/>
      </c>
    </row>
    <row r="90">
      <c r="A90" s="17" t="n">
        <v>45166</v>
      </c>
      <c r="B90" s="18" t="n">
        <v>84669</v>
      </c>
      <c r="C90" s="10">
        <f>TEXT($A90,"YYYY-MM")</f>
        <v/>
      </c>
    </row>
    <row r="91">
      <c r="A91" s="17" t="n">
        <v>45167</v>
      </c>
      <c r="B91" s="18" t="n">
        <v>83224</v>
      </c>
      <c r="C91" s="10">
        <f>TEXT($A91,"YYYY-MM")</f>
        <v/>
      </c>
    </row>
    <row r="92">
      <c r="A92" s="17" t="n">
        <v>45168</v>
      </c>
      <c r="B92" s="18" t="n">
        <v>109028</v>
      </c>
      <c r="C92" s="10">
        <f>TEXT($A92,"YYYY-MM")</f>
        <v/>
      </c>
    </row>
    <row r="93">
      <c r="A93" s="17" t="n">
        <v>45169</v>
      </c>
      <c r="B93" s="18" t="n">
        <v>88093</v>
      </c>
      <c r="C93" s="10">
        <f>TEXT($A93,"YYYY-MM")</f>
        <v/>
      </c>
    </row>
    <row r="94">
      <c r="A94" s="17" t="n">
        <v>45170</v>
      </c>
      <c r="B94" s="18" t="n">
        <v>125742</v>
      </c>
      <c r="C94" s="10">
        <f>TEXT($A94,"YYYY-MM")</f>
        <v/>
      </c>
    </row>
    <row r="95">
      <c r="A95" s="17" t="n">
        <v>45171</v>
      </c>
      <c r="B95" s="18" t="n">
        <v>149826</v>
      </c>
      <c r="C95" s="10">
        <f>TEXT($A95,"YYYY-MM")</f>
        <v/>
      </c>
    </row>
    <row r="96">
      <c r="A96" s="17" t="n">
        <v>45172</v>
      </c>
      <c r="B96" s="18" t="n">
        <v>142594</v>
      </c>
      <c r="C96" s="10">
        <f>TEXT($A96,"YYYY-MM")</f>
        <v/>
      </c>
    </row>
    <row r="97">
      <c r="A97" s="17" t="n">
        <v>45173</v>
      </c>
      <c r="B97" s="18" t="n">
        <v>111015</v>
      </c>
      <c r="C97" s="10">
        <f>TEXT($A97,"YYYY-MM")</f>
        <v/>
      </c>
    </row>
    <row r="98">
      <c r="A98" s="17" t="n">
        <v>45174</v>
      </c>
      <c r="B98" s="18" t="n">
        <v>118283</v>
      </c>
      <c r="C98" s="10">
        <f>TEXT($A98,"YYYY-MM")</f>
        <v/>
      </c>
    </row>
    <row r="99">
      <c r="A99" s="17" t="n">
        <v>45175</v>
      </c>
      <c r="B99" s="18" t="n">
        <v>126594</v>
      </c>
      <c r="C99" s="10">
        <f>TEXT($A99,"YYYY-MM")</f>
        <v/>
      </c>
    </row>
    <row r="100">
      <c r="A100" s="17" t="n">
        <v>45176</v>
      </c>
      <c r="B100" s="18" t="n">
        <v>132005</v>
      </c>
      <c r="C100" s="10">
        <f>TEXT($A100,"YYYY-MM")</f>
        <v/>
      </c>
    </row>
    <row r="101">
      <c r="A101" s="17" t="n">
        <v>45177</v>
      </c>
      <c r="B101" s="18" t="n">
        <v>139693</v>
      </c>
      <c r="C101" s="10">
        <f>TEXT($A101,"YYYY-MM")</f>
        <v/>
      </c>
    </row>
    <row r="102">
      <c r="A102" s="17" t="n">
        <v>45178</v>
      </c>
      <c r="B102" s="18" t="n">
        <v>149903</v>
      </c>
      <c r="C102" s="10">
        <f>TEXT($A102,"YYYY-MM")</f>
        <v/>
      </c>
    </row>
    <row r="103">
      <c r="A103" s="17" t="n">
        <v>45179</v>
      </c>
      <c r="B103" s="18" t="n">
        <v>156446</v>
      </c>
      <c r="C103" s="10">
        <f>TEXT($A103,"YYYY-MM")</f>
        <v/>
      </c>
    </row>
    <row r="104">
      <c r="A104" s="17" t="n">
        <v>45180</v>
      </c>
      <c r="B104" s="18" t="n">
        <v>113311</v>
      </c>
      <c r="C104" s="10">
        <f>TEXT($A104,"YYYY-MM")</f>
        <v/>
      </c>
    </row>
    <row r="105">
      <c r="A105" s="17" t="n">
        <v>45181</v>
      </c>
      <c r="B105" s="18" t="n">
        <v>113444</v>
      </c>
      <c r="C105" s="10">
        <f>TEXT($A105,"YYYY-MM")</f>
        <v/>
      </c>
    </row>
    <row r="106">
      <c r="A106" s="17" t="n">
        <v>45182</v>
      </c>
      <c r="B106" s="18" t="n">
        <v>109347</v>
      </c>
      <c r="C106" s="10">
        <f>TEXT($A106,"YYYY-MM")</f>
        <v/>
      </c>
    </row>
    <row r="107">
      <c r="A107" s="17" t="n">
        <v>45183</v>
      </c>
      <c r="B107" s="18" t="n">
        <v>135169</v>
      </c>
      <c r="C107" s="10">
        <f>TEXT($A107,"YYYY-MM")</f>
        <v/>
      </c>
    </row>
    <row r="108">
      <c r="A108" s="17" t="n">
        <v>45184</v>
      </c>
      <c r="B108" s="18" t="n">
        <v>127763</v>
      </c>
      <c r="C108" s="10">
        <f>TEXT($A108,"YYYY-MM")</f>
        <v/>
      </c>
    </row>
    <row r="109">
      <c r="A109" s="17" t="n">
        <v>45185</v>
      </c>
      <c r="B109" s="18" t="n">
        <v>165093</v>
      </c>
      <c r="C109" s="10">
        <f>TEXT($A109,"YYYY-MM")</f>
        <v/>
      </c>
    </row>
    <row r="110">
      <c r="A110" s="17" t="n">
        <v>45186</v>
      </c>
      <c r="B110" s="18" t="n">
        <v>155417</v>
      </c>
      <c r="C110" s="10">
        <f>TEXT($A110,"YYYY-MM")</f>
        <v/>
      </c>
    </row>
    <row r="111">
      <c r="A111" s="17" t="n">
        <v>45187</v>
      </c>
      <c r="B111" s="18" t="n">
        <v>117037</v>
      </c>
      <c r="C111" s="10">
        <f>TEXT($A111,"YYYY-MM")</f>
        <v/>
      </c>
    </row>
    <row r="112">
      <c r="A112" s="17" t="n">
        <v>45188</v>
      </c>
      <c r="B112" s="18" t="n">
        <v>112542</v>
      </c>
      <c r="C112" s="10">
        <f>TEXT($A112,"YYYY-MM")</f>
        <v/>
      </c>
    </row>
    <row r="113">
      <c r="A113" s="17" t="n">
        <v>45189</v>
      </c>
      <c r="B113" s="18" t="n">
        <v>103168</v>
      </c>
      <c r="C113" s="10">
        <f>TEXT($A113,"YYYY-MM")</f>
        <v/>
      </c>
    </row>
    <row r="114">
      <c r="A114" s="17" t="n">
        <v>45190</v>
      </c>
      <c r="B114" s="18" t="n">
        <v>129487</v>
      </c>
      <c r="C114" s="10">
        <f>TEXT($A114,"YYYY-MM")</f>
        <v/>
      </c>
    </row>
    <row r="115">
      <c r="A115" s="17" t="n">
        <v>45191</v>
      </c>
      <c r="B115" s="18" t="n">
        <v>138699</v>
      </c>
      <c r="C115" s="10">
        <f>TEXT($A115,"YYYY-MM")</f>
        <v/>
      </c>
    </row>
    <row r="116">
      <c r="A116" s="17" t="n">
        <v>45192</v>
      </c>
      <c r="B116" s="18" t="n">
        <v>130314</v>
      </c>
      <c r="C116" s="10">
        <f>TEXT($A116,"YYYY-MM")</f>
        <v/>
      </c>
    </row>
    <row r="117">
      <c r="A117" s="17" t="n">
        <v>45193</v>
      </c>
      <c r="B117" s="18" t="n">
        <v>143942</v>
      </c>
      <c r="C117" s="10">
        <f>TEXT($A117,"YYYY-MM")</f>
        <v/>
      </c>
    </row>
    <row r="118">
      <c r="A118" s="17" t="n">
        <v>45194</v>
      </c>
      <c r="B118" s="18" t="n">
        <v>106069</v>
      </c>
      <c r="C118" s="10">
        <f>TEXT($A118,"YYYY-MM")</f>
        <v/>
      </c>
    </row>
    <row r="119">
      <c r="A119" s="17" t="n">
        <v>45195</v>
      </c>
      <c r="B119" s="18" t="n">
        <v>129131</v>
      </c>
      <c r="C119" s="10">
        <f>TEXT($A119,"YYYY-MM")</f>
        <v/>
      </c>
    </row>
    <row r="120">
      <c r="A120" s="17" t="n">
        <v>45196</v>
      </c>
      <c r="B120" s="18" t="n">
        <v>121436</v>
      </c>
      <c r="C120" s="10">
        <f>TEXT($A120,"YYYY-MM")</f>
        <v/>
      </c>
    </row>
    <row r="121">
      <c r="A121" s="17" t="n">
        <v>45197</v>
      </c>
      <c r="B121" s="18" t="n">
        <v>129187</v>
      </c>
      <c r="C121" s="10">
        <f>TEXT($A121,"YYYY-MM")</f>
        <v/>
      </c>
    </row>
    <row r="122">
      <c r="A122" s="17" t="n">
        <v>45198</v>
      </c>
      <c r="B122" s="18" t="n">
        <v>127251</v>
      </c>
      <c r="C122" s="10">
        <f>TEXT($A122,"YYYY-MM")</f>
        <v/>
      </c>
    </row>
    <row r="123">
      <c r="A123" s="17" t="n">
        <v>45199</v>
      </c>
      <c r="B123" s="18" t="n">
        <v>150398</v>
      </c>
      <c r="C123" s="10">
        <f>TEXT($A123,"YYYY-MM")</f>
        <v/>
      </c>
    </row>
    <row r="124">
      <c r="A124" s="17" t="n">
        <v>45200</v>
      </c>
      <c r="B124" s="18" t="n">
        <v>131152</v>
      </c>
      <c r="C124" s="10">
        <f>TEXT($A124,"YYYY-MM")</f>
        <v/>
      </c>
    </row>
    <row r="125">
      <c r="A125" s="17" t="n">
        <v>45201</v>
      </c>
      <c r="B125" s="18" t="n">
        <v>104193</v>
      </c>
      <c r="C125" s="10">
        <f>TEXT($A125,"YYYY-MM")</f>
        <v/>
      </c>
    </row>
    <row r="126">
      <c r="A126" s="17" t="n">
        <v>45202</v>
      </c>
      <c r="B126" s="18" t="n">
        <v>114416</v>
      </c>
      <c r="C126" s="10">
        <f>TEXT($A126,"YYYY-MM")</f>
        <v/>
      </c>
    </row>
    <row r="127">
      <c r="A127" s="17" t="n">
        <v>45203</v>
      </c>
      <c r="B127" s="18" t="n">
        <v>112966</v>
      </c>
      <c r="C127" s="10">
        <f>TEXT($A127,"YYYY-MM")</f>
        <v/>
      </c>
    </row>
    <row r="128">
      <c r="A128" s="17" t="n">
        <v>45204</v>
      </c>
      <c r="B128" s="18" t="n">
        <v>128821</v>
      </c>
      <c r="C128" s="10">
        <f>TEXT($A128,"YYYY-MM")</f>
        <v/>
      </c>
    </row>
    <row r="129">
      <c r="A129" s="17" t="n">
        <v>45205</v>
      </c>
      <c r="B129" s="18" t="n">
        <v>138458</v>
      </c>
      <c r="C129" s="10">
        <f>TEXT($A129,"YYYY-MM")</f>
        <v/>
      </c>
    </row>
    <row r="130">
      <c r="A130" s="17" t="n">
        <v>45206</v>
      </c>
      <c r="B130" s="18" t="n">
        <v>136040</v>
      </c>
      <c r="C130" s="10">
        <f>TEXT($A130,"YYYY-MM")</f>
        <v/>
      </c>
    </row>
    <row r="131">
      <c r="A131" s="17" t="n">
        <v>45207</v>
      </c>
      <c r="B131" s="18" t="n">
        <v>148884</v>
      </c>
      <c r="C131" s="10">
        <f>TEXT($A131,"YYYY-MM")</f>
        <v/>
      </c>
    </row>
    <row r="132">
      <c r="A132" s="17" t="n">
        <v>45208</v>
      </c>
      <c r="B132" s="18" t="n">
        <v>106086</v>
      </c>
      <c r="C132" s="10">
        <f>TEXT($A132,"YYYY-MM")</f>
        <v/>
      </c>
    </row>
    <row r="133">
      <c r="A133" s="17" t="n">
        <v>45209</v>
      </c>
      <c r="B133" s="18" t="n">
        <v>104920</v>
      </c>
      <c r="C133" s="10">
        <f>TEXT($A133,"YYYY-MM")</f>
        <v/>
      </c>
    </row>
    <row r="134">
      <c r="A134" s="17" t="n">
        <v>45210</v>
      </c>
      <c r="B134" s="18" t="n">
        <v>111807</v>
      </c>
      <c r="C134" s="10">
        <f>TEXT($A134,"YYYY-MM")</f>
        <v/>
      </c>
    </row>
    <row r="135">
      <c r="A135" s="17" t="n">
        <v>45211</v>
      </c>
      <c r="B135" s="18" t="n">
        <v>114516</v>
      </c>
      <c r="C135" s="10">
        <f>TEXT($A135,"YYYY-MM")</f>
        <v/>
      </c>
    </row>
    <row r="136">
      <c r="A136" s="17" t="n">
        <v>45212</v>
      </c>
      <c r="B136" s="18" t="n">
        <v>121993</v>
      </c>
      <c r="C136" s="10">
        <f>TEXT($A136,"YYYY-MM")</f>
        <v/>
      </c>
    </row>
    <row r="137">
      <c r="A137" s="17" t="n">
        <v>45213</v>
      </c>
      <c r="B137" s="18" t="n">
        <v>157162</v>
      </c>
      <c r="C137" s="10">
        <f>TEXT($A137,"YYYY-MM")</f>
        <v/>
      </c>
    </row>
    <row r="138">
      <c r="A138" s="17" t="n">
        <v>45214</v>
      </c>
      <c r="B138" s="18" t="n">
        <v>148260</v>
      </c>
      <c r="C138" s="10">
        <f>TEXT($A138,"YYYY-MM")</f>
        <v/>
      </c>
    </row>
    <row r="139">
      <c r="A139" s="17" t="n">
        <v>45215</v>
      </c>
      <c r="B139" s="18" t="n">
        <v>119018</v>
      </c>
      <c r="C139" s="10">
        <f>TEXT($A139,"YYYY-MM")</f>
        <v/>
      </c>
    </row>
    <row r="140">
      <c r="A140" s="17" t="n">
        <v>45216</v>
      </c>
      <c r="B140" s="18" t="n">
        <v>107430</v>
      </c>
      <c r="C140" s="10">
        <f>TEXT($A140,"YYYY-MM")</f>
        <v/>
      </c>
    </row>
    <row r="141">
      <c r="A141" s="17" t="n">
        <v>45217</v>
      </c>
      <c r="B141" s="18" t="n">
        <v>110416</v>
      </c>
      <c r="C141" s="10">
        <f>TEXT($A141,"YYYY-MM")</f>
        <v/>
      </c>
    </row>
    <row r="142">
      <c r="A142" s="17" t="n">
        <v>45218</v>
      </c>
      <c r="B142" s="18" t="n">
        <v>101839</v>
      </c>
      <c r="C142" s="10">
        <f>TEXT($A142,"YYYY-MM")</f>
        <v/>
      </c>
    </row>
    <row r="143">
      <c r="A143" s="17" t="n">
        <v>45219</v>
      </c>
      <c r="B143" s="18" t="n">
        <v>116426</v>
      </c>
      <c r="C143" s="10">
        <f>TEXT($A143,"YYYY-MM")</f>
        <v/>
      </c>
    </row>
    <row r="144">
      <c r="A144" s="17" t="n">
        <v>45220</v>
      </c>
      <c r="B144" s="18" t="n">
        <v>132600</v>
      </c>
      <c r="C144" s="10">
        <f>TEXT($A144,"YYYY-MM")</f>
        <v/>
      </c>
    </row>
    <row r="145">
      <c r="A145" s="17" t="n">
        <v>45221</v>
      </c>
      <c r="B145" s="18" t="n">
        <v>133257</v>
      </c>
      <c r="C145" s="10">
        <f>TEXT($A145,"YYYY-MM")</f>
        <v/>
      </c>
    </row>
    <row r="146">
      <c r="A146" s="17" t="n">
        <v>45222</v>
      </c>
      <c r="B146" s="18" t="n">
        <v>98705</v>
      </c>
      <c r="C146" s="10">
        <f>TEXT($A146,"YYYY-MM")</f>
        <v/>
      </c>
    </row>
    <row r="147">
      <c r="A147" s="17" t="n">
        <v>45223</v>
      </c>
      <c r="B147" s="18" t="n">
        <v>98745</v>
      </c>
      <c r="C147" s="10">
        <f>TEXT($A147,"YYYY-MM")</f>
        <v/>
      </c>
    </row>
    <row r="148">
      <c r="A148" s="17" t="n">
        <v>45224</v>
      </c>
      <c r="B148" s="18" t="n">
        <v>118054</v>
      </c>
      <c r="C148" s="10">
        <f>TEXT($A148,"YYYY-MM")</f>
        <v/>
      </c>
    </row>
    <row r="149">
      <c r="A149" s="17" t="n">
        <v>45225</v>
      </c>
      <c r="B149" s="18" t="n">
        <v>123617</v>
      </c>
      <c r="C149" s="10">
        <f>TEXT($A149,"YYYY-MM")</f>
        <v/>
      </c>
    </row>
    <row r="150">
      <c r="A150" s="17" t="n">
        <v>45226</v>
      </c>
      <c r="B150" s="18" t="n">
        <v>108633</v>
      </c>
      <c r="C150" s="10">
        <f>TEXT($A150,"YYYY-MM")</f>
        <v/>
      </c>
    </row>
    <row r="151">
      <c r="A151" s="17" t="n">
        <v>45227</v>
      </c>
      <c r="B151" s="18" t="n">
        <v>123662</v>
      </c>
      <c r="C151" s="10">
        <f>TEXT($A151,"YYYY-MM")</f>
        <v/>
      </c>
    </row>
    <row r="152">
      <c r="A152" s="17" t="n">
        <v>45228</v>
      </c>
      <c r="B152" s="18" t="n">
        <v>116567</v>
      </c>
      <c r="C152" s="10">
        <f>TEXT($A152,"YYYY-MM")</f>
        <v/>
      </c>
    </row>
    <row r="153">
      <c r="A153" s="17" t="n">
        <v>45229</v>
      </c>
      <c r="B153" s="18" t="n">
        <v>112031</v>
      </c>
      <c r="C153" s="10">
        <f>TEXT($A153,"YYYY-MM")</f>
        <v/>
      </c>
    </row>
    <row r="154">
      <c r="A154" s="17" t="n">
        <v>45230</v>
      </c>
      <c r="B154" s="18" t="n">
        <v>94631</v>
      </c>
      <c r="C154" s="10">
        <f>TEXT($A154,"YYYY-MM")</f>
        <v/>
      </c>
    </row>
    <row r="155">
      <c r="A155" s="17" t="n">
        <v>45231</v>
      </c>
      <c r="B155" s="18" t="n">
        <v>144122</v>
      </c>
      <c r="C155" s="10">
        <f>TEXT($A155,"YYYY-MM")</f>
        <v/>
      </c>
    </row>
    <row r="156">
      <c r="A156" s="17" t="n">
        <v>45232</v>
      </c>
      <c r="B156" s="18" t="n">
        <v>145372</v>
      </c>
      <c r="C156" s="10">
        <f>TEXT($A156,"YYYY-MM")</f>
        <v/>
      </c>
    </row>
    <row r="157">
      <c r="A157" s="17" t="n">
        <v>45233</v>
      </c>
      <c r="B157" s="18" t="n">
        <v>161888</v>
      </c>
      <c r="C157" s="10">
        <f>TEXT($A157,"YYYY-MM")</f>
        <v/>
      </c>
    </row>
    <row r="158">
      <c r="A158" s="17" t="n">
        <v>45234</v>
      </c>
      <c r="B158" s="18" t="n">
        <v>168310</v>
      </c>
      <c r="C158" s="10">
        <f>TEXT($A158,"YYYY-MM")</f>
        <v/>
      </c>
    </row>
    <row r="159">
      <c r="A159" s="17" t="n">
        <v>45235</v>
      </c>
      <c r="B159" s="18" t="n">
        <v>168446</v>
      </c>
      <c r="C159" s="10">
        <f>TEXT($A159,"YYYY-MM")</f>
        <v/>
      </c>
    </row>
    <row r="160">
      <c r="A160" s="17" t="n">
        <v>45236</v>
      </c>
      <c r="B160" s="18" t="n">
        <v>138202</v>
      </c>
      <c r="C160" s="10">
        <f>TEXT($A160,"YYYY-MM")</f>
        <v/>
      </c>
    </row>
    <row r="161">
      <c r="A161" s="17" t="n">
        <v>45237</v>
      </c>
      <c r="B161" s="18" t="n">
        <v>120042</v>
      </c>
      <c r="C161" s="10">
        <f>TEXT($A161,"YYYY-MM")</f>
        <v/>
      </c>
    </row>
    <row r="162">
      <c r="A162" s="17" t="n">
        <v>45238</v>
      </c>
      <c r="B162" s="18" t="n">
        <v>114923</v>
      </c>
      <c r="C162" s="10">
        <f>TEXT($A162,"YYYY-MM")</f>
        <v/>
      </c>
    </row>
    <row r="163">
      <c r="A163" s="17" t="n">
        <v>45239</v>
      </c>
      <c r="B163" s="18" t="n">
        <v>126551</v>
      </c>
      <c r="C163" s="10">
        <f>TEXT($A163,"YYYY-MM")</f>
        <v/>
      </c>
    </row>
    <row r="164">
      <c r="A164" s="17" t="n">
        <v>45240</v>
      </c>
      <c r="B164" s="18" t="n">
        <v>150742</v>
      </c>
      <c r="C164" s="10">
        <f>TEXT($A164,"YYYY-MM")</f>
        <v/>
      </c>
    </row>
    <row r="165">
      <c r="A165" s="17" t="n">
        <v>45241</v>
      </c>
      <c r="B165" s="18" t="n">
        <v>155687</v>
      </c>
      <c r="C165" s="10">
        <f>TEXT($A165,"YYYY-MM")</f>
        <v/>
      </c>
    </row>
    <row r="166">
      <c r="A166" s="17" t="n">
        <v>45242</v>
      </c>
      <c r="B166" s="18" t="n">
        <v>162675</v>
      </c>
      <c r="C166" s="10">
        <f>TEXT($A166,"YYYY-MM")</f>
        <v/>
      </c>
    </row>
    <row r="167">
      <c r="A167" s="17" t="n">
        <v>45243</v>
      </c>
      <c r="B167" s="18" t="n">
        <v>135954</v>
      </c>
      <c r="C167" s="10">
        <f>TEXT($A167,"YYYY-MM")</f>
        <v/>
      </c>
    </row>
    <row r="168">
      <c r="A168" s="17" t="n">
        <v>45244</v>
      </c>
      <c r="B168" s="18" t="n">
        <v>110712</v>
      </c>
      <c r="C168" s="10">
        <f>TEXT($A168,"YYYY-MM")</f>
        <v/>
      </c>
    </row>
    <row r="169">
      <c r="A169" s="17" t="n">
        <v>45245</v>
      </c>
      <c r="B169" s="18" t="n">
        <v>134749</v>
      </c>
      <c r="C169" s="10">
        <f>TEXT($A169,"YYYY-MM")</f>
        <v/>
      </c>
    </row>
    <row r="170">
      <c r="A170" s="17" t="n">
        <v>45246</v>
      </c>
      <c r="B170" s="18" t="n">
        <v>118477</v>
      </c>
      <c r="C170" s="10">
        <f>TEXT($A170,"YYYY-MM")</f>
        <v/>
      </c>
    </row>
    <row r="171">
      <c r="A171" s="17" t="n">
        <v>45247</v>
      </c>
      <c r="B171" s="18" t="n">
        <v>145035</v>
      </c>
      <c r="C171" s="10">
        <f>TEXT($A171,"YYYY-MM")</f>
        <v/>
      </c>
    </row>
    <row r="172">
      <c r="A172" s="17" t="n">
        <v>45248</v>
      </c>
      <c r="B172" s="18" t="n">
        <v>156041</v>
      </c>
      <c r="C172" s="10">
        <f>TEXT($A172,"YYYY-MM")</f>
        <v/>
      </c>
    </row>
    <row r="173">
      <c r="A173" s="17" t="n">
        <v>45249</v>
      </c>
      <c r="B173" s="18" t="n">
        <v>143048</v>
      </c>
      <c r="C173" s="10">
        <f>TEXT($A173,"YYYY-MM")</f>
        <v/>
      </c>
    </row>
    <row r="174">
      <c r="A174" s="17" t="n">
        <v>45250</v>
      </c>
      <c r="B174" s="18" t="n">
        <v>137658</v>
      </c>
      <c r="C174" s="10">
        <f>TEXT($A174,"YYYY-MM")</f>
        <v/>
      </c>
    </row>
    <row r="175">
      <c r="A175" s="17" t="n">
        <v>45251</v>
      </c>
      <c r="B175" s="18" t="n">
        <v>131626</v>
      </c>
      <c r="C175" s="10">
        <f>TEXT($A175,"YYYY-MM")</f>
        <v/>
      </c>
    </row>
    <row r="176">
      <c r="A176" s="17" t="n">
        <v>45252</v>
      </c>
      <c r="B176" s="18" t="n">
        <v>133575</v>
      </c>
      <c r="C176" s="10">
        <f>TEXT($A176,"YYYY-MM")</f>
        <v/>
      </c>
    </row>
    <row r="177">
      <c r="A177" s="17" t="n">
        <v>45253</v>
      </c>
      <c r="B177" s="18" t="n">
        <v>116655</v>
      </c>
      <c r="C177" s="10">
        <f>TEXT($A177,"YYYY-MM")</f>
        <v/>
      </c>
    </row>
    <row r="178">
      <c r="A178" s="17" t="n">
        <v>45254</v>
      </c>
      <c r="B178" s="18" t="n">
        <v>124206</v>
      </c>
      <c r="C178" s="10">
        <f>TEXT($A178,"YYYY-MM")</f>
        <v/>
      </c>
    </row>
    <row r="179">
      <c r="A179" s="17" t="n">
        <v>45255</v>
      </c>
      <c r="B179" s="18" t="n">
        <v>165121</v>
      </c>
      <c r="C179" s="10">
        <f>TEXT($A179,"YYYY-MM")</f>
        <v/>
      </c>
    </row>
    <row r="180">
      <c r="A180" s="17" t="n">
        <v>45256</v>
      </c>
      <c r="B180" s="18" t="n">
        <v>144032</v>
      </c>
      <c r="C180" s="10">
        <f>TEXT($A180,"YYYY-MM")</f>
        <v/>
      </c>
    </row>
    <row r="181">
      <c r="A181" s="17" t="n">
        <v>45257</v>
      </c>
      <c r="B181" s="18" t="n">
        <v>123289</v>
      </c>
      <c r="C181" s="10">
        <f>TEXT($A181,"YYYY-MM")</f>
        <v/>
      </c>
    </row>
    <row r="182">
      <c r="A182" s="17" t="n">
        <v>45258</v>
      </c>
      <c r="B182" s="18" t="n">
        <v>109844</v>
      </c>
      <c r="C182" s="10">
        <f>TEXT($A182,"YYYY-MM")</f>
        <v/>
      </c>
    </row>
    <row r="183">
      <c r="A183" s="17" t="n">
        <v>45259</v>
      </c>
      <c r="B183" s="18" t="n">
        <v>111157</v>
      </c>
      <c r="C183" s="10">
        <f>TEXT($A183,"YYYY-MM")</f>
        <v/>
      </c>
    </row>
    <row r="184">
      <c r="A184" s="17" t="n">
        <v>45260</v>
      </c>
      <c r="B184" s="18" t="n">
        <v>128094</v>
      </c>
      <c r="C184" s="10">
        <f>TEXT($A184,"YYYY-MM")</f>
        <v/>
      </c>
    </row>
    <row r="185">
      <c r="A185" s="17" t="n">
        <v>45261</v>
      </c>
      <c r="B185" s="18" t="n">
        <v>217974</v>
      </c>
      <c r="C185" s="10">
        <f>TEXT($A185,"YYYY-MM")</f>
        <v/>
      </c>
    </row>
    <row r="186">
      <c r="A186" s="17" t="n">
        <v>45262</v>
      </c>
      <c r="B186" s="18" t="n">
        <v>223398</v>
      </c>
      <c r="C186" s="10">
        <f>TEXT($A186,"YYYY-MM")</f>
        <v/>
      </c>
    </row>
    <row r="187">
      <c r="A187" s="17" t="n">
        <v>45263</v>
      </c>
      <c r="B187" s="18" t="n">
        <v>191823</v>
      </c>
      <c r="C187" s="10">
        <f>TEXT($A187,"YYYY-MM")</f>
        <v/>
      </c>
    </row>
    <row r="188">
      <c r="A188" s="17" t="n">
        <v>45264</v>
      </c>
      <c r="B188" s="18" t="n">
        <v>146942</v>
      </c>
      <c r="C188" s="10">
        <f>TEXT($A188,"YYYY-MM")</f>
        <v/>
      </c>
    </row>
    <row r="189">
      <c r="A189" s="17" t="n">
        <v>45265</v>
      </c>
      <c r="B189" s="18" t="n">
        <v>166703</v>
      </c>
      <c r="C189" s="10">
        <f>TEXT($A189,"YYYY-MM")</f>
        <v/>
      </c>
    </row>
    <row r="190">
      <c r="A190" s="17" t="n">
        <v>45266</v>
      </c>
      <c r="B190" s="18" t="n">
        <v>160680</v>
      </c>
      <c r="C190" s="10">
        <f>TEXT($A190,"YYYY-MM")</f>
        <v/>
      </c>
    </row>
    <row r="191">
      <c r="A191" s="17" t="n">
        <v>45267</v>
      </c>
      <c r="B191" s="18" t="n">
        <v>162540</v>
      </c>
      <c r="C191" s="10">
        <f>TEXT($A191,"YYYY-MM")</f>
        <v/>
      </c>
    </row>
    <row r="192">
      <c r="A192" s="17" t="n">
        <v>45268</v>
      </c>
      <c r="B192" s="18" t="n">
        <v>198917</v>
      </c>
      <c r="C192" s="10">
        <f>TEXT($A192,"YYYY-MM")</f>
        <v/>
      </c>
    </row>
    <row r="193">
      <c r="A193" s="17" t="n">
        <v>45269</v>
      </c>
      <c r="B193" s="18" t="n">
        <v>212309</v>
      </c>
      <c r="C193" s="10">
        <f>TEXT($A193,"YYYY-MM")</f>
        <v/>
      </c>
    </row>
    <row r="194">
      <c r="A194" s="17" t="n">
        <v>45270</v>
      </c>
      <c r="B194" s="18" t="n">
        <v>225371</v>
      </c>
      <c r="C194" s="10">
        <f>TEXT($A194,"YYYY-MM")</f>
        <v/>
      </c>
    </row>
    <row r="195">
      <c r="A195" s="17" t="n">
        <v>45271</v>
      </c>
      <c r="B195" s="18" t="n">
        <v>175158</v>
      </c>
      <c r="C195" s="10">
        <f>TEXT($A195,"YYYY-MM")</f>
        <v/>
      </c>
    </row>
    <row r="196">
      <c r="A196" s="17" t="n">
        <v>45272</v>
      </c>
      <c r="B196" s="18" t="n">
        <v>158370</v>
      </c>
      <c r="C196" s="10">
        <f>TEXT($A196,"YYYY-MM")</f>
        <v/>
      </c>
    </row>
    <row r="197">
      <c r="A197" s="17" t="n">
        <v>45273</v>
      </c>
      <c r="B197" s="18" t="n">
        <v>189000</v>
      </c>
      <c r="C197" s="10">
        <f>TEXT($A197,"YYYY-MM")</f>
        <v/>
      </c>
    </row>
    <row r="198">
      <c r="A198" s="17" t="n">
        <v>45274</v>
      </c>
      <c r="B198" s="18" t="n">
        <v>157083</v>
      </c>
      <c r="C198" s="10">
        <f>TEXT($A198,"YYYY-MM")</f>
        <v/>
      </c>
    </row>
    <row r="199">
      <c r="A199" s="17" t="n">
        <v>45275</v>
      </c>
      <c r="B199" s="18" t="n">
        <v>194610</v>
      </c>
      <c r="C199" s="10">
        <f>TEXT($A199,"YYYY-MM")</f>
        <v/>
      </c>
    </row>
    <row r="200">
      <c r="A200" s="17" t="n">
        <v>45276</v>
      </c>
      <c r="B200" s="18" t="n">
        <v>238574</v>
      </c>
      <c r="C200" s="10">
        <f>TEXT($A200,"YYYY-MM")</f>
        <v/>
      </c>
    </row>
    <row r="201">
      <c r="A201" s="17" t="n">
        <v>45277</v>
      </c>
      <c r="B201" s="18" t="n">
        <v>222626</v>
      </c>
      <c r="C201" s="10">
        <f>TEXT($A201,"YYYY-MM")</f>
        <v/>
      </c>
    </row>
    <row r="202">
      <c r="A202" s="17" t="n">
        <v>45278</v>
      </c>
      <c r="B202" s="18" t="n">
        <v>149284</v>
      </c>
      <c r="C202" s="10">
        <f>TEXT($A202,"YYYY-MM")</f>
        <v/>
      </c>
    </row>
    <row r="203">
      <c r="A203" s="17" t="n">
        <v>45279</v>
      </c>
      <c r="B203" s="18" t="n">
        <v>162338</v>
      </c>
      <c r="C203" s="10">
        <f>TEXT($A203,"YYYY-MM")</f>
        <v/>
      </c>
    </row>
    <row r="204">
      <c r="A204" s="17" t="n">
        <v>45280</v>
      </c>
      <c r="B204" s="18" t="n">
        <v>143341</v>
      </c>
      <c r="C204" s="10">
        <f>TEXT($A204,"YYYY-MM")</f>
        <v/>
      </c>
    </row>
    <row r="205">
      <c r="A205" s="17" t="n">
        <v>45281</v>
      </c>
      <c r="B205" s="18" t="n">
        <v>164798</v>
      </c>
      <c r="C205" s="10">
        <f>TEXT($A205,"YYYY-MM")</f>
        <v/>
      </c>
    </row>
    <row r="206">
      <c r="A206" s="17" t="n">
        <v>45282</v>
      </c>
      <c r="B206" s="18" t="n">
        <v>172428</v>
      </c>
      <c r="C206" s="10">
        <f>TEXT($A206,"YYYY-MM")</f>
        <v/>
      </c>
    </row>
    <row r="207">
      <c r="A207" s="17" t="n">
        <v>45283</v>
      </c>
      <c r="B207" s="18" t="n">
        <v>230150</v>
      </c>
      <c r="C207" s="10">
        <f>TEXT($A207,"YYYY-MM")</f>
        <v/>
      </c>
    </row>
    <row r="208">
      <c r="A208" s="17" t="n">
        <v>45284</v>
      </c>
      <c r="B208" s="18" t="n">
        <v>224217</v>
      </c>
      <c r="C208" s="10">
        <f>TEXT($A208,"YYYY-MM")</f>
        <v/>
      </c>
    </row>
    <row r="209">
      <c r="A209" s="17" t="n">
        <v>45285</v>
      </c>
      <c r="B209" s="18" t="n">
        <v>156565</v>
      </c>
      <c r="C209" s="10">
        <f>TEXT($A209,"YYYY-MM")</f>
        <v/>
      </c>
    </row>
    <row r="210">
      <c r="A210" s="17" t="n">
        <v>45286</v>
      </c>
      <c r="B210" s="18" t="n">
        <v>143619</v>
      </c>
      <c r="C210" s="10">
        <f>TEXT($A210,"YYYY-MM")</f>
        <v/>
      </c>
    </row>
    <row r="211">
      <c r="A211" s="17" t="n">
        <v>45287</v>
      </c>
      <c r="B211" s="18" t="n">
        <v>144447</v>
      </c>
      <c r="C211" s="10">
        <f>TEXT($A211,"YYYY-MM")</f>
        <v/>
      </c>
    </row>
    <row r="212">
      <c r="A212" s="17" t="n">
        <v>45288</v>
      </c>
      <c r="B212" s="18" t="n">
        <v>170698</v>
      </c>
      <c r="C212" s="10">
        <f>TEXT($A212,"YYYY-MM")</f>
        <v/>
      </c>
    </row>
    <row r="213">
      <c r="A213" s="17" t="n">
        <v>45289</v>
      </c>
      <c r="B213" s="18" t="n">
        <v>168133</v>
      </c>
      <c r="C213" s="10">
        <f>TEXT($A213,"YYYY-MM")</f>
        <v/>
      </c>
    </row>
    <row r="214">
      <c r="A214" s="17" t="n">
        <v>45290</v>
      </c>
      <c r="B214" s="18" t="n">
        <v>235603</v>
      </c>
      <c r="C214" s="10">
        <f>TEXT($A214,"YYYY-MM")</f>
        <v/>
      </c>
    </row>
    <row r="215">
      <c r="A215" s="17" t="n">
        <v>45291</v>
      </c>
      <c r="B215" s="18" t="n">
        <v>203607</v>
      </c>
      <c r="C215" s="10">
        <f>TEXT($A215,"YYYY-MM")</f>
        <v/>
      </c>
    </row>
    <row r="216">
      <c r="A216" s="17" t="n">
        <v>45292</v>
      </c>
      <c r="B216" s="18" t="n">
        <v>118663</v>
      </c>
      <c r="C216" s="10">
        <f>TEXT($A216,"YYYY-MM")</f>
        <v/>
      </c>
    </row>
    <row r="217">
      <c r="A217" s="17" t="n">
        <v>45293</v>
      </c>
      <c r="B217" s="18" t="n">
        <v>112995</v>
      </c>
      <c r="C217" s="10">
        <f>TEXT($A217,"YYYY-MM")</f>
        <v/>
      </c>
    </row>
    <row r="218">
      <c r="A218" s="17" t="n">
        <v>45294</v>
      </c>
      <c r="B218" s="18" t="n">
        <v>119088</v>
      </c>
      <c r="C218" s="10">
        <f>TEXT($A218,"YYYY-MM")</f>
        <v/>
      </c>
    </row>
    <row r="219">
      <c r="A219" s="17" t="n">
        <v>45295</v>
      </c>
      <c r="B219" s="18" t="n">
        <v>114994</v>
      </c>
      <c r="C219" s="10">
        <f>TEXT($A219,"YYYY-MM")</f>
        <v/>
      </c>
    </row>
    <row r="220">
      <c r="A220" s="17" t="n">
        <v>45296</v>
      </c>
      <c r="B220" s="18" t="n">
        <v>146149</v>
      </c>
      <c r="C220" s="10">
        <f>TEXT($A220,"YYYY-MM")</f>
        <v/>
      </c>
    </row>
    <row r="221">
      <c r="A221" s="17" t="n">
        <v>45297</v>
      </c>
      <c r="B221" s="18" t="n">
        <v>134462</v>
      </c>
      <c r="C221" s="10">
        <f>TEXT($A221,"YYYY-MM")</f>
        <v/>
      </c>
    </row>
    <row r="222">
      <c r="A222" s="17" t="n">
        <v>45298</v>
      </c>
      <c r="B222" s="18" t="n">
        <v>147662</v>
      </c>
      <c r="C222" s="10">
        <f>TEXT($A222,"YYYY-MM")</f>
        <v/>
      </c>
    </row>
    <row r="223">
      <c r="A223" s="17" t="n">
        <v>45299</v>
      </c>
      <c r="B223" s="18" t="n">
        <v>120439</v>
      </c>
      <c r="C223" s="10">
        <f>TEXT($A223,"YYYY-MM")</f>
        <v/>
      </c>
    </row>
    <row r="224">
      <c r="A224" s="17" t="n">
        <v>45300</v>
      </c>
      <c r="B224" s="18" t="n">
        <v>110618</v>
      </c>
      <c r="C224" s="10">
        <f>TEXT($A224,"YYYY-MM")</f>
        <v/>
      </c>
    </row>
    <row r="225">
      <c r="A225" s="17" t="n">
        <v>45301</v>
      </c>
      <c r="B225" s="18" t="n">
        <v>111154</v>
      </c>
      <c r="C225" s="10">
        <f>TEXT($A225,"YYYY-MM")</f>
        <v/>
      </c>
    </row>
    <row r="226">
      <c r="A226" s="17" t="n">
        <v>45302</v>
      </c>
      <c r="B226" s="18" t="n">
        <v>115603</v>
      </c>
      <c r="C226" s="10">
        <f>TEXT($A226,"YYYY-MM")</f>
        <v/>
      </c>
    </row>
    <row r="227">
      <c r="A227" s="17" t="n">
        <v>45303</v>
      </c>
      <c r="B227" s="18" t="n">
        <v>118544</v>
      </c>
      <c r="C227" s="10">
        <f>TEXT($A227,"YYYY-MM")</f>
        <v/>
      </c>
    </row>
    <row r="228">
      <c r="A228" s="17" t="n">
        <v>45304</v>
      </c>
      <c r="B228" s="18" t="n">
        <v>140433</v>
      </c>
      <c r="C228" s="10">
        <f>TEXT($A228,"YYYY-MM")</f>
        <v/>
      </c>
    </row>
    <row r="229">
      <c r="A229" s="17" t="n">
        <v>45305</v>
      </c>
      <c r="B229" s="18" t="n">
        <v>151112</v>
      </c>
      <c r="C229" s="10">
        <f>TEXT($A229,"YYYY-MM")</f>
        <v/>
      </c>
    </row>
    <row r="230">
      <c r="A230" s="17" t="n">
        <v>45306</v>
      </c>
      <c r="B230" s="18" t="n">
        <v>116689</v>
      </c>
      <c r="C230" s="10">
        <f>TEXT($A230,"YYYY-MM")</f>
        <v/>
      </c>
    </row>
    <row r="231">
      <c r="A231" s="17" t="n">
        <v>45307</v>
      </c>
      <c r="B231" s="18" t="n">
        <v>108367</v>
      </c>
      <c r="C231" s="10">
        <f>TEXT($A231,"YYYY-MM")</f>
        <v/>
      </c>
    </row>
    <row r="232">
      <c r="A232" s="17" t="n">
        <v>45308</v>
      </c>
      <c r="B232" s="18" t="n">
        <v>115395</v>
      </c>
      <c r="C232" s="10">
        <f>TEXT($A232,"YYYY-MM")</f>
        <v/>
      </c>
    </row>
    <row r="233">
      <c r="A233" s="17" t="n">
        <v>45309</v>
      </c>
      <c r="B233" s="18" t="n">
        <v>110687</v>
      </c>
      <c r="C233" s="10">
        <f>TEXT($A233,"YYYY-MM")</f>
        <v/>
      </c>
    </row>
    <row r="234">
      <c r="A234" s="17" t="n">
        <v>45310</v>
      </c>
      <c r="B234" s="18" t="n">
        <v>152653</v>
      </c>
      <c r="C234" s="10">
        <f>TEXT($A234,"YYYY-MM")</f>
        <v/>
      </c>
    </row>
    <row r="235">
      <c r="A235" s="17" t="n">
        <v>45311</v>
      </c>
      <c r="B235" s="18" t="n">
        <v>152218</v>
      </c>
      <c r="C235" s="10">
        <f>TEXT($A235,"YYYY-MM")</f>
        <v/>
      </c>
    </row>
    <row r="236">
      <c r="A236" s="17" t="n">
        <v>45312</v>
      </c>
      <c r="B236" s="18" t="n">
        <v>149064</v>
      </c>
      <c r="C236" s="10">
        <f>TEXT($A236,"YYYY-MM")</f>
        <v/>
      </c>
    </row>
    <row r="237">
      <c r="A237" s="17" t="n">
        <v>45313</v>
      </c>
      <c r="B237" s="18" t="n">
        <v>118421</v>
      </c>
      <c r="C237" s="10">
        <f>TEXT($A237,"YYYY-MM")</f>
        <v/>
      </c>
    </row>
    <row r="238">
      <c r="A238" s="17" t="n">
        <v>45314</v>
      </c>
      <c r="B238" s="18" t="n">
        <v>122058</v>
      </c>
      <c r="C238" s="10">
        <f>TEXT($A238,"YYYY-MM")</f>
        <v/>
      </c>
    </row>
    <row r="239">
      <c r="A239" s="17" t="n">
        <v>45315</v>
      </c>
      <c r="B239" s="18" t="n">
        <v>105411</v>
      </c>
      <c r="C239" s="10">
        <f>TEXT($A239,"YYYY-MM")</f>
        <v/>
      </c>
    </row>
    <row r="240">
      <c r="A240" s="17" t="n">
        <v>45316</v>
      </c>
      <c r="B240" s="18" t="n">
        <v>132084</v>
      </c>
      <c r="C240" s="10">
        <f>TEXT($A240,"YYYY-MM")</f>
        <v/>
      </c>
    </row>
    <row r="241">
      <c r="A241" s="17" t="n">
        <v>45317</v>
      </c>
      <c r="B241" s="18" t="n">
        <v>132726</v>
      </c>
      <c r="C241" s="10">
        <f>TEXT($A241,"YYYY-MM")</f>
        <v/>
      </c>
    </row>
    <row r="242">
      <c r="A242" s="17" t="n">
        <v>45318</v>
      </c>
      <c r="B242" s="18" t="n">
        <v>145534</v>
      </c>
      <c r="C242" s="10">
        <f>TEXT($A242,"YYYY-MM")</f>
        <v/>
      </c>
    </row>
    <row r="243">
      <c r="A243" s="17" t="n">
        <v>45319</v>
      </c>
      <c r="B243" s="18" t="n">
        <v>151486</v>
      </c>
      <c r="C243" s="10">
        <f>TEXT($A243,"YYYY-MM")</f>
        <v/>
      </c>
    </row>
    <row r="244">
      <c r="A244" s="17" t="n">
        <v>45320</v>
      </c>
      <c r="B244" s="18" t="n">
        <v>125319</v>
      </c>
      <c r="C244" s="10">
        <f>TEXT($A244,"YYYY-MM")</f>
        <v/>
      </c>
    </row>
    <row r="245">
      <c r="A245" s="17" t="n">
        <v>45321</v>
      </c>
      <c r="B245" s="18" t="n">
        <v>116531</v>
      </c>
      <c r="C245" s="10">
        <f>TEXT($A245,"YYYY-MM")</f>
        <v/>
      </c>
    </row>
    <row r="246">
      <c r="A246" s="17" t="n">
        <v>45322</v>
      </c>
      <c r="B246" s="18" t="n">
        <v>102945</v>
      </c>
      <c r="C246" s="10">
        <f>TEXT($A246,"YYYY-MM")</f>
        <v/>
      </c>
    </row>
    <row r="247">
      <c r="A247" s="17" t="n">
        <v>45323</v>
      </c>
      <c r="B247" s="18" t="n">
        <v>88794</v>
      </c>
      <c r="C247" s="10">
        <f>TEXT($A247,"YYYY-MM")</f>
        <v/>
      </c>
    </row>
    <row r="248">
      <c r="A248" s="17" t="n">
        <v>45324</v>
      </c>
      <c r="B248" s="18" t="n">
        <v>108908</v>
      </c>
      <c r="C248" s="10">
        <f>TEXT($A248,"YYYY-MM")</f>
        <v/>
      </c>
    </row>
    <row r="249">
      <c r="A249" s="17" t="n">
        <v>45325</v>
      </c>
      <c r="B249" s="18" t="n">
        <v>126076</v>
      </c>
      <c r="C249" s="10">
        <f>TEXT($A249,"YYYY-MM")</f>
        <v/>
      </c>
    </row>
    <row r="250">
      <c r="A250" s="17" t="n">
        <v>45326</v>
      </c>
      <c r="B250" s="18" t="n">
        <v>109243</v>
      </c>
      <c r="C250" s="10">
        <f>TEXT($A250,"YYYY-MM")</f>
        <v/>
      </c>
    </row>
    <row r="251">
      <c r="A251" s="17" t="n">
        <v>45327</v>
      </c>
      <c r="B251" s="18" t="n">
        <v>105524</v>
      </c>
      <c r="C251" s="10">
        <f>TEXT($A251,"YYYY-MM")</f>
        <v/>
      </c>
    </row>
    <row r="252">
      <c r="A252" s="17" t="n">
        <v>45328</v>
      </c>
      <c r="B252" s="18" t="n">
        <v>102984</v>
      </c>
      <c r="C252" s="10">
        <f>TEXT($A252,"YYYY-MM")</f>
        <v/>
      </c>
    </row>
    <row r="253">
      <c r="A253" s="17" t="n">
        <v>45329</v>
      </c>
      <c r="B253" s="18" t="n">
        <v>92363</v>
      </c>
      <c r="C253" s="10">
        <f>TEXT($A253,"YYYY-MM")</f>
        <v/>
      </c>
    </row>
    <row r="254">
      <c r="A254" s="17" t="n">
        <v>45330</v>
      </c>
      <c r="B254" s="18" t="n">
        <v>90147</v>
      </c>
      <c r="C254" s="10">
        <f>TEXT($A254,"YYYY-MM")</f>
        <v/>
      </c>
    </row>
    <row r="255">
      <c r="A255" s="17" t="n">
        <v>45331</v>
      </c>
      <c r="B255" s="18" t="n">
        <v>120077</v>
      </c>
      <c r="C255" s="10">
        <f>TEXT($A255,"YYYY-MM")</f>
        <v/>
      </c>
    </row>
    <row r="256">
      <c r="A256" s="17" t="n">
        <v>45332</v>
      </c>
      <c r="B256" s="18" t="n">
        <v>132190</v>
      </c>
      <c r="C256" s="10">
        <f>TEXT($A256,"YYYY-MM")</f>
        <v/>
      </c>
    </row>
    <row r="257">
      <c r="A257" s="17" t="n">
        <v>45333</v>
      </c>
      <c r="B257" s="18" t="n">
        <v>126195</v>
      </c>
      <c r="C257" s="10">
        <f>TEXT($A257,"YYYY-MM")</f>
        <v/>
      </c>
    </row>
    <row r="258">
      <c r="A258" s="17" t="n">
        <v>45334</v>
      </c>
      <c r="B258" s="18" t="n">
        <v>107579</v>
      </c>
      <c r="C258" s="10">
        <f>TEXT($A258,"YYYY-MM")</f>
        <v/>
      </c>
    </row>
    <row r="259">
      <c r="A259" s="17" t="n">
        <v>45335</v>
      </c>
      <c r="B259" s="18" t="n">
        <v>87810</v>
      </c>
      <c r="C259" s="10">
        <f>TEXT($A259,"YYYY-MM")</f>
        <v/>
      </c>
    </row>
    <row r="260">
      <c r="A260" s="17" t="n">
        <v>45336</v>
      </c>
      <c r="B260" s="18" t="n">
        <v>112118</v>
      </c>
      <c r="C260" s="10">
        <f>TEXT($A260,"YYYY-MM")</f>
        <v/>
      </c>
    </row>
    <row r="261">
      <c r="A261" s="17" t="n">
        <v>45337</v>
      </c>
      <c r="B261" s="18" t="n">
        <v>114925</v>
      </c>
      <c r="C261" s="10">
        <f>TEXT($A261,"YYYY-MM")</f>
        <v/>
      </c>
    </row>
    <row r="262">
      <c r="A262" s="17" t="n">
        <v>45338</v>
      </c>
      <c r="B262" s="18" t="n">
        <v>125909</v>
      </c>
      <c r="C262" s="10">
        <f>TEXT($A262,"YYYY-MM")</f>
        <v/>
      </c>
    </row>
    <row r="263">
      <c r="A263" s="17" t="n">
        <v>45339</v>
      </c>
      <c r="B263" s="18" t="n">
        <v>145348</v>
      </c>
      <c r="C263" s="10">
        <f>TEXT($A263,"YYYY-MM")</f>
        <v/>
      </c>
    </row>
    <row r="264">
      <c r="A264" s="17" t="n">
        <v>45340</v>
      </c>
      <c r="B264" s="18" t="n">
        <v>119752</v>
      </c>
      <c r="C264" s="10">
        <f>TEXT($A264,"YYYY-MM")</f>
        <v/>
      </c>
    </row>
    <row r="265">
      <c r="A265" s="17" t="n">
        <v>45341</v>
      </c>
      <c r="B265" s="18" t="n">
        <v>104922</v>
      </c>
      <c r="C265" s="10">
        <f>TEXT($A265,"YYYY-MM")</f>
        <v/>
      </c>
    </row>
    <row r="266">
      <c r="A266" s="17" t="n">
        <v>45342</v>
      </c>
      <c r="B266" s="18" t="n">
        <v>112891</v>
      </c>
      <c r="C266" s="10">
        <f>TEXT($A266,"YYYY-MM")</f>
        <v/>
      </c>
    </row>
    <row r="267">
      <c r="A267" s="17" t="n">
        <v>45343</v>
      </c>
      <c r="B267" s="18" t="n">
        <v>96691</v>
      </c>
      <c r="C267" s="10">
        <f>TEXT($A267,"YYYY-MM")</f>
        <v/>
      </c>
    </row>
    <row r="268">
      <c r="A268" s="17" t="n">
        <v>45344</v>
      </c>
      <c r="B268" s="18" t="n">
        <v>109117</v>
      </c>
      <c r="C268" s="10">
        <f>TEXT($A268,"YYYY-MM")</f>
        <v/>
      </c>
    </row>
    <row r="269">
      <c r="A269" s="17" t="n">
        <v>45345</v>
      </c>
      <c r="B269" s="18" t="n">
        <v>127003</v>
      </c>
      <c r="C269" s="10">
        <f>TEXT($A269,"YYYY-MM")</f>
        <v/>
      </c>
    </row>
    <row r="270">
      <c r="A270" s="17" t="n">
        <v>45346</v>
      </c>
      <c r="B270" s="18" t="n">
        <v>133708</v>
      </c>
      <c r="C270" s="10">
        <f>TEXT($A270,"YYYY-MM")</f>
        <v/>
      </c>
    </row>
    <row r="271">
      <c r="A271" s="17" t="n">
        <v>45347</v>
      </c>
      <c r="B271" s="18" t="n">
        <v>105271</v>
      </c>
      <c r="C271" s="10">
        <f>TEXT($A271,"YYYY-MM")</f>
        <v/>
      </c>
    </row>
    <row r="272">
      <c r="A272" s="17" t="n">
        <v>45348</v>
      </c>
      <c r="B272" s="18" t="n">
        <v>87903</v>
      </c>
      <c r="C272" s="10">
        <f>TEXT($A272,"YYYY-MM")</f>
        <v/>
      </c>
    </row>
    <row r="273">
      <c r="A273" s="17" t="n">
        <v>45349</v>
      </c>
      <c r="B273" s="18" t="n">
        <v>96924</v>
      </c>
      <c r="C273" s="10">
        <f>TEXT($A273,"YYYY-MM")</f>
        <v/>
      </c>
    </row>
    <row r="274">
      <c r="A274" s="17" t="n">
        <v>45350</v>
      </c>
      <c r="B274" s="18" t="n">
        <v>88108</v>
      </c>
      <c r="C274" s="10">
        <f>TEXT($A274,"YYYY-MM")</f>
        <v/>
      </c>
    </row>
    <row r="275">
      <c r="A275" s="17" t="n">
        <v>45351</v>
      </c>
      <c r="B275" s="18" t="n">
        <v>98136</v>
      </c>
      <c r="C275" s="10">
        <f>TEXT($A275,"YYYY-MM")</f>
        <v/>
      </c>
    </row>
    <row r="276">
      <c r="A276" s="17" t="n">
        <v>45352</v>
      </c>
      <c r="B276" s="18" t="n">
        <v>140400</v>
      </c>
      <c r="C276" s="10">
        <f>TEXT($A276,"YYYY-MM")</f>
        <v/>
      </c>
    </row>
    <row r="277">
      <c r="A277" s="17" t="n">
        <v>45353</v>
      </c>
      <c r="B277" s="18" t="n">
        <v>134268</v>
      </c>
      <c r="C277" s="10">
        <f>TEXT($A277,"YYYY-MM")</f>
        <v/>
      </c>
    </row>
    <row r="278">
      <c r="A278" s="17" t="n">
        <v>45354</v>
      </c>
      <c r="B278" s="18" t="n">
        <v>143537</v>
      </c>
      <c r="C278" s="10">
        <f>TEXT($A278,"YYYY-MM")</f>
        <v/>
      </c>
    </row>
    <row r="279">
      <c r="A279" s="17" t="n">
        <v>45355</v>
      </c>
      <c r="B279" s="18" t="n">
        <v>96122</v>
      </c>
      <c r="C279" s="10">
        <f>TEXT($A279,"YYYY-MM")</f>
        <v/>
      </c>
    </row>
    <row r="280">
      <c r="A280" s="17" t="n">
        <v>45356</v>
      </c>
      <c r="B280" s="18" t="n">
        <v>107169</v>
      </c>
      <c r="C280" s="10">
        <f>TEXT($A280,"YYYY-MM")</f>
        <v/>
      </c>
    </row>
    <row r="281">
      <c r="A281" s="17" t="n">
        <v>45357</v>
      </c>
      <c r="B281" s="18" t="n">
        <v>119370</v>
      </c>
      <c r="C281" s="10">
        <f>TEXT($A281,"YYYY-MM")</f>
        <v/>
      </c>
    </row>
    <row r="282">
      <c r="A282" s="17" t="n">
        <v>45358</v>
      </c>
      <c r="B282" s="18" t="n">
        <v>113144</v>
      </c>
      <c r="C282" s="10">
        <f>TEXT($A282,"YYYY-MM")</f>
        <v/>
      </c>
    </row>
    <row r="283">
      <c r="A283" s="17" t="n">
        <v>45359</v>
      </c>
      <c r="B283" s="18" t="n">
        <v>108608</v>
      </c>
      <c r="C283" s="10">
        <f>TEXT($A283,"YYYY-MM")</f>
        <v/>
      </c>
    </row>
    <row r="284">
      <c r="A284" s="17" t="n">
        <v>45360</v>
      </c>
      <c r="B284" s="18" t="n">
        <v>122961</v>
      </c>
      <c r="C284" s="10">
        <f>TEXT($A284,"YYYY-MM")</f>
        <v/>
      </c>
    </row>
    <row r="285">
      <c r="A285" s="17" t="n">
        <v>45361</v>
      </c>
      <c r="B285" s="18" t="n">
        <v>120751</v>
      </c>
      <c r="C285" s="10">
        <f>TEXT($A285,"YYYY-MM")</f>
        <v/>
      </c>
    </row>
    <row r="286">
      <c r="A286" s="17" t="n">
        <v>45362</v>
      </c>
      <c r="B286" s="18" t="n">
        <v>122410</v>
      </c>
      <c r="C286" s="10">
        <f>TEXT($A286,"YYYY-MM")</f>
        <v/>
      </c>
    </row>
    <row r="287">
      <c r="A287" s="17" t="n">
        <v>45363</v>
      </c>
      <c r="B287" s="18" t="n">
        <v>117504</v>
      </c>
      <c r="C287" s="10">
        <f>TEXT($A287,"YYYY-MM")</f>
        <v/>
      </c>
    </row>
    <row r="288">
      <c r="A288" s="17" t="n">
        <v>45364</v>
      </c>
      <c r="B288" s="18" t="n">
        <v>127969</v>
      </c>
      <c r="C288" s="10">
        <f>TEXT($A288,"YYYY-MM")</f>
        <v/>
      </c>
    </row>
    <row r="289">
      <c r="A289" s="17" t="n">
        <v>45365</v>
      </c>
      <c r="B289" s="18" t="n">
        <v>104246</v>
      </c>
      <c r="C289" s="10">
        <f>TEXT($A289,"YYYY-MM")</f>
        <v/>
      </c>
    </row>
    <row r="290">
      <c r="A290" s="17" t="n">
        <v>45366</v>
      </c>
      <c r="B290" s="18" t="n">
        <v>134779</v>
      </c>
      <c r="C290" s="10">
        <f>TEXT($A290,"YYYY-MM")</f>
        <v/>
      </c>
    </row>
    <row r="291">
      <c r="A291" s="17" t="n">
        <v>45367</v>
      </c>
      <c r="B291" s="18" t="n">
        <v>143838</v>
      </c>
      <c r="C291" s="10">
        <f>TEXT($A291,"YYYY-MM")</f>
        <v/>
      </c>
    </row>
    <row r="292">
      <c r="A292" s="17" t="n">
        <v>45368</v>
      </c>
      <c r="B292" s="18" t="n">
        <v>113300</v>
      </c>
      <c r="C292" s="10">
        <f>TEXT($A292,"YYYY-MM")</f>
        <v/>
      </c>
    </row>
    <row r="293">
      <c r="A293" s="17" t="n">
        <v>45369</v>
      </c>
      <c r="B293" s="18" t="n">
        <v>102254</v>
      </c>
      <c r="C293" s="10">
        <f>TEXT($A293,"YYYY-MM")</f>
        <v/>
      </c>
    </row>
    <row r="294">
      <c r="A294" s="17" t="n">
        <v>45370</v>
      </c>
      <c r="B294" s="18" t="n">
        <v>123499</v>
      </c>
      <c r="C294" s="10">
        <f>TEXT($A294,"YYYY-MM")</f>
        <v/>
      </c>
    </row>
    <row r="295">
      <c r="A295" s="17" t="n">
        <v>45371</v>
      </c>
      <c r="B295" s="18" t="n">
        <v>128239</v>
      </c>
      <c r="C295" s="10">
        <f>TEXT($A295,"YYYY-MM")</f>
        <v/>
      </c>
    </row>
    <row r="296">
      <c r="A296" s="17" t="n">
        <v>45372</v>
      </c>
      <c r="B296" s="18" t="n">
        <v>123072</v>
      </c>
      <c r="C296" s="10">
        <f>TEXT($A296,"YYYY-MM")</f>
        <v/>
      </c>
    </row>
    <row r="297">
      <c r="A297" s="17" t="n">
        <v>45373</v>
      </c>
      <c r="B297" s="18" t="n">
        <v>132363</v>
      </c>
      <c r="C297" s="10">
        <f>TEXT($A297,"YYYY-MM")</f>
        <v/>
      </c>
    </row>
    <row r="298">
      <c r="A298" s="17" t="n">
        <v>45374</v>
      </c>
      <c r="B298" s="18" t="n">
        <v>135521</v>
      </c>
      <c r="C298" s="10">
        <f>TEXT($A298,"YYYY-MM")</f>
        <v/>
      </c>
    </row>
    <row r="299">
      <c r="A299" s="17" t="n">
        <v>45375</v>
      </c>
      <c r="B299" s="18" t="n">
        <v>132023</v>
      </c>
      <c r="C299" s="10">
        <f>TEXT($A299,"YYYY-MM")</f>
        <v/>
      </c>
    </row>
    <row r="300">
      <c r="A300" s="17" t="n">
        <v>45376</v>
      </c>
      <c r="B300" s="18" t="n">
        <v>114409</v>
      </c>
      <c r="C300" s="10">
        <f>TEXT($A300,"YYYY-MM")</f>
        <v/>
      </c>
    </row>
    <row r="301">
      <c r="A301" s="17" t="n">
        <v>45377</v>
      </c>
      <c r="B301" s="18" t="n">
        <v>93744</v>
      </c>
      <c r="C301" s="10">
        <f>TEXT($A301,"YYYY-MM")</f>
        <v/>
      </c>
    </row>
    <row r="302">
      <c r="A302" s="17" t="n">
        <v>45378</v>
      </c>
      <c r="B302" s="18" t="n">
        <v>118553</v>
      </c>
      <c r="C302" s="10">
        <f>TEXT($A302,"YYYY-MM")</f>
        <v/>
      </c>
    </row>
    <row r="303">
      <c r="A303" s="17" t="n">
        <v>45379</v>
      </c>
      <c r="B303" s="18" t="n">
        <v>97467</v>
      </c>
      <c r="C303" s="10">
        <f>TEXT($A303,"YYYY-MM")</f>
        <v/>
      </c>
    </row>
    <row r="304">
      <c r="A304" s="17" t="n">
        <v>45380</v>
      </c>
      <c r="B304" s="18" t="n">
        <v>127602</v>
      </c>
      <c r="C304" s="10">
        <f>TEXT($A304,"YYYY-MM")</f>
        <v/>
      </c>
    </row>
    <row r="305">
      <c r="A305" s="17" t="n">
        <v>45381</v>
      </c>
      <c r="B305" s="18" t="n">
        <v>158325</v>
      </c>
      <c r="C305" s="10">
        <f>TEXT($A305,"YYYY-MM")</f>
        <v/>
      </c>
    </row>
    <row r="306">
      <c r="A306" s="17" t="n">
        <v>45382</v>
      </c>
      <c r="B306" s="18" t="n">
        <v>119013</v>
      </c>
      <c r="C306" s="10">
        <f>TEXT($A306,"YYYY-MM")</f>
        <v/>
      </c>
    </row>
    <row r="307">
      <c r="A307" s="17" t="n">
        <v>45383</v>
      </c>
      <c r="B307" s="18" t="n">
        <v>136732</v>
      </c>
      <c r="C307" s="10">
        <f>TEXT($A307,"YYYY-MM")</f>
        <v/>
      </c>
    </row>
    <row r="308">
      <c r="A308" s="17" t="n">
        <v>45384</v>
      </c>
      <c r="B308" s="18" t="n">
        <v>146142</v>
      </c>
      <c r="C308" s="10">
        <f>TEXT($A308,"YYYY-MM")</f>
        <v/>
      </c>
    </row>
    <row r="309">
      <c r="A309" s="17" t="n">
        <v>45385</v>
      </c>
      <c r="B309" s="18" t="n">
        <v>140560</v>
      </c>
      <c r="C309" s="10">
        <f>TEXT($A309,"YYYY-MM")</f>
        <v/>
      </c>
    </row>
    <row r="310">
      <c r="A310" s="17" t="n">
        <v>45386</v>
      </c>
      <c r="B310" s="18" t="n">
        <v>148409</v>
      </c>
      <c r="C310" s="10">
        <f>TEXT($A310,"YYYY-MM")</f>
        <v/>
      </c>
    </row>
    <row r="311">
      <c r="A311" s="17" t="n">
        <v>45387</v>
      </c>
      <c r="B311" s="18" t="n">
        <v>160683</v>
      </c>
      <c r="C311" s="10">
        <f>TEXT($A311,"YYYY-MM")</f>
        <v/>
      </c>
    </row>
    <row r="312">
      <c r="A312" s="17" t="n">
        <v>45388</v>
      </c>
      <c r="B312" s="18" t="n">
        <v>182293</v>
      </c>
      <c r="C312" s="10">
        <f>TEXT($A312,"YYYY-MM")</f>
        <v/>
      </c>
    </row>
    <row r="313">
      <c r="A313" s="17" t="n">
        <v>45389</v>
      </c>
      <c r="B313" s="18" t="n">
        <v>160166</v>
      </c>
      <c r="C313" s="10">
        <f>TEXT($A313,"YYYY-MM")</f>
        <v/>
      </c>
    </row>
    <row r="314">
      <c r="A314" s="17" t="n">
        <v>45390</v>
      </c>
      <c r="B314" s="18" t="n">
        <v>119560</v>
      </c>
      <c r="C314" s="10">
        <f>TEXT($A314,"YYYY-MM")</f>
        <v/>
      </c>
    </row>
    <row r="315">
      <c r="A315" s="17" t="n">
        <v>45391</v>
      </c>
      <c r="B315" s="18" t="n">
        <v>119216</v>
      </c>
      <c r="C315" s="10">
        <f>TEXT($A315,"YYYY-MM")</f>
        <v/>
      </c>
    </row>
    <row r="316">
      <c r="A316" s="17" t="n">
        <v>45392</v>
      </c>
      <c r="B316" s="18" t="n">
        <v>135781</v>
      </c>
      <c r="C316" s="10">
        <f>TEXT($A316,"YYYY-MM")</f>
        <v/>
      </c>
    </row>
    <row r="317">
      <c r="A317" s="17" t="n">
        <v>45393</v>
      </c>
      <c r="B317" s="18" t="n">
        <v>123655</v>
      </c>
      <c r="C317" s="10">
        <f>TEXT($A317,"YYYY-MM")</f>
        <v/>
      </c>
    </row>
    <row r="318">
      <c r="A318" s="17" t="n">
        <v>45394</v>
      </c>
      <c r="B318" s="18" t="n">
        <v>141927</v>
      </c>
      <c r="C318" s="10">
        <f>TEXT($A318,"YYYY-MM")</f>
        <v/>
      </c>
    </row>
    <row r="319">
      <c r="A319" s="17" t="n">
        <v>45395</v>
      </c>
      <c r="B319" s="18" t="n">
        <v>179450</v>
      </c>
      <c r="C319" s="10">
        <f>TEXT($A319,"YYYY-MM")</f>
        <v/>
      </c>
    </row>
    <row r="320">
      <c r="A320" s="17" t="n">
        <v>45396</v>
      </c>
      <c r="B320" s="18" t="n">
        <v>158426</v>
      </c>
      <c r="C320" s="10">
        <f>TEXT($A320,"YYYY-MM")</f>
        <v/>
      </c>
    </row>
    <row r="321">
      <c r="A321" s="17" t="n">
        <v>45397</v>
      </c>
      <c r="B321" s="18" t="n">
        <v>148654</v>
      </c>
      <c r="C321" s="10">
        <f>TEXT($A321,"YYYY-MM")</f>
        <v/>
      </c>
    </row>
    <row r="322">
      <c r="A322" s="17" t="n">
        <v>45398</v>
      </c>
      <c r="B322" s="18" t="n">
        <v>152824</v>
      </c>
      <c r="C322" s="10">
        <f>TEXT($A322,"YYYY-MM")</f>
        <v/>
      </c>
    </row>
    <row r="323">
      <c r="A323" s="17" t="n">
        <v>45399</v>
      </c>
      <c r="B323" s="18" t="n">
        <v>136805</v>
      </c>
      <c r="C323" s="10">
        <f>TEXT($A323,"YYYY-MM")</f>
        <v/>
      </c>
    </row>
    <row r="324">
      <c r="A324" s="17" t="n">
        <v>45400</v>
      </c>
      <c r="B324" s="18" t="n">
        <v>130556</v>
      </c>
      <c r="C324" s="10">
        <f>TEXT($A324,"YYYY-MM")</f>
        <v/>
      </c>
    </row>
    <row r="325">
      <c r="A325" s="17" t="n">
        <v>45401</v>
      </c>
      <c r="B325" s="18" t="n">
        <v>174449</v>
      </c>
      <c r="C325" s="10">
        <f>TEXT($A325,"YYYY-MM")</f>
        <v/>
      </c>
    </row>
    <row r="326">
      <c r="A326" s="17" t="n">
        <v>45402</v>
      </c>
      <c r="B326" s="18" t="n">
        <v>186386</v>
      </c>
      <c r="C326" s="10">
        <f>TEXT($A326,"YYYY-MM")</f>
        <v/>
      </c>
    </row>
    <row r="327">
      <c r="A327" s="17" t="n">
        <v>45403</v>
      </c>
      <c r="B327" s="18" t="n">
        <v>187294</v>
      </c>
      <c r="C327" s="10">
        <f>TEXT($A327,"YYYY-MM")</f>
        <v/>
      </c>
    </row>
    <row r="328">
      <c r="A328" s="17" t="n">
        <v>45404</v>
      </c>
      <c r="B328" s="18" t="n">
        <v>126172</v>
      </c>
      <c r="C328" s="10">
        <f>TEXT($A328,"YYYY-MM")</f>
        <v/>
      </c>
    </row>
    <row r="329">
      <c r="A329" s="17" t="n">
        <v>45405</v>
      </c>
      <c r="B329" s="18" t="n">
        <v>123906</v>
      </c>
      <c r="C329" s="10">
        <f>TEXT($A329,"YYYY-MM")</f>
        <v/>
      </c>
    </row>
    <row r="330">
      <c r="A330" s="17" t="n">
        <v>45406</v>
      </c>
      <c r="B330" s="18" t="n">
        <v>148920</v>
      </c>
      <c r="C330" s="10">
        <f>TEXT($A330,"YYYY-MM")</f>
        <v/>
      </c>
    </row>
    <row r="331">
      <c r="A331" s="17" t="n">
        <v>45407</v>
      </c>
      <c r="B331" s="18" t="n">
        <v>154199</v>
      </c>
      <c r="C331" s="10">
        <f>TEXT($A331,"YYYY-MM")</f>
        <v/>
      </c>
    </row>
    <row r="332">
      <c r="A332" s="17" t="n">
        <v>45408</v>
      </c>
      <c r="B332" s="18" t="n">
        <v>146256</v>
      </c>
      <c r="C332" s="10">
        <f>TEXT($A332,"YYYY-MM")</f>
        <v/>
      </c>
    </row>
    <row r="333">
      <c r="A333" s="17" t="n">
        <v>45409</v>
      </c>
      <c r="B333" s="18" t="n">
        <v>189243</v>
      </c>
      <c r="C333" s="10">
        <f>TEXT($A333,"YYYY-MM")</f>
        <v/>
      </c>
    </row>
    <row r="334">
      <c r="A334" s="17" t="n">
        <v>45410</v>
      </c>
      <c r="B334" s="18" t="n">
        <v>145274</v>
      </c>
      <c r="C334" s="10">
        <f>TEXT($A334,"YYYY-MM")</f>
        <v/>
      </c>
    </row>
    <row r="335">
      <c r="A335" s="17" t="n">
        <v>45411</v>
      </c>
      <c r="B335" s="18" t="n">
        <v>117214</v>
      </c>
      <c r="C335" s="10">
        <f>TEXT($A335,"YYYY-MM")</f>
        <v/>
      </c>
    </row>
    <row r="336">
      <c r="A336" s="17" t="n">
        <v>45412</v>
      </c>
      <c r="B336" s="18" t="n">
        <v>154423</v>
      </c>
      <c r="C336" s="10">
        <f>TEXT($A336,"YYYY-MM")</f>
        <v/>
      </c>
    </row>
    <row r="337">
      <c r="A337" s="17" t="n">
        <v>45413</v>
      </c>
      <c r="B337" s="18" t="n">
        <v>152728</v>
      </c>
      <c r="C337" s="10">
        <f>TEXT($A337,"YYYY-MM")</f>
        <v/>
      </c>
    </row>
    <row r="338">
      <c r="A338" s="17" t="n">
        <v>45414</v>
      </c>
      <c r="B338" s="18" t="n">
        <v>193305</v>
      </c>
      <c r="C338" s="10">
        <f>TEXT($A338,"YYYY-MM")</f>
        <v/>
      </c>
    </row>
    <row r="339">
      <c r="A339" s="17" t="n">
        <v>45415</v>
      </c>
      <c r="B339" s="18" t="n">
        <v>193816</v>
      </c>
      <c r="C339" s="10">
        <f>TEXT($A339,"YYYY-MM")</f>
        <v/>
      </c>
    </row>
    <row r="340">
      <c r="A340" s="17" t="n">
        <v>45416</v>
      </c>
      <c r="B340" s="18" t="n">
        <v>208387</v>
      </c>
      <c r="C340" s="10">
        <f>TEXT($A340,"YYYY-MM")</f>
        <v/>
      </c>
    </row>
    <row r="341">
      <c r="A341" s="17" t="n">
        <v>45417</v>
      </c>
      <c r="B341" s="18" t="n">
        <v>198911</v>
      </c>
      <c r="C341" s="10">
        <f>TEXT($A341,"YYYY-MM")</f>
        <v/>
      </c>
    </row>
    <row r="342">
      <c r="A342" s="17" t="n">
        <v>45418</v>
      </c>
      <c r="B342" s="18" t="n">
        <v>158027</v>
      </c>
      <c r="C342" s="10">
        <f>TEXT($A342,"YYYY-MM")</f>
        <v/>
      </c>
    </row>
    <row r="343">
      <c r="A343" s="17" t="n">
        <v>45419</v>
      </c>
      <c r="B343" s="18" t="n">
        <v>139796</v>
      </c>
      <c r="C343" s="10">
        <f>TEXT($A343,"YYYY-MM")</f>
        <v/>
      </c>
    </row>
    <row r="344">
      <c r="A344" s="17" t="n">
        <v>45420</v>
      </c>
      <c r="B344" s="18" t="n">
        <v>153024</v>
      </c>
      <c r="C344" s="10">
        <f>TEXT($A344,"YYYY-MM")</f>
        <v/>
      </c>
    </row>
    <row r="345">
      <c r="A345" s="17" t="n">
        <v>45421</v>
      </c>
      <c r="B345" s="18" t="n">
        <v>164327</v>
      </c>
      <c r="C345" s="10">
        <f>TEXT($A345,"YYYY-MM")</f>
        <v/>
      </c>
    </row>
    <row r="346">
      <c r="A346" s="17" t="n">
        <v>45422</v>
      </c>
      <c r="B346" s="18" t="n">
        <v>189958</v>
      </c>
      <c r="C346" s="10">
        <f>TEXT($A346,"YYYY-MM")</f>
        <v/>
      </c>
    </row>
    <row r="347">
      <c r="A347" s="17" t="n">
        <v>45423</v>
      </c>
      <c r="B347" s="18" t="n">
        <v>191154</v>
      </c>
      <c r="C347" s="10">
        <f>TEXT($A347,"YYYY-MM")</f>
        <v/>
      </c>
    </row>
    <row r="348">
      <c r="A348" s="17" t="n">
        <v>45424</v>
      </c>
      <c r="B348" s="18" t="n">
        <v>166986</v>
      </c>
      <c r="C348" s="10">
        <f>TEXT($A348,"YYYY-MM")</f>
        <v/>
      </c>
    </row>
    <row r="349">
      <c r="A349" s="17" t="n">
        <v>45425</v>
      </c>
      <c r="B349" s="18" t="n">
        <v>148983</v>
      </c>
      <c r="C349" s="10">
        <f>TEXT($A349,"YYYY-MM")</f>
        <v/>
      </c>
    </row>
    <row r="350">
      <c r="A350" s="17" t="n">
        <v>45426</v>
      </c>
      <c r="B350" s="18" t="n">
        <v>158381</v>
      </c>
      <c r="C350" s="10">
        <f>TEXT($A350,"YYYY-MM")</f>
        <v/>
      </c>
    </row>
    <row r="351">
      <c r="A351" s="17" t="n">
        <v>45427</v>
      </c>
      <c r="B351" s="18" t="n">
        <v>185592</v>
      </c>
      <c r="C351" s="10">
        <f>TEXT($A351,"YYYY-MM")</f>
        <v/>
      </c>
    </row>
    <row r="352">
      <c r="A352" s="17" t="n">
        <v>45428</v>
      </c>
      <c r="B352" s="18" t="n">
        <v>158496</v>
      </c>
      <c r="C352" s="10">
        <f>TEXT($A352,"YYYY-MM")</f>
        <v/>
      </c>
    </row>
    <row r="353">
      <c r="A353" s="17" t="n">
        <v>45429</v>
      </c>
      <c r="B353" s="18" t="n">
        <v>205829</v>
      </c>
      <c r="C353" s="10">
        <f>TEXT($A353,"YYYY-MM")</f>
        <v/>
      </c>
    </row>
    <row r="354">
      <c r="A354" s="17" t="n">
        <v>45430</v>
      </c>
      <c r="B354" s="18" t="n">
        <v>223976</v>
      </c>
      <c r="C354" s="10">
        <f>TEXT($A354,"YYYY-MM")</f>
        <v/>
      </c>
    </row>
    <row r="355">
      <c r="A355" s="17" t="n">
        <v>45431</v>
      </c>
      <c r="B355" s="18" t="n">
        <v>211901</v>
      </c>
      <c r="C355" s="10">
        <f>TEXT($A355,"YYYY-MM")</f>
        <v/>
      </c>
    </row>
    <row r="356">
      <c r="A356" s="17" t="n">
        <v>45432</v>
      </c>
      <c r="B356" s="18" t="n">
        <v>167579</v>
      </c>
      <c r="C356" s="10">
        <f>TEXT($A356,"YYYY-MM")</f>
        <v/>
      </c>
    </row>
    <row r="357">
      <c r="A357" s="17" t="n">
        <v>45433</v>
      </c>
      <c r="B357" s="18" t="n">
        <v>159737</v>
      </c>
      <c r="C357" s="10">
        <f>TEXT($A357,"YYYY-MM")</f>
        <v/>
      </c>
    </row>
    <row r="358">
      <c r="A358" s="17" t="n">
        <v>45434</v>
      </c>
      <c r="B358" s="18" t="n">
        <v>160693</v>
      </c>
      <c r="C358" s="10">
        <f>TEXT($A358,"YYYY-MM")</f>
        <v/>
      </c>
    </row>
    <row r="359">
      <c r="A359" s="17" t="n">
        <v>45435</v>
      </c>
      <c r="B359" s="18" t="n">
        <v>168414</v>
      </c>
      <c r="C359" s="10">
        <f>TEXT($A359,"YYYY-MM")</f>
        <v/>
      </c>
    </row>
    <row r="360">
      <c r="A360" s="17" t="n">
        <v>45436</v>
      </c>
      <c r="B360" s="18" t="n">
        <v>186474</v>
      </c>
      <c r="C360" s="10">
        <f>TEXT($A360,"YYYY-MM")</f>
        <v/>
      </c>
    </row>
    <row r="361">
      <c r="A361" s="17" t="n">
        <v>45437</v>
      </c>
      <c r="B361" s="18" t="n">
        <v>206267</v>
      </c>
      <c r="C361" s="10">
        <f>TEXT($A361,"YYYY-MM")</f>
        <v/>
      </c>
    </row>
    <row r="362">
      <c r="A362" s="17" t="n">
        <v>45438</v>
      </c>
      <c r="B362" s="18" t="n">
        <v>205222</v>
      </c>
      <c r="C362" s="10">
        <f>TEXT($A362,"YYYY-MM")</f>
        <v/>
      </c>
    </row>
    <row r="363">
      <c r="A363" s="17" t="n">
        <v>45439</v>
      </c>
      <c r="B363" s="18" t="n">
        <v>150101</v>
      </c>
      <c r="C363" s="10">
        <f>TEXT($A363,"YYYY-MM")</f>
        <v/>
      </c>
    </row>
    <row r="364">
      <c r="A364" s="17" t="n">
        <v>45440</v>
      </c>
      <c r="B364" s="18" t="n">
        <v>145697</v>
      </c>
      <c r="C364" s="10">
        <f>TEXT($A364,"YYYY-MM")</f>
        <v/>
      </c>
    </row>
    <row r="365">
      <c r="A365" s="17" t="n">
        <v>45441</v>
      </c>
      <c r="B365" s="18" t="n">
        <v>187595</v>
      </c>
      <c r="C365" s="10">
        <f>TEXT($A365,"YYYY-MM")</f>
        <v/>
      </c>
    </row>
    <row r="366">
      <c r="A366" s="17" t="n">
        <v>45442</v>
      </c>
      <c r="B366" s="18" t="n">
        <v>152125</v>
      </c>
      <c r="C366" s="10">
        <f>TEXT($A366,"YYYY-MM")</f>
        <v/>
      </c>
    </row>
    <row r="367">
      <c r="A367" s="17" t="n">
        <v>45443</v>
      </c>
      <c r="B367" s="18" t="n">
        <v>215120</v>
      </c>
      <c r="C367" s="10">
        <f>TEXT($A367,"YYYY-MM")</f>
        <v/>
      </c>
    </row>
    <row r="368">
      <c r="A368" s="17" t="n">
        <v>45444</v>
      </c>
      <c r="B368" s="18" t="n">
        <v>181388</v>
      </c>
      <c r="C368" s="10">
        <f>TEXT($A368,"YYYY-MM")</f>
        <v/>
      </c>
    </row>
    <row r="369">
      <c r="A369" s="17" t="n">
        <v>45445</v>
      </c>
      <c r="B369" s="18" t="n">
        <v>147269</v>
      </c>
      <c r="C369" s="10">
        <f>TEXT($A369,"YYYY-MM")</f>
        <v/>
      </c>
    </row>
    <row r="370">
      <c r="A370" s="17" t="n">
        <v>45446</v>
      </c>
      <c r="B370" s="18" t="n">
        <v>128507</v>
      </c>
      <c r="C370" s="10">
        <f>TEXT($A370,"YYYY-MM")</f>
        <v/>
      </c>
    </row>
    <row r="371">
      <c r="A371" s="17" t="n">
        <v>45447</v>
      </c>
      <c r="B371" s="18" t="n">
        <v>119978</v>
      </c>
      <c r="C371" s="10">
        <f>TEXT($A371,"YYYY-MM")</f>
        <v/>
      </c>
    </row>
    <row r="372">
      <c r="A372" s="17" t="n">
        <v>45448</v>
      </c>
      <c r="B372" s="18" t="n">
        <v>128460</v>
      </c>
      <c r="C372" s="10">
        <f>TEXT($A372,"YYYY-MM")</f>
        <v/>
      </c>
    </row>
    <row r="373">
      <c r="A373" s="17" t="n">
        <v>45449</v>
      </c>
      <c r="B373" s="18" t="n">
        <v>134743</v>
      </c>
      <c r="C373" s="10">
        <f>TEXT($A373,"YYYY-MM")</f>
        <v/>
      </c>
    </row>
    <row r="374">
      <c r="A374" s="17" t="n">
        <v>45450</v>
      </c>
      <c r="B374" s="18" t="n">
        <v>125551</v>
      </c>
      <c r="C374" s="10">
        <f>TEXT($A374,"YYYY-MM")</f>
        <v/>
      </c>
    </row>
    <row r="375">
      <c r="A375" s="17" t="n">
        <v>45451</v>
      </c>
      <c r="B375" s="18" t="n">
        <v>170225</v>
      </c>
      <c r="C375" s="10">
        <f>TEXT($A375,"YYYY-MM")</f>
        <v/>
      </c>
    </row>
    <row r="376">
      <c r="A376" s="17" t="n">
        <v>45452</v>
      </c>
      <c r="B376" s="18" t="n">
        <v>168253</v>
      </c>
      <c r="C376" s="10">
        <f>TEXT($A376,"YYYY-MM")</f>
        <v/>
      </c>
    </row>
    <row r="377">
      <c r="A377" s="17" t="n">
        <v>45453</v>
      </c>
      <c r="B377" s="18" t="n">
        <v>106572</v>
      </c>
      <c r="C377" s="10">
        <f>TEXT($A377,"YYYY-MM")</f>
        <v/>
      </c>
    </row>
    <row r="378">
      <c r="A378" s="17" t="n">
        <v>45454</v>
      </c>
      <c r="B378" s="18" t="n">
        <v>121770</v>
      </c>
      <c r="C378" s="10">
        <f>TEXT($A378,"YYYY-MM")</f>
        <v/>
      </c>
    </row>
    <row r="379">
      <c r="A379" s="17" t="n">
        <v>45455</v>
      </c>
      <c r="B379" s="18" t="n">
        <v>119699</v>
      </c>
      <c r="C379" s="10">
        <f>TEXT($A379,"YYYY-MM")</f>
        <v/>
      </c>
    </row>
    <row r="380">
      <c r="A380" s="17" t="n">
        <v>45456</v>
      </c>
      <c r="B380" s="18" t="n">
        <v>124019</v>
      </c>
      <c r="C380" s="10">
        <f>TEXT($A380,"YYYY-MM")</f>
        <v/>
      </c>
    </row>
    <row r="381">
      <c r="A381" s="17" t="n">
        <v>45457</v>
      </c>
      <c r="B381" s="18" t="n">
        <v>141817</v>
      </c>
      <c r="C381" s="10">
        <f>TEXT($A381,"YYYY-MM")</f>
        <v/>
      </c>
    </row>
    <row r="382">
      <c r="A382" s="17" t="n">
        <v>45458</v>
      </c>
      <c r="B382" s="18" t="n">
        <v>152756</v>
      </c>
      <c r="C382" s="10">
        <f>TEXT($A382,"YYYY-MM")</f>
        <v/>
      </c>
    </row>
    <row r="383">
      <c r="A383" s="17" t="n">
        <v>45459</v>
      </c>
      <c r="B383" s="18" t="n">
        <v>160165</v>
      </c>
      <c r="C383" s="10">
        <f>TEXT($A383,"YYYY-MM")</f>
        <v/>
      </c>
    </row>
    <row r="384">
      <c r="A384" s="17" t="n">
        <v>45460</v>
      </c>
      <c r="B384" s="18" t="n">
        <v>129916</v>
      </c>
      <c r="C384" s="10">
        <f>TEXT($A384,"YYYY-MM")</f>
        <v/>
      </c>
    </row>
    <row r="385">
      <c r="A385" s="17" t="n">
        <v>45461</v>
      </c>
      <c r="B385" s="18" t="n">
        <v>109684</v>
      </c>
      <c r="C385" s="10">
        <f>TEXT($A385,"YYYY-MM")</f>
        <v/>
      </c>
    </row>
    <row r="386">
      <c r="A386" s="17" t="n">
        <v>45462</v>
      </c>
      <c r="B386" s="18" t="n">
        <v>139374</v>
      </c>
      <c r="C386" s="10">
        <f>TEXT($A386,"YYYY-MM")</f>
        <v/>
      </c>
    </row>
    <row r="387">
      <c r="A387" s="17" t="n">
        <v>45463</v>
      </c>
      <c r="B387" s="18" t="n">
        <v>126713</v>
      </c>
      <c r="C387" s="10">
        <f>TEXT($A387,"YYYY-MM")</f>
        <v/>
      </c>
    </row>
    <row r="388">
      <c r="A388" s="17" t="n">
        <v>45464</v>
      </c>
      <c r="B388" s="18" t="n">
        <v>147687</v>
      </c>
      <c r="C388" s="10">
        <f>TEXT($A388,"YYYY-MM")</f>
        <v/>
      </c>
    </row>
    <row r="389">
      <c r="A389" s="17" t="n">
        <v>45465</v>
      </c>
      <c r="B389" s="18" t="n">
        <v>181887</v>
      </c>
      <c r="C389" s="10">
        <f>TEXT($A389,"YYYY-MM")</f>
        <v/>
      </c>
    </row>
    <row r="390">
      <c r="A390" s="17" t="n">
        <v>45466</v>
      </c>
      <c r="B390" s="18" t="n">
        <v>165063</v>
      </c>
      <c r="C390" s="10">
        <f>TEXT($A390,"YYYY-MM")</f>
        <v/>
      </c>
    </row>
    <row r="391">
      <c r="A391" s="17" t="n">
        <v>45467</v>
      </c>
      <c r="B391" s="18" t="n">
        <v>131000</v>
      </c>
      <c r="C391" s="10">
        <f>TEXT($A391,"YYYY-MM")</f>
        <v/>
      </c>
    </row>
    <row r="392">
      <c r="A392" s="17" t="n">
        <v>45468</v>
      </c>
      <c r="B392" s="18" t="n">
        <v>132435</v>
      </c>
      <c r="C392" s="10">
        <f>TEXT($A392,"YYYY-MM")</f>
        <v/>
      </c>
    </row>
    <row r="393">
      <c r="A393" s="17" t="n">
        <v>45469</v>
      </c>
      <c r="B393" s="18" t="n">
        <v>135876</v>
      </c>
      <c r="C393" s="10">
        <f>TEXT($A393,"YYYY-MM")</f>
        <v/>
      </c>
    </row>
    <row r="394">
      <c r="A394" s="17" t="n">
        <v>45470</v>
      </c>
      <c r="B394" s="18" t="n">
        <v>123456</v>
      </c>
      <c r="C394" s="10">
        <f>TEXT($A394,"YYYY-MM")</f>
        <v/>
      </c>
    </row>
    <row r="395">
      <c r="A395" s="17" t="n">
        <v>45471</v>
      </c>
      <c r="B395" s="18" t="n">
        <v>161875</v>
      </c>
      <c r="C395" s="10">
        <f>TEXT($A395,"YYYY-MM")</f>
        <v/>
      </c>
    </row>
    <row r="396">
      <c r="A396" s="17" t="n">
        <v>45472</v>
      </c>
      <c r="B396" s="18" t="n">
        <v>149609</v>
      </c>
      <c r="C396" s="10">
        <f>TEXT($A396,"YYYY-MM")</f>
        <v/>
      </c>
    </row>
    <row r="397">
      <c r="A397" s="17" t="n">
        <v>45473</v>
      </c>
      <c r="B397" s="18" t="n">
        <v>131929</v>
      </c>
      <c r="C397" s="10">
        <f>TEXT($A397,"YYYY-MM")</f>
        <v/>
      </c>
    </row>
    <row r="398">
      <c r="A398" s="17" t="n">
        <v>45474</v>
      </c>
      <c r="B398" s="18" t="n">
        <v>111683</v>
      </c>
      <c r="C398" s="10">
        <f>TEXT($A398,"YYYY-MM")</f>
        <v/>
      </c>
    </row>
    <row r="399">
      <c r="A399" s="17" t="n">
        <v>45475</v>
      </c>
      <c r="B399" s="18" t="n">
        <v>114946</v>
      </c>
      <c r="C399" s="10">
        <f>TEXT($A399,"YYYY-MM")</f>
        <v/>
      </c>
    </row>
    <row r="400">
      <c r="A400" s="17" t="n">
        <v>45476</v>
      </c>
      <c r="B400" s="18" t="n">
        <v>126239</v>
      </c>
      <c r="C400" s="10">
        <f>TEXT($A400,"YYYY-MM")</f>
        <v/>
      </c>
    </row>
    <row r="401">
      <c r="A401" s="17" t="n">
        <v>45477</v>
      </c>
      <c r="B401" s="18" t="n">
        <v>119897</v>
      </c>
      <c r="C401" s="10">
        <f>TEXT($A401,"YYYY-MM")</f>
        <v/>
      </c>
    </row>
    <row r="402">
      <c r="A402" s="17" t="n">
        <v>45478</v>
      </c>
      <c r="B402" s="18" t="n">
        <v>119430</v>
      </c>
      <c r="C402" s="10">
        <f>TEXT($A402,"YYYY-MM")</f>
        <v/>
      </c>
    </row>
    <row r="403">
      <c r="A403" s="17" t="n">
        <v>45479</v>
      </c>
      <c r="B403" s="18" t="n">
        <v>144362</v>
      </c>
      <c r="C403" s="10">
        <f>TEXT($A403,"YYYY-MM")</f>
        <v/>
      </c>
    </row>
    <row r="404">
      <c r="A404" s="17" t="n">
        <v>45480</v>
      </c>
      <c r="B404" s="18" t="n">
        <v>118918</v>
      </c>
      <c r="C404" s="10">
        <f>TEXT($A404,"YYYY-MM")</f>
        <v/>
      </c>
    </row>
    <row r="405">
      <c r="A405" s="17" t="n">
        <v>45481</v>
      </c>
      <c r="B405" s="18" t="n">
        <v>117189</v>
      </c>
      <c r="C405" s="10">
        <f>TEXT($A405,"YYYY-MM")</f>
        <v/>
      </c>
    </row>
    <row r="406">
      <c r="A406" s="17" t="n">
        <v>45482</v>
      </c>
      <c r="B406" s="18" t="n">
        <v>110460</v>
      </c>
      <c r="C406" s="10">
        <f>TEXT($A406,"YYYY-MM")</f>
        <v/>
      </c>
    </row>
    <row r="407">
      <c r="A407" s="17" t="n">
        <v>45483</v>
      </c>
      <c r="B407" s="18" t="n">
        <v>96161</v>
      </c>
      <c r="C407" s="10">
        <f>TEXT($A407,"YYYY-MM")</f>
        <v/>
      </c>
    </row>
    <row r="408">
      <c r="A408" s="17" t="n">
        <v>45484</v>
      </c>
      <c r="B408" s="18" t="n">
        <v>118426</v>
      </c>
      <c r="C408" s="10">
        <f>TEXT($A408,"YYYY-MM")</f>
        <v/>
      </c>
    </row>
    <row r="409">
      <c r="A409" s="17" t="n">
        <v>45485</v>
      </c>
      <c r="B409" s="18" t="n">
        <v>117907</v>
      </c>
      <c r="C409" s="10">
        <f>TEXT($A409,"YYYY-MM")</f>
        <v/>
      </c>
    </row>
    <row r="410">
      <c r="A410" s="17" t="n">
        <v>45486</v>
      </c>
      <c r="B410" s="18" t="n">
        <v>148764</v>
      </c>
      <c r="C410" s="10">
        <f>TEXT($A410,"YYYY-MM")</f>
        <v/>
      </c>
    </row>
    <row r="411">
      <c r="A411" s="17" t="n">
        <v>45487</v>
      </c>
      <c r="B411" s="18" t="n">
        <v>146658</v>
      </c>
      <c r="C411" s="10">
        <f>TEXT($A411,"YYYY-MM")</f>
        <v/>
      </c>
    </row>
    <row r="412">
      <c r="A412" s="17" t="n">
        <v>45488</v>
      </c>
      <c r="B412" s="18" t="n">
        <v>101396</v>
      </c>
      <c r="C412" s="10">
        <f>TEXT($A412,"YYYY-MM")</f>
        <v/>
      </c>
    </row>
    <row r="413">
      <c r="A413" s="17" t="n">
        <v>45489</v>
      </c>
      <c r="B413" s="18" t="n">
        <v>122368</v>
      </c>
      <c r="C413" s="10">
        <f>TEXT($A413,"YYYY-MM")</f>
        <v/>
      </c>
    </row>
    <row r="414">
      <c r="A414" s="17" t="n">
        <v>45490</v>
      </c>
      <c r="B414" s="18" t="n">
        <v>108179</v>
      </c>
      <c r="C414" s="10">
        <f>TEXT($A414,"YYYY-MM")</f>
        <v/>
      </c>
    </row>
    <row r="415">
      <c r="A415" s="17" t="n">
        <v>45491</v>
      </c>
      <c r="B415" s="18" t="n">
        <v>105936</v>
      </c>
      <c r="C415" s="10">
        <f>TEXT($A415,"YYYY-MM")</f>
        <v/>
      </c>
    </row>
    <row r="416">
      <c r="A416" s="17" t="n">
        <v>45492</v>
      </c>
      <c r="B416" s="18" t="n">
        <v>108003</v>
      </c>
      <c r="C416" s="10">
        <f>TEXT($A416,"YYYY-MM")</f>
        <v/>
      </c>
    </row>
    <row r="417">
      <c r="A417" s="17" t="n">
        <v>45493</v>
      </c>
      <c r="B417" s="18" t="n">
        <v>147403</v>
      </c>
      <c r="C417" s="10">
        <f>TEXT($A417,"YYYY-MM")</f>
        <v/>
      </c>
    </row>
    <row r="418">
      <c r="A418" s="17" t="n">
        <v>45494</v>
      </c>
      <c r="B418" s="18" t="n">
        <v>144256</v>
      </c>
      <c r="C418" s="10">
        <f>TEXT($A418,"YYYY-MM")</f>
        <v/>
      </c>
    </row>
    <row r="419">
      <c r="A419" s="17" t="n">
        <v>45495</v>
      </c>
      <c r="B419" s="18" t="n">
        <v>111795</v>
      </c>
      <c r="C419" s="10">
        <f>TEXT($A419,"YYYY-MM")</f>
        <v/>
      </c>
    </row>
    <row r="420">
      <c r="A420" s="17" t="n">
        <v>45496</v>
      </c>
      <c r="B420" s="18" t="n">
        <v>102675</v>
      </c>
      <c r="C420" s="10">
        <f>TEXT($A420,"YYYY-MM")</f>
        <v/>
      </c>
    </row>
    <row r="421">
      <c r="A421" s="17" t="n">
        <v>45497</v>
      </c>
      <c r="B421" s="18" t="n">
        <v>124286</v>
      </c>
      <c r="C421" s="10">
        <f>TEXT($A421,"YYYY-MM")</f>
        <v/>
      </c>
    </row>
    <row r="422">
      <c r="A422" s="17" t="n">
        <v>45498</v>
      </c>
      <c r="B422" s="18" t="n">
        <v>105093</v>
      </c>
      <c r="C422" s="10">
        <f>TEXT($A422,"YYYY-MM")</f>
        <v/>
      </c>
    </row>
    <row r="423">
      <c r="A423" s="17" t="n">
        <v>45499</v>
      </c>
      <c r="B423" s="18" t="n">
        <v>137637</v>
      </c>
      <c r="C423" s="10">
        <f>TEXT($A423,"YYYY-MM")</f>
        <v/>
      </c>
    </row>
    <row r="424">
      <c r="A424" s="17" t="n">
        <v>45500</v>
      </c>
      <c r="B424" s="18" t="n">
        <v>134982</v>
      </c>
      <c r="C424" s="10">
        <f>TEXT($A424,"YYYY-MM")</f>
        <v/>
      </c>
    </row>
    <row r="425">
      <c r="A425" s="17" t="n">
        <v>45501</v>
      </c>
      <c r="B425" s="18" t="n">
        <v>146662</v>
      </c>
      <c r="C425" s="10">
        <f>TEXT($A425,"YYYY-MM")</f>
        <v/>
      </c>
    </row>
    <row r="426">
      <c r="A426" s="17" t="n">
        <v>45502</v>
      </c>
      <c r="B426" s="18" t="n">
        <v>105272</v>
      </c>
      <c r="C426" s="10">
        <f>TEXT($A426,"YYYY-MM")</f>
        <v/>
      </c>
    </row>
    <row r="427">
      <c r="A427" s="17" t="n">
        <v>45503</v>
      </c>
      <c r="B427" s="18" t="n">
        <v>115294</v>
      </c>
      <c r="C427" s="10">
        <f>TEXT($A427,"YYYY-MM")</f>
        <v/>
      </c>
    </row>
    <row r="428">
      <c r="A428" s="17" t="n">
        <v>45504</v>
      </c>
      <c r="B428" s="18" t="n">
        <v>127616</v>
      </c>
      <c r="C428" s="10">
        <f>TEXT($A428,"YYYY-MM")</f>
        <v/>
      </c>
    </row>
    <row r="429">
      <c r="A429" s="17" t="n">
        <v>45505</v>
      </c>
      <c r="B429" s="18" t="n">
        <v>98256</v>
      </c>
      <c r="C429" s="10">
        <f>TEXT($A429,"YYYY-MM")</f>
        <v/>
      </c>
    </row>
    <row r="430">
      <c r="A430" s="17" t="n">
        <v>45506</v>
      </c>
      <c r="B430" s="18" t="n">
        <v>121764</v>
      </c>
      <c r="C430" s="10">
        <f>TEXT($A430,"YYYY-MM")</f>
        <v/>
      </c>
    </row>
    <row r="431">
      <c r="A431" s="17" t="n">
        <v>45507</v>
      </c>
      <c r="B431" s="18" t="n">
        <v>138311</v>
      </c>
      <c r="C431" s="10">
        <f>TEXT($A431,"YYYY-MM")</f>
        <v/>
      </c>
    </row>
    <row r="432">
      <c r="A432" s="17" t="n">
        <v>45508</v>
      </c>
      <c r="B432" s="18" t="n">
        <v>137615</v>
      </c>
      <c r="C432" s="10">
        <f>TEXT($A432,"YYYY-MM")</f>
        <v/>
      </c>
    </row>
    <row r="433">
      <c r="A433" s="17" t="n">
        <v>45509</v>
      </c>
      <c r="B433" s="18" t="n">
        <v>96320</v>
      </c>
      <c r="C433" s="10">
        <f>TEXT($A433,"YYYY-MM")</f>
        <v/>
      </c>
    </row>
    <row r="434">
      <c r="A434" s="17" t="n">
        <v>45510</v>
      </c>
      <c r="B434" s="18" t="n">
        <v>101902</v>
      </c>
      <c r="C434" s="10">
        <f>TEXT($A434,"YYYY-MM")</f>
        <v/>
      </c>
    </row>
    <row r="435">
      <c r="A435" s="17" t="n">
        <v>45511</v>
      </c>
      <c r="B435" s="18" t="n">
        <v>106188</v>
      </c>
      <c r="C435" s="10">
        <f>TEXT($A435,"YYYY-MM")</f>
        <v/>
      </c>
    </row>
    <row r="436">
      <c r="A436" s="17" t="n">
        <v>45512</v>
      </c>
      <c r="B436" s="18" t="n">
        <v>101941</v>
      </c>
      <c r="C436" s="10">
        <f>TEXT($A436,"YYYY-MM")</f>
        <v/>
      </c>
    </row>
    <row r="437">
      <c r="A437" s="17" t="n">
        <v>45513</v>
      </c>
      <c r="B437" s="18" t="n">
        <v>128417</v>
      </c>
      <c r="C437" s="10">
        <f>TEXT($A437,"YYYY-MM")</f>
        <v/>
      </c>
    </row>
    <row r="438">
      <c r="A438" s="17" t="n">
        <v>45514</v>
      </c>
      <c r="B438" s="18" t="n">
        <v>146046</v>
      </c>
      <c r="C438" s="10">
        <f>TEXT($A438,"YYYY-MM")</f>
        <v/>
      </c>
    </row>
    <row r="439">
      <c r="A439" s="17" t="n">
        <v>45515</v>
      </c>
      <c r="B439" s="18" t="n">
        <v>146464</v>
      </c>
      <c r="C439" s="10">
        <f>TEXT($A439,"YYYY-MM")</f>
        <v/>
      </c>
    </row>
    <row r="440">
      <c r="A440" s="17" t="n">
        <v>45516</v>
      </c>
      <c r="B440" s="18" t="n">
        <v>117367</v>
      </c>
      <c r="C440" s="10">
        <f>TEXT($A440,"YYYY-MM")</f>
        <v/>
      </c>
    </row>
    <row r="441">
      <c r="A441" s="17" t="n">
        <v>45517</v>
      </c>
      <c r="B441" s="18" t="n">
        <v>106477</v>
      </c>
      <c r="C441" s="10">
        <f>TEXT($A441,"YYYY-MM")</f>
        <v/>
      </c>
    </row>
    <row r="442">
      <c r="A442" s="17" t="n">
        <v>45518</v>
      </c>
      <c r="B442" s="18" t="n">
        <v>102127</v>
      </c>
      <c r="C442" s="10">
        <f>TEXT($A442,"YYYY-MM")</f>
        <v/>
      </c>
    </row>
    <row r="443">
      <c r="A443" s="17" t="n">
        <v>45519</v>
      </c>
      <c r="B443" s="18" t="n">
        <v>116331</v>
      </c>
      <c r="C443" s="10">
        <f>TEXT($A443,"YYYY-MM")</f>
        <v/>
      </c>
    </row>
    <row r="444">
      <c r="A444" s="17" t="n">
        <v>45520</v>
      </c>
      <c r="B444" s="18" t="n">
        <v>143390</v>
      </c>
      <c r="C444" s="10">
        <f>TEXT($A444,"YYYY-MM")</f>
        <v/>
      </c>
    </row>
    <row r="445">
      <c r="A445" s="17" t="n">
        <v>45521</v>
      </c>
      <c r="B445" s="18" t="n">
        <v>142405</v>
      </c>
      <c r="C445" s="10">
        <f>TEXT($A445,"YYYY-MM")</f>
        <v/>
      </c>
    </row>
    <row r="446">
      <c r="A446" s="17" t="n">
        <v>45522</v>
      </c>
      <c r="B446" s="18" t="n">
        <v>138954</v>
      </c>
      <c r="C446" s="10">
        <f>TEXT($A446,"YYYY-MM")</f>
        <v/>
      </c>
    </row>
    <row r="447">
      <c r="A447" s="17" t="n">
        <v>45523</v>
      </c>
      <c r="B447" s="18" t="n">
        <v>116117</v>
      </c>
      <c r="C447" s="10">
        <f>TEXT($A447,"YYYY-MM")</f>
        <v/>
      </c>
    </row>
    <row r="448">
      <c r="A448" s="17" t="n">
        <v>45524</v>
      </c>
      <c r="B448" s="18" t="n">
        <v>114918</v>
      </c>
      <c r="C448" s="10">
        <f>TEXT($A448,"YYYY-MM")</f>
        <v/>
      </c>
    </row>
    <row r="449">
      <c r="A449" s="17" t="n">
        <v>45525</v>
      </c>
      <c r="B449" s="18" t="n">
        <v>125559</v>
      </c>
      <c r="C449" s="10">
        <f>TEXT($A449,"YYYY-MM")</f>
        <v/>
      </c>
    </row>
    <row r="450">
      <c r="A450" s="17" t="n">
        <v>45526</v>
      </c>
      <c r="B450" s="18" t="n">
        <v>102112</v>
      </c>
      <c r="C450" s="10">
        <f>TEXT($A450,"YYYY-MM")</f>
        <v/>
      </c>
    </row>
    <row r="451">
      <c r="A451" s="17" t="n">
        <v>45527</v>
      </c>
      <c r="B451" s="18" t="n">
        <v>140697</v>
      </c>
      <c r="C451" s="10">
        <f>TEXT($A451,"YYYY-MM")</f>
        <v/>
      </c>
    </row>
    <row r="452">
      <c r="A452" s="17" t="n">
        <v>45528</v>
      </c>
      <c r="B452" s="18" t="n">
        <v>125157</v>
      </c>
      <c r="C452" s="10">
        <f>TEXT($A452,"YYYY-MM")</f>
        <v/>
      </c>
    </row>
    <row r="453">
      <c r="A453" s="17" t="n">
        <v>45529</v>
      </c>
      <c r="B453" s="18" t="n">
        <v>130547</v>
      </c>
      <c r="C453" s="10">
        <f>TEXT($A453,"YYYY-MM")</f>
        <v/>
      </c>
    </row>
    <row r="454">
      <c r="A454" s="17" t="n">
        <v>45530</v>
      </c>
      <c r="B454" s="18" t="n">
        <v>93472</v>
      </c>
      <c r="C454" s="10">
        <f>TEXT($A454,"YYYY-MM")</f>
        <v/>
      </c>
    </row>
    <row r="455">
      <c r="A455" s="17" t="n">
        <v>45531</v>
      </c>
      <c r="B455" s="18" t="n">
        <v>119034</v>
      </c>
      <c r="C455" s="10">
        <f>TEXT($A455,"YYYY-MM")</f>
        <v/>
      </c>
    </row>
    <row r="456">
      <c r="A456" s="17" t="n">
        <v>45532</v>
      </c>
      <c r="B456" s="18" t="n">
        <v>105556</v>
      </c>
      <c r="C456" s="10">
        <f>TEXT($A456,"YYYY-MM")</f>
        <v/>
      </c>
    </row>
    <row r="457">
      <c r="A457" s="17" t="n">
        <v>45533</v>
      </c>
      <c r="B457" s="18" t="n">
        <v>105501</v>
      </c>
      <c r="C457" s="10">
        <f>TEXT($A457,"YYYY-MM")</f>
        <v/>
      </c>
    </row>
    <row r="458">
      <c r="A458" s="17" t="n">
        <v>45534</v>
      </c>
      <c r="B458" s="18" t="n">
        <v>129015</v>
      </c>
      <c r="C458" s="10">
        <f>TEXT($A458,"YYYY-MM")</f>
        <v/>
      </c>
    </row>
    <row r="459">
      <c r="A459" s="17" t="n">
        <v>45535</v>
      </c>
      <c r="B459" s="18" t="n">
        <v>137828</v>
      </c>
      <c r="C459" s="10">
        <f>TEXT($A459,"YYYY-MM")</f>
        <v/>
      </c>
    </row>
    <row r="460">
      <c r="A460" s="17" t="n">
        <v>45536</v>
      </c>
      <c r="B460" s="18" t="n">
        <v>169388</v>
      </c>
      <c r="C460" s="10">
        <f>TEXT($A460,"YYYY-MM")</f>
        <v/>
      </c>
    </row>
    <row r="461">
      <c r="A461" s="17" t="n">
        <v>45537</v>
      </c>
      <c r="B461" s="18" t="n">
        <v>155540</v>
      </c>
      <c r="C461" s="10">
        <f>TEXT($A461,"YYYY-MM")</f>
        <v/>
      </c>
    </row>
    <row r="462">
      <c r="A462" s="17" t="n">
        <v>45538</v>
      </c>
      <c r="B462" s="18" t="n">
        <v>132663</v>
      </c>
      <c r="C462" s="10">
        <f>TEXT($A462,"YYYY-MM")</f>
        <v/>
      </c>
    </row>
    <row r="463">
      <c r="A463" s="17" t="n">
        <v>45539</v>
      </c>
      <c r="B463" s="18" t="n">
        <v>131163</v>
      </c>
      <c r="C463" s="10">
        <f>TEXT($A463,"YYYY-MM")</f>
        <v/>
      </c>
    </row>
    <row r="464">
      <c r="A464" s="17" t="n">
        <v>45540</v>
      </c>
      <c r="B464" s="18" t="n">
        <v>166917</v>
      </c>
      <c r="C464" s="10">
        <f>TEXT($A464,"YYYY-MM")</f>
        <v/>
      </c>
    </row>
    <row r="465">
      <c r="A465" s="17" t="n">
        <v>45541</v>
      </c>
      <c r="B465" s="18" t="n">
        <v>177255</v>
      </c>
      <c r="C465" s="10">
        <f>TEXT($A465,"YYYY-MM")</f>
        <v/>
      </c>
    </row>
    <row r="466">
      <c r="A466" s="17" t="n">
        <v>45542</v>
      </c>
      <c r="B466" s="18" t="n">
        <v>197342</v>
      </c>
      <c r="C466" s="10">
        <f>TEXT($A466,"YYYY-MM")</f>
        <v/>
      </c>
    </row>
    <row r="467">
      <c r="A467" s="17" t="n">
        <v>45543</v>
      </c>
      <c r="B467" s="18" t="n">
        <v>163478</v>
      </c>
      <c r="C467" s="10">
        <f>TEXT($A467,"YYYY-MM")</f>
        <v/>
      </c>
    </row>
    <row r="468">
      <c r="A468" s="17" t="n">
        <v>45544</v>
      </c>
      <c r="B468" s="18" t="n">
        <v>160874</v>
      </c>
      <c r="C468" s="10">
        <f>TEXT($A468,"YYYY-MM")</f>
        <v/>
      </c>
    </row>
    <row r="469">
      <c r="A469" s="17" t="n">
        <v>45545</v>
      </c>
      <c r="B469" s="18" t="n">
        <v>126329</v>
      </c>
      <c r="C469" s="10">
        <f>TEXT($A469,"YYYY-MM")</f>
        <v/>
      </c>
    </row>
    <row r="470">
      <c r="A470" s="17" t="n">
        <v>45546</v>
      </c>
      <c r="B470" s="18" t="n">
        <v>158221</v>
      </c>
      <c r="C470" s="10">
        <f>TEXT($A470,"YYYY-MM")</f>
        <v/>
      </c>
    </row>
    <row r="471">
      <c r="A471" s="17" t="n">
        <v>45547</v>
      </c>
      <c r="B471" s="18" t="n">
        <v>165578</v>
      </c>
      <c r="C471" s="10">
        <f>TEXT($A471,"YYYY-MM")</f>
        <v/>
      </c>
    </row>
    <row r="472">
      <c r="A472" s="17" t="n">
        <v>45548</v>
      </c>
      <c r="B472" s="18" t="n">
        <v>162592</v>
      </c>
      <c r="C472" s="10">
        <f>TEXT($A472,"YYYY-MM")</f>
        <v/>
      </c>
    </row>
    <row r="473">
      <c r="A473" s="17" t="n">
        <v>45549</v>
      </c>
      <c r="B473" s="18" t="n">
        <v>161574</v>
      </c>
      <c r="C473" s="10">
        <f>TEXT($A473,"YYYY-MM")</f>
        <v/>
      </c>
    </row>
    <row r="474">
      <c r="A474" s="17" t="n">
        <v>45550</v>
      </c>
      <c r="B474" s="18" t="n">
        <v>193820</v>
      </c>
      <c r="C474" s="10">
        <f>TEXT($A474,"YYYY-MM")</f>
        <v/>
      </c>
    </row>
    <row r="475">
      <c r="A475" s="17" t="n">
        <v>45551</v>
      </c>
      <c r="B475" s="18" t="n">
        <v>138522</v>
      </c>
      <c r="C475" s="10">
        <f>TEXT($A475,"YYYY-MM")</f>
        <v/>
      </c>
    </row>
    <row r="476">
      <c r="A476" s="17" t="n">
        <v>45552</v>
      </c>
      <c r="B476" s="18" t="n">
        <v>130201</v>
      </c>
      <c r="C476" s="10">
        <f>TEXT($A476,"YYYY-MM")</f>
        <v/>
      </c>
    </row>
    <row r="477">
      <c r="A477" s="17" t="n">
        <v>45553</v>
      </c>
      <c r="B477" s="18" t="n">
        <v>163493</v>
      </c>
      <c r="C477" s="10">
        <f>TEXT($A477,"YYYY-MM")</f>
        <v/>
      </c>
    </row>
    <row r="478">
      <c r="A478" s="17" t="n">
        <v>45554</v>
      </c>
      <c r="B478" s="18" t="n">
        <v>147266</v>
      </c>
      <c r="C478" s="10">
        <f>TEXT($A478,"YYYY-MM")</f>
        <v/>
      </c>
    </row>
    <row r="479">
      <c r="A479" s="17" t="n">
        <v>45555</v>
      </c>
      <c r="B479" s="18" t="n">
        <v>162422</v>
      </c>
      <c r="C479" s="10">
        <f>TEXT($A479,"YYYY-MM")</f>
        <v/>
      </c>
    </row>
    <row r="480">
      <c r="A480" s="17" t="n">
        <v>45556</v>
      </c>
      <c r="B480" s="18" t="n">
        <v>209233</v>
      </c>
      <c r="C480" s="10">
        <f>TEXT($A480,"YYYY-MM")</f>
        <v/>
      </c>
    </row>
    <row r="481">
      <c r="A481" s="17" t="n">
        <v>45557</v>
      </c>
      <c r="B481" s="18" t="n">
        <v>197168</v>
      </c>
      <c r="C481" s="10">
        <f>TEXT($A481,"YYYY-MM")</f>
        <v/>
      </c>
    </row>
    <row r="482">
      <c r="A482" s="17" t="n">
        <v>45558</v>
      </c>
      <c r="B482" s="18" t="n">
        <v>126274</v>
      </c>
      <c r="C482" s="10">
        <f>TEXT($A482,"YYYY-MM")</f>
        <v/>
      </c>
    </row>
    <row r="483">
      <c r="A483" s="17" t="n">
        <v>45559</v>
      </c>
      <c r="B483" s="18" t="n">
        <v>131628</v>
      </c>
      <c r="C483" s="10">
        <f>TEXT($A483,"YYYY-MM")</f>
        <v/>
      </c>
    </row>
    <row r="484">
      <c r="A484" s="17" t="n">
        <v>45560</v>
      </c>
      <c r="B484" s="18" t="n">
        <v>144343</v>
      </c>
      <c r="C484" s="10">
        <f>TEXT($A484,"YYYY-MM")</f>
        <v/>
      </c>
    </row>
    <row r="485">
      <c r="A485" s="17" t="n">
        <v>45561</v>
      </c>
      <c r="B485" s="18" t="n">
        <v>142394</v>
      </c>
      <c r="C485" s="10">
        <f>TEXT($A485,"YYYY-MM")</f>
        <v/>
      </c>
    </row>
    <row r="486">
      <c r="A486" s="17" t="n">
        <v>45562</v>
      </c>
      <c r="B486" s="18" t="n">
        <v>181991</v>
      </c>
      <c r="C486" s="10">
        <f>TEXT($A486,"YYYY-MM")</f>
        <v/>
      </c>
    </row>
    <row r="487">
      <c r="A487" s="17" t="n">
        <v>45563</v>
      </c>
      <c r="B487" s="18" t="n">
        <v>162362</v>
      </c>
      <c r="C487" s="10">
        <f>TEXT($A487,"YYYY-MM")</f>
        <v/>
      </c>
    </row>
    <row r="488">
      <c r="A488" s="17" t="n">
        <v>45564</v>
      </c>
      <c r="B488" s="18" t="n">
        <v>173799</v>
      </c>
      <c r="C488" s="10">
        <f>TEXT($A488,"YYYY-MM")</f>
        <v/>
      </c>
    </row>
    <row r="489">
      <c r="A489" s="17" t="n">
        <v>45565</v>
      </c>
      <c r="B489" s="18" t="n">
        <v>127052</v>
      </c>
      <c r="C489" s="10">
        <f>TEXT($A489,"YYYY-MM")</f>
        <v/>
      </c>
    </row>
    <row r="490">
      <c r="A490" s="17" t="n">
        <v>45566</v>
      </c>
      <c r="B490" s="18" t="n">
        <v>118313</v>
      </c>
      <c r="C490" s="10">
        <f>TEXT($A490,"YYYY-MM")</f>
        <v/>
      </c>
    </row>
    <row r="491">
      <c r="A491" s="17" t="n">
        <v>45567</v>
      </c>
      <c r="B491" s="18" t="n">
        <v>131112</v>
      </c>
      <c r="C491" s="10">
        <f>TEXT($A491,"YYYY-MM")</f>
        <v/>
      </c>
    </row>
    <row r="492">
      <c r="A492" s="17" t="n">
        <v>45568</v>
      </c>
      <c r="B492" s="18" t="n">
        <v>124513</v>
      </c>
      <c r="C492" s="10">
        <f>TEXT($A492,"YYYY-MM")</f>
        <v/>
      </c>
    </row>
    <row r="493">
      <c r="A493" s="17" t="n">
        <v>45569</v>
      </c>
      <c r="B493" s="18" t="n">
        <v>165574</v>
      </c>
      <c r="C493" s="10">
        <f>TEXT($A493,"YYYY-MM")</f>
        <v/>
      </c>
    </row>
    <row r="494">
      <c r="A494" s="17" t="n">
        <v>45570</v>
      </c>
      <c r="B494" s="18" t="n">
        <v>163414</v>
      </c>
      <c r="C494" s="10">
        <f>TEXT($A494,"YYYY-MM")</f>
        <v/>
      </c>
    </row>
    <row r="495">
      <c r="A495" s="17" t="n">
        <v>45571</v>
      </c>
      <c r="B495" s="18" t="n">
        <v>149737</v>
      </c>
      <c r="C495" s="10">
        <f>TEXT($A495,"YYYY-MM")</f>
        <v/>
      </c>
    </row>
    <row r="496">
      <c r="A496" s="17" t="n">
        <v>45572</v>
      </c>
      <c r="B496" s="18" t="n">
        <v>134971</v>
      </c>
      <c r="C496" s="10">
        <f>TEXT($A496,"YYYY-MM")</f>
        <v/>
      </c>
    </row>
    <row r="497">
      <c r="A497" s="17" t="n">
        <v>45573</v>
      </c>
      <c r="B497" s="18" t="n">
        <v>156523</v>
      </c>
      <c r="C497" s="10">
        <f>TEXT($A497,"YYYY-MM")</f>
        <v/>
      </c>
    </row>
    <row r="498">
      <c r="A498" s="17" t="n">
        <v>45574</v>
      </c>
      <c r="B498" s="18" t="n">
        <v>122496</v>
      </c>
      <c r="C498" s="10">
        <f>TEXT($A498,"YYYY-MM")</f>
        <v/>
      </c>
    </row>
    <row r="499">
      <c r="A499" s="17" t="n">
        <v>45575</v>
      </c>
      <c r="B499" s="18" t="n">
        <v>133974</v>
      </c>
      <c r="C499" s="10">
        <f>TEXT($A499,"YYYY-MM")</f>
        <v/>
      </c>
    </row>
    <row r="500">
      <c r="A500" s="17" t="n">
        <v>45576</v>
      </c>
      <c r="B500" s="18" t="n">
        <v>142323</v>
      </c>
      <c r="C500" s="10">
        <f>TEXT($A500,"YYYY-MM")</f>
        <v/>
      </c>
    </row>
    <row r="501">
      <c r="A501" s="17" t="n">
        <v>45577</v>
      </c>
      <c r="B501" s="18" t="n">
        <v>185130</v>
      </c>
      <c r="C501" s="10">
        <f>TEXT($A501,"YYYY-MM")</f>
        <v/>
      </c>
    </row>
    <row r="502">
      <c r="A502" s="17" t="n">
        <v>45578</v>
      </c>
      <c r="B502" s="18" t="n">
        <v>168946</v>
      </c>
      <c r="C502" s="10">
        <f>TEXT($A502,"YYYY-MM")</f>
        <v/>
      </c>
    </row>
    <row r="503">
      <c r="A503" s="17" t="n">
        <v>45579</v>
      </c>
      <c r="B503" s="18" t="n">
        <v>116857</v>
      </c>
      <c r="C503" s="10">
        <f>TEXT($A503,"YYYY-MM")</f>
        <v/>
      </c>
    </row>
    <row r="504">
      <c r="A504" s="17" t="n">
        <v>45580</v>
      </c>
      <c r="B504" s="18" t="n">
        <v>140870</v>
      </c>
      <c r="C504" s="10">
        <f>TEXT($A504,"YYYY-MM")</f>
        <v/>
      </c>
    </row>
    <row r="505">
      <c r="A505" s="17" t="n">
        <v>45581</v>
      </c>
      <c r="B505" s="18" t="n">
        <v>141642</v>
      </c>
      <c r="C505" s="10">
        <f>TEXT($A505,"YYYY-MM")</f>
        <v/>
      </c>
    </row>
    <row r="506">
      <c r="A506" s="17" t="n">
        <v>45582</v>
      </c>
      <c r="B506" s="18" t="n">
        <v>152204</v>
      </c>
      <c r="C506" s="10">
        <f>TEXT($A506,"YYYY-MM")</f>
        <v/>
      </c>
    </row>
    <row r="507">
      <c r="A507" s="17" t="n">
        <v>45583</v>
      </c>
      <c r="B507" s="18" t="n">
        <v>172374</v>
      </c>
      <c r="C507" s="10">
        <f>TEXT($A507,"YYYY-MM")</f>
        <v/>
      </c>
    </row>
    <row r="508">
      <c r="A508" s="17" t="n">
        <v>45584</v>
      </c>
      <c r="B508" s="18" t="n">
        <v>188199</v>
      </c>
      <c r="C508" s="10">
        <f>TEXT($A508,"YYYY-MM")</f>
        <v/>
      </c>
    </row>
    <row r="509">
      <c r="A509" s="17" t="n">
        <v>45585</v>
      </c>
      <c r="B509" s="18" t="n">
        <v>168382</v>
      </c>
      <c r="C509" s="10">
        <f>TEXT($A509,"YYYY-MM")</f>
        <v/>
      </c>
    </row>
    <row r="510">
      <c r="A510" s="17" t="n">
        <v>45586</v>
      </c>
      <c r="B510" s="18" t="n">
        <v>122004</v>
      </c>
      <c r="C510" s="10">
        <f>TEXT($A510,"YYYY-MM")</f>
        <v/>
      </c>
    </row>
    <row r="511">
      <c r="A511" s="17" t="n">
        <v>45587</v>
      </c>
      <c r="B511" s="18" t="n">
        <v>148247</v>
      </c>
      <c r="C511" s="10">
        <f>TEXT($A511,"YYYY-MM")</f>
        <v/>
      </c>
    </row>
    <row r="512">
      <c r="A512" s="17" t="n">
        <v>45588</v>
      </c>
      <c r="B512" s="18" t="n">
        <v>121667</v>
      </c>
      <c r="C512" s="10">
        <f>TEXT($A512,"YYYY-MM")</f>
        <v/>
      </c>
    </row>
    <row r="513">
      <c r="A513" s="17" t="n">
        <v>45589</v>
      </c>
      <c r="B513" s="18" t="n">
        <v>148822</v>
      </c>
      <c r="C513" s="10">
        <f>TEXT($A513,"YYYY-MM")</f>
        <v/>
      </c>
    </row>
    <row r="514">
      <c r="A514" s="17" t="n">
        <v>45590</v>
      </c>
      <c r="B514" s="18" t="n">
        <v>148134</v>
      </c>
      <c r="C514" s="10">
        <f>TEXT($A514,"YYYY-MM")</f>
        <v/>
      </c>
    </row>
    <row r="515">
      <c r="A515" s="17" t="n">
        <v>45591</v>
      </c>
      <c r="B515" s="18" t="n">
        <v>189063</v>
      </c>
      <c r="C515" s="10">
        <f>TEXT($A515,"YYYY-MM")</f>
        <v/>
      </c>
    </row>
    <row r="516">
      <c r="A516" s="17" t="n">
        <v>45592</v>
      </c>
      <c r="B516" s="18" t="n">
        <v>172468</v>
      </c>
      <c r="C516" s="10">
        <f>TEXT($A516,"YYYY-MM")</f>
        <v/>
      </c>
    </row>
    <row r="517">
      <c r="A517" s="17" t="n">
        <v>45593</v>
      </c>
      <c r="B517" s="18" t="n">
        <v>153102</v>
      </c>
      <c r="C517" s="10">
        <f>TEXT($A517,"YYYY-MM")</f>
        <v/>
      </c>
    </row>
    <row r="518">
      <c r="A518" s="17" t="n">
        <v>45594</v>
      </c>
      <c r="B518" s="18" t="n">
        <v>158973</v>
      </c>
      <c r="C518" s="10">
        <f>TEXT($A518,"YYYY-MM")</f>
        <v/>
      </c>
    </row>
    <row r="519">
      <c r="A519" s="17" t="n">
        <v>45595</v>
      </c>
      <c r="B519" s="18" t="n">
        <v>155148</v>
      </c>
      <c r="C519" s="10">
        <f>TEXT($A519,"YYYY-MM")</f>
        <v/>
      </c>
    </row>
    <row r="520">
      <c r="A520" s="17" t="n">
        <v>45596</v>
      </c>
      <c r="B520" s="18" t="n">
        <v>138553</v>
      </c>
      <c r="C520" s="10">
        <f>TEXT($A520,"YYYY-MM")</f>
        <v/>
      </c>
    </row>
    <row r="521">
      <c r="A521" s="17" t="n">
        <v>45597</v>
      </c>
      <c r="B521" s="18" t="n">
        <v>183283</v>
      </c>
      <c r="C521" s="10">
        <f>TEXT($A521,"YYYY-MM")</f>
        <v/>
      </c>
    </row>
    <row r="522">
      <c r="A522" s="17" t="n">
        <v>45598</v>
      </c>
      <c r="B522" s="18" t="n">
        <v>254765</v>
      </c>
      <c r="C522" s="10">
        <f>TEXT($A522,"YYYY-MM")</f>
        <v/>
      </c>
    </row>
    <row r="523">
      <c r="A523" s="17" t="n">
        <v>45599</v>
      </c>
      <c r="B523" s="18" t="n">
        <v>224547</v>
      </c>
      <c r="C523" s="10">
        <f>TEXT($A523,"YYYY-MM")</f>
        <v/>
      </c>
    </row>
    <row r="524">
      <c r="A524" s="17" t="n">
        <v>45600</v>
      </c>
      <c r="B524" s="18" t="n">
        <v>164631</v>
      </c>
      <c r="C524" s="10">
        <f>TEXT($A524,"YYYY-MM")</f>
        <v/>
      </c>
    </row>
    <row r="525">
      <c r="A525" s="17" t="n">
        <v>45601</v>
      </c>
      <c r="B525" s="18" t="n">
        <v>171508</v>
      </c>
      <c r="C525" s="10">
        <f>TEXT($A525,"YYYY-MM")</f>
        <v/>
      </c>
    </row>
    <row r="526">
      <c r="A526" s="17" t="n">
        <v>45602</v>
      </c>
      <c r="B526" s="18" t="n">
        <v>177727</v>
      </c>
      <c r="C526" s="10">
        <f>TEXT($A526,"YYYY-MM")</f>
        <v/>
      </c>
    </row>
    <row r="527">
      <c r="A527" s="17" t="n">
        <v>45603</v>
      </c>
      <c r="B527" s="18" t="n">
        <v>165386</v>
      </c>
      <c r="C527" s="10">
        <f>TEXT($A527,"YYYY-MM")</f>
        <v/>
      </c>
    </row>
    <row r="528">
      <c r="A528" s="17" t="n">
        <v>45604</v>
      </c>
      <c r="B528" s="18" t="n">
        <v>199936</v>
      </c>
      <c r="C528" s="10">
        <f>TEXT($A528,"YYYY-MM")</f>
        <v/>
      </c>
    </row>
    <row r="529">
      <c r="A529" s="17" t="n">
        <v>45605</v>
      </c>
      <c r="B529" s="18" t="n">
        <v>205793</v>
      </c>
      <c r="C529" s="10">
        <f>TEXT($A529,"YYYY-MM")</f>
        <v/>
      </c>
    </row>
    <row r="530">
      <c r="A530" s="17" t="n">
        <v>45606</v>
      </c>
      <c r="B530" s="18" t="n">
        <v>214538</v>
      </c>
      <c r="C530" s="10">
        <f>TEXT($A530,"YYYY-MM")</f>
        <v/>
      </c>
    </row>
    <row r="531">
      <c r="A531" s="17" t="n">
        <v>45607</v>
      </c>
      <c r="B531" s="18" t="n">
        <v>189697</v>
      </c>
      <c r="C531" s="10">
        <f>TEXT($A531,"YYYY-MM")</f>
        <v/>
      </c>
    </row>
    <row r="532">
      <c r="A532" s="17" t="n">
        <v>45608</v>
      </c>
      <c r="B532" s="18" t="n">
        <v>172460</v>
      </c>
      <c r="C532" s="10">
        <f>TEXT($A532,"YYYY-MM")</f>
        <v/>
      </c>
    </row>
    <row r="533">
      <c r="A533" s="17" t="n">
        <v>45609</v>
      </c>
      <c r="B533" s="18" t="n">
        <v>159873</v>
      </c>
      <c r="C533" s="10">
        <f>TEXT($A533,"YYYY-MM")</f>
        <v/>
      </c>
    </row>
    <row r="534">
      <c r="A534" s="17" t="n">
        <v>45610</v>
      </c>
      <c r="B534" s="18" t="n">
        <v>185276</v>
      </c>
      <c r="C534" s="10">
        <f>TEXT($A534,"YYYY-MM")</f>
        <v/>
      </c>
    </row>
    <row r="535">
      <c r="A535" s="17" t="n">
        <v>45611</v>
      </c>
      <c r="B535" s="18" t="n">
        <v>186891</v>
      </c>
      <c r="C535" s="10">
        <f>TEXT($A535,"YYYY-MM")</f>
        <v/>
      </c>
    </row>
    <row r="536">
      <c r="A536" s="17" t="n">
        <v>45612</v>
      </c>
      <c r="B536" s="18" t="n">
        <v>216970</v>
      </c>
      <c r="C536" s="10">
        <f>TEXT($A536,"YYYY-MM")</f>
        <v/>
      </c>
    </row>
    <row r="537">
      <c r="A537" s="17" t="n">
        <v>45613</v>
      </c>
      <c r="B537" s="18" t="n">
        <v>234572</v>
      </c>
      <c r="C537" s="10">
        <f>TEXT($A537,"YYYY-MM")</f>
        <v/>
      </c>
    </row>
    <row r="538">
      <c r="A538" s="17" t="n">
        <v>45614</v>
      </c>
      <c r="B538" s="18" t="n">
        <v>178791</v>
      </c>
      <c r="C538" s="10">
        <f>TEXT($A538,"YYYY-MM")</f>
        <v/>
      </c>
    </row>
    <row r="539">
      <c r="A539" s="17" t="n">
        <v>45615</v>
      </c>
      <c r="B539" s="18" t="n">
        <v>167839</v>
      </c>
      <c r="C539" s="10">
        <f>TEXT($A539,"YYYY-MM")</f>
        <v/>
      </c>
    </row>
    <row r="540">
      <c r="A540" s="17" t="n">
        <v>45616</v>
      </c>
      <c r="B540" s="18" t="n">
        <v>201085</v>
      </c>
      <c r="C540" s="10">
        <f>TEXT($A540,"YYYY-MM")</f>
        <v/>
      </c>
    </row>
    <row r="541">
      <c r="A541" s="17" t="n">
        <v>45617</v>
      </c>
      <c r="B541" s="18" t="n">
        <v>206186</v>
      </c>
      <c r="C541" s="10">
        <f>TEXT($A541,"YYYY-MM")</f>
        <v/>
      </c>
    </row>
    <row r="542">
      <c r="A542" s="17" t="n">
        <v>45618</v>
      </c>
      <c r="B542" s="18" t="n">
        <v>233560</v>
      </c>
      <c r="C542" s="10">
        <f>TEXT($A542,"YYYY-MM")</f>
        <v/>
      </c>
    </row>
    <row r="543">
      <c r="A543" s="17" t="n">
        <v>45619</v>
      </c>
      <c r="B543" s="18" t="n">
        <v>253712</v>
      </c>
      <c r="C543" s="10">
        <f>TEXT($A543,"YYYY-MM")</f>
        <v/>
      </c>
    </row>
    <row r="544">
      <c r="A544" s="17" t="n">
        <v>45620</v>
      </c>
      <c r="B544" s="18" t="n">
        <v>197165</v>
      </c>
      <c r="C544" s="10">
        <f>TEXT($A544,"YYYY-MM")</f>
        <v/>
      </c>
    </row>
    <row r="545">
      <c r="A545" s="17" t="n">
        <v>45621</v>
      </c>
      <c r="B545" s="18" t="n">
        <v>190564</v>
      </c>
      <c r="C545" s="10">
        <f>TEXT($A545,"YYYY-MM")</f>
        <v/>
      </c>
    </row>
    <row r="546">
      <c r="A546" s="17" t="n">
        <v>45622</v>
      </c>
      <c r="B546" s="18" t="n">
        <v>189796</v>
      </c>
      <c r="C546" s="10">
        <f>TEXT($A546,"YYYY-MM")</f>
        <v/>
      </c>
    </row>
    <row r="547">
      <c r="A547" s="17" t="n">
        <v>45623</v>
      </c>
      <c r="B547" s="18" t="n">
        <v>181890</v>
      </c>
      <c r="C547" s="10">
        <f>TEXT($A547,"YYYY-MM")</f>
        <v/>
      </c>
    </row>
    <row r="548">
      <c r="A548" s="17" t="n">
        <v>45624</v>
      </c>
      <c r="B548" s="18" t="n">
        <v>208112</v>
      </c>
      <c r="C548" s="10">
        <f>TEXT($A548,"YYYY-MM")</f>
        <v/>
      </c>
    </row>
    <row r="549">
      <c r="A549" s="17" t="n">
        <v>45625</v>
      </c>
      <c r="B549" s="18" t="n">
        <v>191283</v>
      </c>
      <c r="C549" s="10">
        <f>TEXT($A549,"YYYY-MM")</f>
        <v/>
      </c>
    </row>
    <row r="550">
      <c r="A550" s="17" t="n">
        <v>45626</v>
      </c>
      <c r="B550" s="18" t="n">
        <v>234106</v>
      </c>
      <c r="C550" s="10">
        <f>TEXT($A550,"YYYY-MM")</f>
        <v/>
      </c>
    </row>
    <row r="551">
      <c r="A551" s="17" t="n">
        <v>45627</v>
      </c>
      <c r="B551" s="18" t="n">
        <v>232695</v>
      </c>
      <c r="C551" s="10">
        <f>TEXT($A551,"YYYY-MM")</f>
        <v/>
      </c>
    </row>
    <row r="552">
      <c r="A552" s="17" t="n">
        <v>45628</v>
      </c>
      <c r="B552" s="18" t="n">
        <v>214388</v>
      </c>
      <c r="C552" s="10">
        <f>TEXT($A552,"YYYY-MM")</f>
        <v/>
      </c>
    </row>
    <row r="553">
      <c r="A553" s="17" t="n">
        <v>45629</v>
      </c>
      <c r="B553" s="18" t="n">
        <v>210735</v>
      </c>
      <c r="C553" s="10">
        <f>TEXT($A553,"YYYY-MM")</f>
        <v/>
      </c>
    </row>
    <row r="554">
      <c r="A554" s="17" t="n">
        <v>45630</v>
      </c>
      <c r="B554" s="18" t="n">
        <v>190229</v>
      </c>
      <c r="C554" s="10">
        <f>TEXT($A554,"YYYY-MM")</f>
        <v/>
      </c>
    </row>
    <row r="555">
      <c r="A555" s="17" t="n">
        <v>45631</v>
      </c>
      <c r="B555" s="18" t="n">
        <v>229381</v>
      </c>
      <c r="C555" s="10">
        <f>TEXT($A555,"YYYY-MM")</f>
        <v/>
      </c>
    </row>
    <row r="556">
      <c r="A556" s="17" t="n">
        <v>45632</v>
      </c>
      <c r="B556" s="18" t="n">
        <v>236491</v>
      </c>
      <c r="C556" s="10">
        <f>TEXT($A556,"YYYY-MM")</f>
        <v/>
      </c>
    </row>
    <row r="557">
      <c r="A557" s="17" t="n">
        <v>45633</v>
      </c>
      <c r="B557" s="18" t="n">
        <v>276601</v>
      </c>
      <c r="C557" s="10">
        <f>TEXT($A557,"YYYY-MM")</f>
        <v/>
      </c>
    </row>
    <row r="558">
      <c r="A558" s="17" t="n">
        <v>45634</v>
      </c>
      <c r="B558" s="18" t="n">
        <v>197845</v>
      </c>
      <c r="C558" s="10">
        <f>TEXT($A558,"YYYY-MM")</f>
        <v/>
      </c>
    </row>
    <row r="559">
      <c r="A559" s="17" t="n">
        <v>45635</v>
      </c>
      <c r="B559" s="18" t="n">
        <v>209196</v>
      </c>
      <c r="C559" s="10">
        <f>TEXT($A559,"YYYY-MM")</f>
        <v/>
      </c>
    </row>
    <row r="560">
      <c r="A560" s="17" t="n">
        <v>45636</v>
      </c>
      <c r="B560" s="18" t="n">
        <v>206848</v>
      </c>
      <c r="C560" s="10">
        <f>TEXT($A560,"YYYY-MM")</f>
        <v/>
      </c>
    </row>
    <row r="561">
      <c r="A561" s="17" t="n">
        <v>45637</v>
      </c>
      <c r="B561" s="18" t="n">
        <v>223620</v>
      </c>
      <c r="C561" s="10">
        <f>TEXT($A561,"YYYY-MM")</f>
        <v/>
      </c>
    </row>
    <row r="562">
      <c r="A562" s="17" t="n">
        <v>45638</v>
      </c>
      <c r="B562" s="18" t="n">
        <v>222264</v>
      </c>
      <c r="C562" s="10">
        <f>TEXT($A562,"YYYY-MM")</f>
        <v/>
      </c>
    </row>
    <row r="563">
      <c r="A563" s="17" t="n">
        <v>45639</v>
      </c>
      <c r="B563" s="18" t="n">
        <v>221672</v>
      </c>
      <c r="C563" s="10">
        <f>TEXT($A563,"YYYY-MM")</f>
        <v/>
      </c>
    </row>
    <row r="564">
      <c r="A564" s="17" t="n">
        <v>45640</v>
      </c>
      <c r="B564" s="18" t="n">
        <v>221223</v>
      </c>
      <c r="C564" s="10">
        <f>TEXT($A564,"YYYY-MM")</f>
        <v/>
      </c>
    </row>
    <row r="565">
      <c r="A565" s="17" t="n">
        <v>45641</v>
      </c>
      <c r="B565" s="18" t="n">
        <v>235055</v>
      </c>
      <c r="C565" s="10">
        <f>TEXT($A565,"YYYY-MM")</f>
        <v/>
      </c>
    </row>
    <row r="566">
      <c r="A566" s="17" t="n">
        <v>45642</v>
      </c>
      <c r="B566" s="18" t="n">
        <v>175117</v>
      </c>
      <c r="C566" s="10">
        <f>TEXT($A566,"YYYY-MM")</f>
        <v/>
      </c>
    </row>
    <row r="567">
      <c r="A567" s="17" t="n">
        <v>45643</v>
      </c>
      <c r="B567" s="18" t="n">
        <v>165500</v>
      </c>
      <c r="C567" s="10">
        <f>TEXT($A567,"YYYY-MM")</f>
        <v/>
      </c>
    </row>
    <row r="568">
      <c r="A568" s="17" t="n">
        <v>45644</v>
      </c>
      <c r="B568" s="18" t="n">
        <v>172605</v>
      </c>
      <c r="C568" s="10">
        <f>TEXT($A568,"YYYY-MM")</f>
        <v/>
      </c>
    </row>
    <row r="569">
      <c r="A569" s="17" t="n">
        <v>45645</v>
      </c>
      <c r="B569" s="18" t="n">
        <v>212872</v>
      </c>
      <c r="C569" s="10">
        <f>TEXT($A569,"YYYY-MM")</f>
        <v/>
      </c>
    </row>
    <row r="570">
      <c r="A570" s="17" t="n">
        <v>45646</v>
      </c>
      <c r="B570" s="18" t="n">
        <v>249545</v>
      </c>
      <c r="C570" s="10">
        <f>TEXT($A570,"YYYY-MM")</f>
        <v/>
      </c>
    </row>
    <row r="571">
      <c r="A571" s="17" t="n">
        <v>45647</v>
      </c>
      <c r="B571" s="18" t="n">
        <v>216564</v>
      </c>
      <c r="C571" s="10">
        <f>TEXT($A571,"YYYY-MM")</f>
        <v/>
      </c>
    </row>
    <row r="572">
      <c r="A572" s="17" t="n">
        <v>45648</v>
      </c>
      <c r="B572" s="18" t="n">
        <v>230149</v>
      </c>
      <c r="C572" s="10">
        <f>TEXT($A572,"YYYY-MM")</f>
        <v/>
      </c>
    </row>
    <row r="573">
      <c r="A573" s="17" t="n">
        <v>45649</v>
      </c>
      <c r="B573" s="18" t="n">
        <v>185793</v>
      </c>
      <c r="C573" s="10">
        <f>TEXT($A573,"YYYY-MM")</f>
        <v/>
      </c>
    </row>
    <row r="574">
      <c r="A574" s="17" t="n">
        <v>45650</v>
      </c>
      <c r="B574" s="18" t="n">
        <v>206465</v>
      </c>
      <c r="C574" s="10">
        <f>TEXT($A574,"YYYY-MM")</f>
        <v/>
      </c>
    </row>
    <row r="575">
      <c r="A575" s="17" t="n">
        <v>45651</v>
      </c>
      <c r="B575" s="18" t="n">
        <v>198977</v>
      </c>
      <c r="C575" s="10">
        <f>TEXT($A575,"YYYY-MM")</f>
        <v/>
      </c>
    </row>
    <row r="576">
      <c r="A576" s="17" t="n">
        <v>45652</v>
      </c>
      <c r="B576" s="18" t="n">
        <v>192896</v>
      </c>
      <c r="C576" s="10">
        <f>TEXT($A576,"YYYY-MM")</f>
        <v/>
      </c>
    </row>
    <row r="577">
      <c r="A577" s="17" t="n">
        <v>45653</v>
      </c>
      <c r="B577" s="18" t="n">
        <v>224107</v>
      </c>
      <c r="C577" s="10">
        <f>TEXT($A577,"YYYY-MM")</f>
        <v/>
      </c>
    </row>
    <row r="578">
      <c r="A578" s="17" t="n">
        <v>45654</v>
      </c>
      <c r="B578" s="18" t="n">
        <v>287984</v>
      </c>
      <c r="C578" s="10">
        <f>TEXT($A578,"YYYY-MM")</f>
        <v/>
      </c>
    </row>
    <row r="579">
      <c r="A579" s="17" t="n">
        <v>45655</v>
      </c>
      <c r="B579" s="18" t="n">
        <v>201332</v>
      </c>
      <c r="C579" s="10">
        <f>TEXT($A579,"YYYY-MM")</f>
        <v/>
      </c>
    </row>
    <row r="580">
      <c r="A580" s="17" t="n">
        <v>45656</v>
      </c>
      <c r="B580" s="18" t="n">
        <v>188730</v>
      </c>
      <c r="C580" s="10">
        <f>TEXT($A580,"YYYY-MM")</f>
        <v/>
      </c>
    </row>
    <row r="581">
      <c r="A581" s="17" t="n">
        <v>45657</v>
      </c>
      <c r="B581" s="18" t="n">
        <v>170352</v>
      </c>
      <c r="C581" s="10">
        <f>TEXT($A581,"YYYY-MM")</f>
        <v/>
      </c>
    </row>
    <row r="582">
      <c r="A582" s="17" t="n">
        <v>45658</v>
      </c>
      <c r="B582" s="18" t="n">
        <v>134740</v>
      </c>
      <c r="C582" s="10">
        <f>TEXT($A582,"YYYY-MM")</f>
        <v/>
      </c>
    </row>
    <row r="583">
      <c r="A583" s="17" t="n">
        <v>45659</v>
      </c>
      <c r="B583" s="18" t="n">
        <v>115305</v>
      </c>
      <c r="C583" s="10">
        <f>TEXT($A583,"YYYY-MM")</f>
        <v/>
      </c>
    </row>
    <row r="584">
      <c r="A584" s="17" t="n">
        <v>45660</v>
      </c>
      <c r="B584" s="18" t="n">
        <v>129112</v>
      </c>
      <c r="C584" s="10">
        <f>TEXT($A584,"YYYY-MM")</f>
        <v/>
      </c>
    </row>
    <row r="585">
      <c r="A585" s="17" t="n">
        <v>45661</v>
      </c>
      <c r="B585" s="18" t="n">
        <v>168093</v>
      </c>
      <c r="C585" s="10">
        <f>TEXT($A585,"YYYY-MM")</f>
        <v/>
      </c>
    </row>
    <row r="586">
      <c r="A586" s="17" t="n">
        <v>45662</v>
      </c>
      <c r="B586" s="18" t="n">
        <v>167310</v>
      </c>
      <c r="C586" s="10">
        <f>TEXT($A586,"YYYY-MM")</f>
        <v/>
      </c>
    </row>
    <row r="587">
      <c r="A587" s="17" t="n">
        <v>45663</v>
      </c>
      <c r="B587" s="18" t="n">
        <v>121647</v>
      </c>
      <c r="C587" s="10">
        <f>TEXT($A587,"YYYY-MM")</f>
        <v/>
      </c>
    </row>
    <row r="588">
      <c r="A588" s="17" t="n">
        <v>45664</v>
      </c>
      <c r="B588" s="18" t="n">
        <v>122622</v>
      </c>
      <c r="C588" s="10">
        <f>TEXT($A588,"YYYY-MM")</f>
        <v/>
      </c>
    </row>
    <row r="589">
      <c r="A589" s="17" t="n">
        <v>45665</v>
      </c>
      <c r="B589" s="18" t="n">
        <v>141603</v>
      </c>
      <c r="C589" s="10">
        <f>TEXT($A589,"YYYY-MM")</f>
        <v/>
      </c>
    </row>
    <row r="590">
      <c r="A590" s="17" t="n">
        <v>45666</v>
      </c>
      <c r="B590" s="18" t="n">
        <v>134820</v>
      </c>
      <c r="C590" s="10">
        <f>TEXT($A590,"YYYY-MM")</f>
        <v/>
      </c>
    </row>
    <row r="591">
      <c r="A591" s="17" t="n">
        <v>45667</v>
      </c>
      <c r="B591" s="18" t="n">
        <v>129064</v>
      </c>
      <c r="C591" s="10">
        <f>TEXT($A591,"YYYY-MM")</f>
        <v/>
      </c>
    </row>
    <row r="592">
      <c r="A592" s="17" t="n">
        <v>45668</v>
      </c>
      <c r="B592" s="18" t="n">
        <v>191673</v>
      </c>
      <c r="C592" s="10">
        <f>TEXT($A592,"YYYY-MM")</f>
        <v/>
      </c>
    </row>
    <row r="593">
      <c r="A593" s="17" t="n">
        <v>45669</v>
      </c>
      <c r="B593" s="18" t="n">
        <v>150117</v>
      </c>
      <c r="C593" s="10">
        <f>TEXT($A593,"YYYY-MM")</f>
        <v/>
      </c>
    </row>
    <row r="594">
      <c r="A594" s="17" t="n">
        <v>45670</v>
      </c>
      <c r="B594" s="18" t="n">
        <v>113159</v>
      </c>
      <c r="C594" s="10">
        <f>TEXT($A594,"YYYY-MM")</f>
        <v/>
      </c>
    </row>
    <row r="595">
      <c r="A595" s="17" t="n">
        <v>45671</v>
      </c>
      <c r="B595" s="18" t="n">
        <v>113287</v>
      </c>
      <c r="C595" s="10">
        <f>TEXT($A595,"YYYY-MM")</f>
        <v/>
      </c>
    </row>
    <row r="596">
      <c r="A596" s="17" t="n">
        <v>45672</v>
      </c>
      <c r="B596" s="18" t="n">
        <v>141139</v>
      </c>
      <c r="C596" s="10">
        <f>TEXT($A596,"YYYY-MM")</f>
        <v/>
      </c>
    </row>
    <row r="597">
      <c r="A597" s="17" t="n">
        <v>45673</v>
      </c>
      <c r="B597" s="18" t="n">
        <v>143118</v>
      </c>
      <c r="C597" s="10">
        <f>TEXT($A597,"YYYY-MM")</f>
        <v/>
      </c>
    </row>
    <row r="598">
      <c r="A598" s="17" t="n">
        <v>45674</v>
      </c>
      <c r="B598" s="18" t="n">
        <v>131394</v>
      </c>
      <c r="C598" s="10">
        <f>TEXT($A598,"YYYY-MM")</f>
        <v/>
      </c>
    </row>
    <row r="599">
      <c r="A599" s="17" t="n">
        <v>45675</v>
      </c>
      <c r="B599" s="18" t="n">
        <v>177171</v>
      </c>
      <c r="C599" s="10">
        <f>TEXT($A599,"YYYY-MM")</f>
        <v/>
      </c>
    </row>
    <row r="600">
      <c r="A600" s="17" t="n">
        <v>45676</v>
      </c>
      <c r="B600" s="18" t="n">
        <v>144905</v>
      </c>
      <c r="C600" s="10">
        <f>TEXT($A600,"YYYY-MM")</f>
        <v/>
      </c>
    </row>
    <row r="601">
      <c r="A601" s="17" t="n">
        <v>45677</v>
      </c>
      <c r="B601" s="18" t="n">
        <v>137795</v>
      </c>
      <c r="C601" s="10">
        <f>TEXT($A601,"YYYY-MM")</f>
        <v/>
      </c>
    </row>
    <row r="602">
      <c r="A602" s="17" t="n">
        <v>45678</v>
      </c>
      <c r="B602" s="18" t="n">
        <v>140315</v>
      </c>
      <c r="C602" s="10">
        <f>TEXT($A602,"YYYY-MM")</f>
        <v/>
      </c>
    </row>
    <row r="603">
      <c r="A603" s="17" t="n">
        <v>45679</v>
      </c>
      <c r="B603" s="18" t="n">
        <v>140263</v>
      </c>
      <c r="C603" s="10">
        <f>TEXT($A603,"YYYY-MM")</f>
        <v/>
      </c>
    </row>
    <row r="604">
      <c r="A604" s="17" t="n">
        <v>45680</v>
      </c>
      <c r="B604" s="18" t="n">
        <v>154348</v>
      </c>
      <c r="C604" s="10">
        <f>TEXT($A604,"YYYY-MM")</f>
        <v/>
      </c>
    </row>
    <row r="605">
      <c r="A605" s="17" t="n">
        <v>45681</v>
      </c>
      <c r="B605" s="18" t="n">
        <v>150560</v>
      </c>
      <c r="C605" s="10">
        <f>TEXT($A605,"YYYY-MM")</f>
        <v/>
      </c>
    </row>
    <row r="606">
      <c r="A606" s="17" t="n">
        <v>45682</v>
      </c>
      <c r="B606" s="18" t="n">
        <v>142773</v>
      </c>
      <c r="C606" s="10">
        <f>TEXT($A606,"YYYY-MM")</f>
        <v/>
      </c>
    </row>
    <row r="607">
      <c r="A607" s="17" t="n">
        <v>45683</v>
      </c>
      <c r="B607" s="18" t="n">
        <v>168932</v>
      </c>
      <c r="C607" s="10">
        <f>TEXT($A607,"YYYY-MM")</f>
        <v/>
      </c>
    </row>
    <row r="608">
      <c r="A608" s="17" t="n">
        <v>45684</v>
      </c>
      <c r="B608" s="18" t="n">
        <v>130753</v>
      </c>
      <c r="C608" s="10">
        <f>TEXT($A608,"YYYY-MM")</f>
        <v/>
      </c>
    </row>
    <row r="609">
      <c r="A609" s="17" t="n">
        <v>45685</v>
      </c>
      <c r="B609" s="18" t="n">
        <v>136705</v>
      </c>
      <c r="C609" s="10">
        <f>TEXT($A609,"YYYY-MM")</f>
        <v/>
      </c>
    </row>
    <row r="610">
      <c r="A610" s="17" t="n">
        <v>45686</v>
      </c>
      <c r="B610" s="18" t="n">
        <v>123100</v>
      </c>
      <c r="C610" s="10">
        <f>TEXT($A610,"YYYY-MM")</f>
        <v/>
      </c>
    </row>
    <row r="611">
      <c r="A611" s="17" t="n">
        <v>45687</v>
      </c>
      <c r="B611" s="18" t="n">
        <v>121646</v>
      </c>
      <c r="C611" s="10">
        <f>TEXT($A611,"YYYY-MM")</f>
        <v/>
      </c>
    </row>
    <row r="612">
      <c r="A612" s="17" t="n">
        <v>45688</v>
      </c>
      <c r="B612" s="18" t="n">
        <v>133452</v>
      </c>
      <c r="C612" s="10">
        <f>TEXT($A612,"YYYY-MM")</f>
        <v/>
      </c>
    </row>
    <row r="613">
      <c r="A613" s="17" t="n">
        <v>45689</v>
      </c>
      <c r="B613" s="18" t="n">
        <v>163769</v>
      </c>
      <c r="C613" s="10">
        <f>TEXT($A613,"YYYY-MM")</f>
        <v/>
      </c>
    </row>
    <row r="614">
      <c r="A614" s="17" t="n">
        <v>45690</v>
      </c>
      <c r="B614" s="18" t="n">
        <v>143669</v>
      </c>
      <c r="C614" s="10">
        <f>TEXT($A614,"YYYY-MM")</f>
        <v/>
      </c>
    </row>
    <row r="615">
      <c r="A615" s="17" t="n">
        <v>45691</v>
      </c>
      <c r="B615" s="18" t="n">
        <v>137488</v>
      </c>
      <c r="C615" s="10">
        <f>TEXT($A615,"YYYY-MM")</f>
        <v/>
      </c>
    </row>
    <row r="616">
      <c r="A616" s="17" t="n">
        <v>45692</v>
      </c>
      <c r="B616" s="18" t="n">
        <v>122401</v>
      </c>
      <c r="C616" s="10">
        <f>TEXT($A616,"YYYY-MM")</f>
        <v/>
      </c>
    </row>
    <row r="617">
      <c r="A617" s="17" t="n">
        <v>45693</v>
      </c>
      <c r="B617" s="18" t="n">
        <v>141558</v>
      </c>
      <c r="C617" s="10">
        <f>TEXT($A617,"YYYY-MM")</f>
        <v/>
      </c>
    </row>
    <row r="618">
      <c r="A618" s="17" t="n">
        <v>45694</v>
      </c>
      <c r="B618" s="18" t="n">
        <v>120838</v>
      </c>
      <c r="C618" s="10">
        <f>TEXT($A618,"YYYY-MM")</f>
        <v/>
      </c>
    </row>
    <row r="619">
      <c r="A619" s="17" t="n">
        <v>45695</v>
      </c>
      <c r="B619" s="18" t="n">
        <v>151836</v>
      </c>
      <c r="C619" s="10">
        <f>TEXT($A619,"YYYY-MM")</f>
        <v/>
      </c>
    </row>
    <row r="620">
      <c r="A620" s="17" t="n">
        <v>45696</v>
      </c>
      <c r="B620" s="18" t="n">
        <v>142930</v>
      </c>
      <c r="C620" s="10">
        <f>TEXT($A620,"YYYY-MM")</f>
        <v/>
      </c>
    </row>
    <row r="621">
      <c r="A621" s="17" t="n">
        <v>45697</v>
      </c>
      <c r="B621" s="18" t="n">
        <v>151584</v>
      </c>
      <c r="C621" s="10">
        <f>TEXT($A621,"YYYY-MM")</f>
        <v/>
      </c>
    </row>
    <row r="622">
      <c r="A622" s="17" t="n">
        <v>45698</v>
      </c>
      <c r="B622" s="18" t="n">
        <v>105294</v>
      </c>
      <c r="C622" s="10">
        <f>TEXT($A622,"YYYY-MM")</f>
        <v/>
      </c>
    </row>
    <row r="623">
      <c r="A623" s="17" t="n">
        <v>45699</v>
      </c>
      <c r="B623" s="18" t="n">
        <v>133203</v>
      </c>
      <c r="C623" s="10">
        <f>TEXT($A623,"YYYY-MM")</f>
        <v/>
      </c>
    </row>
    <row r="624">
      <c r="A624" s="17" t="n">
        <v>45700</v>
      </c>
      <c r="B624" s="18" t="n">
        <v>107781</v>
      </c>
      <c r="C624" s="10">
        <f>TEXT($A624,"YYYY-MM")</f>
        <v/>
      </c>
    </row>
    <row r="625">
      <c r="A625" s="17" t="n">
        <v>45701</v>
      </c>
      <c r="B625" s="18" t="n">
        <v>137078</v>
      </c>
      <c r="C625" s="10">
        <f>TEXT($A625,"YYYY-MM")</f>
        <v/>
      </c>
    </row>
    <row r="626">
      <c r="A626" s="17" t="n">
        <v>45702</v>
      </c>
      <c r="B626" s="18" t="n">
        <v>141347</v>
      </c>
      <c r="C626" s="10">
        <f>TEXT($A626,"YYYY-MM")</f>
        <v/>
      </c>
    </row>
    <row r="627">
      <c r="A627" s="17" t="n">
        <v>45703</v>
      </c>
      <c r="B627" s="18" t="n">
        <v>145892</v>
      </c>
      <c r="C627" s="10">
        <f>TEXT($A627,"YYYY-MM")</f>
        <v/>
      </c>
    </row>
    <row r="628">
      <c r="A628" s="17" t="n">
        <v>45704</v>
      </c>
      <c r="B628" s="18" t="n">
        <v>142218</v>
      </c>
      <c r="C628" s="10">
        <f>TEXT($A628,"YYYY-MM")</f>
        <v/>
      </c>
    </row>
    <row r="629">
      <c r="A629" s="17" t="n">
        <v>45705</v>
      </c>
      <c r="B629" s="18" t="n">
        <v>127331</v>
      </c>
      <c r="C629" s="10">
        <f>TEXT($A629,"YYYY-MM")</f>
        <v/>
      </c>
    </row>
    <row r="630">
      <c r="A630" s="17" t="n">
        <v>45706</v>
      </c>
      <c r="B630" s="18" t="n">
        <v>108088</v>
      </c>
      <c r="C630" s="10">
        <f>TEXT($A630,"YYYY-MM")</f>
        <v/>
      </c>
    </row>
    <row r="631">
      <c r="A631" s="17" t="n">
        <v>45707</v>
      </c>
      <c r="B631" s="18" t="n">
        <v>125268</v>
      </c>
      <c r="C631" s="10">
        <f>TEXT($A631,"YYYY-MM")</f>
        <v/>
      </c>
    </row>
    <row r="632">
      <c r="A632" s="17" t="n">
        <v>45708</v>
      </c>
      <c r="B632" s="18" t="n">
        <v>133056</v>
      </c>
      <c r="C632" s="10">
        <f>TEXT($A632,"YYYY-MM")</f>
        <v/>
      </c>
    </row>
    <row r="633">
      <c r="A633" s="17" t="n">
        <v>45709</v>
      </c>
      <c r="B633" s="18" t="n">
        <v>149925</v>
      </c>
      <c r="C633" s="10">
        <f>TEXT($A633,"YYYY-MM")</f>
        <v/>
      </c>
    </row>
    <row r="634">
      <c r="A634" s="17" t="n">
        <v>45710</v>
      </c>
      <c r="B634" s="18" t="n">
        <v>140934</v>
      </c>
      <c r="C634" s="10">
        <f>TEXT($A634,"YYYY-MM")</f>
        <v/>
      </c>
    </row>
    <row r="635">
      <c r="A635" s="17" t="n">
        <v>45711</v>
      </c>
      <c r="B635" s="18" t="n">
        <v>152639</v>
      </c>
      <c r="C635" s="10">
        <f>TEXT($A635,"YYYY-MM")</f>
        <v/>
      </c>
    </row>
    <row r="636">
      <c r="A636" s="17" t="n">
        <v>45712</v>
      </c>
      <c r="B636" s="18" t="n">
        <v>107118</v>
      </c>
      <c r="C636" s="10">
        <f>TEXT($A636,"YYYY-MM")</f>
        <v/>
      </c>
    </row>
    <row r="637">
      <c r="A637" s="17" t="n">
        <v>45713</v>
      </c>
      <c r="B637" s="18" t="n">
        <v>104469</v>
      </c>
      <c r="C637" s="10">
        <f>TEXT($A637,"YYYY-MM")</f>
        <v/>
      </c>
    </row>
    <row r="638">
      <c r="A638" s="17" t="n">
        <v>45714</v>
      </c>
      <c r="B638" s="18" t="n">
        <v>140118</v>
      </c>
      <c r="C638" s="10">
        <f>TEXT($A638,"YYYY-MM")</f>
        <v/>
      </c>
    </row>
    <row r="639">
      <c r="A639" s="17" t="n">
        <v>45715</v>
      </c>
      <c r="B639" s="18" t="n">
        <v>115779</v>
      </c>
      <c r="C639" s="10">
        <f>TEXT($A639,"YYYY-MM")</f>
        <v/>
      </c>
    </row>
    <row r="640">
      <c r="A640" s="17" t="n">
        <v>45716</v>
      </c>
      <c r="B640" s="18" t="n">
        <v>153159</v>
      </c>
      <c r="C640" s="10">
        <f>TEXT($A640,"YYYY-MM")</f>
        <v/>
      </c>
    </row>
    <row r="641">
      <c r="A641" s="17" t="n">
        <v>45717</v>
      </c>
      <c r="B641" s="18" t="n">
        <v>149069</v>
      </c>
      <c r="C641" s="10">
        <f>TEXT($A641,"YYYY-MM")</f>
        <v/>
      </c>
    </row>
    <row r="642">
      <c r="A642" s="17" t="n">
        <v>45718</v>
      </c>
      <c r="B642" s="18" t="n">
        <v>155916</v>
      </c>
      <c r="C642" s="10">
        <f>TEXT($A642,"YYYY-MM")</f>
        <v/>
      </c>
    </row>
    <row r="643">
      <c r="A643" s="17" t="n">
        <v>45719</v>
      </c>
      <c r="B643" s="18" t="n">
        <v>140098</v>
      </c>
      <c r="C643" s="10">
        <f>TEXT($A643,"YYYY-MM")</f>
        <v/>
      </c>
    </row>
    <row r="644">
      <c r="A644" s="17" t="n">
        <v>45720</v>
      </c>
      <c r="B644" s="18" t="n">
        <v>144160</v>
      </c>
      <c r="C644" s="10">
        <f>TEXT($A644,"YYYY-MM")</f>
        <v/>
      </c>
    </row>
    <row r="645">
      <c r="A645" s="17" t="n">
        <v>45721</v>
      </c>
      <c r="B645" s="18" t="n">
        <v>137566</v>
      </c>
      <c r="C645" s="10">
        <f>TEXT($A645,"YYYY-MM")</f>
        <v/>
      </c>
    </row>
    <row r="646">
      <c r="A646" s="17" t="n">
        <v>45722</v>
      </c>
      <c r="B646" s="18" t="n">
        <v>129601</v>
      </c>
      <c r="C646" s="10">
        <f>TEXT($A646,"YYYY-MM")</f>
        <v/>
      </c>
    </row>
    <row r="647">
      <c r="A647" s="17" t="n">
        <v>45723</v>
      </c>
      <c r="B647" s="18" t="n">
        <v>133604</v>
      </c>
      <c r="C647" s="10">
        <f>TEXT($A647,"YYYY-MM")</f>
        <v/>
      </c>
    </row>
    <row r="648">
      <c r="A648" s="17" t="n">
        <v>45724</v>
      </c>
      <c r="B648" s="18" t="n">
        <v>184566</v>
      </c>
      <c r="C648" s="10">
        <f>TEXT($A648,"YYYY-MM")</f>
        <v/>
      </c>
    </row>
    <row r="649">
      <c r="A649" s="17" t="n">
        <v>45725</v>
      </c>
      <c r="B649" s="18" t="n">
        <v>165008</v>
      </c>
      <c r="C649" s="10">
        <f>TEXT($A649,"YYYY-MM")</f>
        <v/>
      </c>
    </row>
    <row r="650">
      <c r="A650" s="17" t="n">
        <v>45726</v>
      </c>
      <c r="B650" s="18" t="n">
        <v>137726</v>
      </c>
      <c r="C650" s="10">
        <f>TEXT($A650,"YYYY-MM")</f>
        <v/>
      </c>
    </row>
    <row r="651">
      <c r="A651" s="17" t="n">
        <v>45727</v>
      </c>
      <c r="B651" s="18" t="n">
        <v>143974</v>
      </c>
      <c r="C651" s="10">
        <f>TEXT($A651,"YYYY-MM")</f>
        <v/>
      </c>
    </row>
    <row r="652">
      <c r="A652" s="17" t="n">
        <v>45728</v>
      </c>
      <c r="B652" s="18" t="n">
        <v>128941</v>
      </c>
      <c r="C652" s="10">
        <f>TEXT($A652,"YYYY-MM")</f>
        <v/>
      </c>
    </row>
    <row r="653">
      <c r="A653" s="17" t="n">
        <v>45729</v>
      </c>
      <c r="B653" s="18" t="n">
        <v>137142</v>
      </c>
      <c r="C653" s="10">
        <f>TEXT($A653,"YYYY-MM")</f>
        <v/>
      </c>
    </row>
    <row r="654">
      <c r="A654" s="17" t="n">
        <v>45730</v>
      </c>
      <c r="B654" s="18" t="n">
        <v>168469</v>
      </c>
      <c r="C654" s="10">
        <f>TEXT($A654,"YYYY-MM")</f>
        <v/>
      </c>
    </row>
    <row r="655">
      <c r="A655" s="17" t="n">
        <v>45731</v>
      </c>
      <c r="B655" s="18" t="n">
        <v>173285</v>
      </c>
      <c r="C655" s="10">
        <f>TEXT($A655,"YYYY-MM")</f>
        <v/>
      </c>
    </row>
    <row r="656">
      <c r="A656" s="17" t="n">
        <v>45732</v>
      </c>
      <c r="B656" s="18" t="n">
        <v>175913</v>
      </c>
      <c r="C656" s="10">
        <f>TEXT($A656,"YYYY-MM")</f>
        <v/>
      </c>
    </row>
    <row r="657">
      <c r="A657" s="17" t="n">
        <v>45733</v>
      </c>
      <c r="B657" s="18" t="n">
        <v>118349</v>
      </c>
      <c r="C657" s="10">
        <f>TEXT($A657,"YYYY-MM")</f>
        <v/>
      </c>
    </row>
    <row r="658">
      <c r="A658" s="17" t="n">
        <v>45734</v>
      </c>
      <c r="B658" s="18" t="n">
        <v>139287</v>
      </c>
      <c r="C658" s="10">
        <f>TEXT($A658,"YYYY-MM")</f>
        <v/>
      </c>
    </row>
    <row r="659">
      <c r="A659" s="17" t="n">
        <v>45735</v>
      </c>
      <c r="B659" s="18" t="n">
        <v>134703</v>
      </c>
      <c r="C659" s="10">
        <f>TEXT($A659,"YYYY-MM")</f>
        <v/>
      </c>
    </row>
    <row r="660">
      <c r="A660" s="17" t="n">
        <v>45736</v>
      </c>
      <c r="B660" s="18" t="n">
        <v>129955</v>
      </c>
      <c r="C660" s="10">
        <f>TEXT($A660,"YYYY-MM")</f>
        <v/>
      </c>
    </row>
    <row r="661">
      <c r="A661" s="17" t="n">
        <v>45737</v>
      </c>
      <c r="B661" s="18" t="n">
        <v>167353</v>
      </c>
      <c r="C661" s="10">
        <f>TEXT($A661,"YYYY-MM")</f>
        <v/>
      </c>
    </row>
    <row r="662">
      <c r="A662" s="17" t="n">
        <v>45738</v>
      </c>
      <c r="B662" s="18" t="n">
        <v>182628</v>
      </c>
      <c r="C662" s="10">
        <f>TEXT($A662,"YYYY-MM")</f>
        <v/>
      </c>
    </row>
    <row r="663">
      <c r="A663" s="17" t="n">
        <v>45739</v>
      </c>
      <c r="B663" s="18" t="n">
        <v>154108</v>
      </c>
      <c r="C663" s="10">
        <f>TEXT($A663,"YYYY-MM")</f>
        <v/>
      </c>
    </row>
    <row r="664">
      <c r="A664" s="17" t="n">
        <v>45740</v>
      </c>
      <c r="B664" s="18" t="n">
        <v>121129</v>
      </c>
      <c r="C664" s="10">
        <f>TEXT($A664,"YYYY-MM")</f>
        <v/>
      </c>
    </row>
    <row r="665">
      <c r="A665" s="17" t="n">
        <v>45741</v>
      </c>
      <c r="B665" s="18" t="n">
        <v>151133</v>
      </c>
      <c r="C665" s="10">
        <f>TEXT($A665,"YYYY-MM")</f>
        <v/>
      </c>
    </row>
    <row r="666">
      <c r="A666" s="17" t="n">
        <v>45742</v>
      </c>
      <c r="B666" s="18" t="n">
        <v>139325</v>
      </c>
      <c r="C666" s="10">
        <f>TEXT($A666,"YYYY-MM")</f>
        <v/>
      </c>
    </row>
    <row r="667">
      <c r="A667" s="17" t="n">
        <v>45743</v>
      </c>
      <c r="B667" s="18" t="n">
        <v>135872</v>
      </c>
      <c r="C667" s="10">
        <f>TEXT($A667,"YYYY-MM")</f>
        <v/>
      </c>
    </row>
    <row r="668">
      <c r="A668" s="17" t="n">
        <v>45744</v>
      </c>
      <c r="B668" s="18" t="n">
        <v>151172</v>
      </c>
      <c r="C668" s="10">
        <f>TEXT($A668,"YYYY-MM")</f>
        <v/>
      </c>
    </row>
    <row r="669">
      <c r="A669" s="17" t="n">
        <v>45745</v>
      </c>
      <c r="B669" s="18" t="n">
        <v>194300</v>
      </c>
      <c r="C669" s="10">
        <f>TEXT($A669,"YYYY-MM")</f>
        <v/>
      </c>
    </row>
    <row r="670">
      <c r="A670" s="17" t="n">
        <v>45746</v>
      </c>
      <c r="B670" s="18" t="n">
        <v>158961</v>
      </c>
      <c r="C670" s="10">
        <f>TEXT($A670,"YYYY-MM")</f>
        <v/>
      </c>
    </row>
    <row r="671">
      <c r="A671" s="17" t="n">
        <v>45747</v>
      </c>
      <c r="B671" s="18" t="n">
        <v>125635</v>
      </c>
      <c r="C671" s="10">
        <f>TEXT($A671,"YYYY-MM")</f>
        <v/>
      </c>
    </row>
    <row r="672">
      <c r="A672" s="17" t="n">
        <v>45748</v>
      </c>
      <c r="B672" s="18" t="n">
        <v>135749</v>
      </c>
      <c r="C672" s="10">
        <f>TEXT($A672,"YYYY-MM")</f>
        <v/>
      </c>
    </row>
    <row r="673">
      <c r="A673" s="17" t="n">
        <v>45749</v>
      </c>
      <c r="B673" s="18" t="n">
        <v>149671</v>
      </c>
      <c r="C673" s="10">
        <f>TEXT($A673,"YYYY-MM")</f>
        <v/>
      </c>
    </row>
    <row r="674">
      <c r="A674" s="17" t="n">
        <v>45750</v>
      </c>
      <c r="B674" s="18" t="n">
        <v>170986</v>
      </c>
      <c r="C674" s="10">
        <f>TEXT($A674,"YYYY-MM")</f>
        <v/>
      </c>
    </row>
    <row r="675">
      <c r="A675" s="17" t="n">
        <v>45751</v>
      </c>
      <c r="B675" s="18" t="n">
        <v>196991</v>
      </c>
      <c r="C675" s="10">
        <f>TEXT($A675,"YYYY-MM")</f>
        <v/>
      </c>
    </row>
    <row r="676">
      <c r="A676" s="17" t="n">
        <v>45752</v>
      </c>
      <c r="B676" s="18" t="n">
        <v>203010</v>
      </c>
      <c r="C676" s="10">
        <f>TEXT($A676,"YYYY-MM")</f>
        <v/>
      </c>
    </row>
    <row r="677">
      <c r="A677" s="17" t="n">
        <v>45753</v>
      </c>
      <c r="B677" s="18" t="n">
        <v>199517</v>
      </c>
      <c r="C677" s="10">
        <f>TEXT($A677,"YYYY-MM")</f>
        <v/>
      </c>
    </row>
    <row r="678">
      <c r="A678" s="17" t="n">
        <v>45754</v>
      </c>
      <c r="B678" s="18" t="n">
        <v>134416</v>
      </c>
      <c r="C678" s="10">
        <f>TEXT($A678,"YYYY-MM")</f>
        <v/>
      </c>
    </row>
    <row r="679">
      <c r="A679" s="17" t="n">
        <v>45755</v>
      </c>
      <c r="B679" s="18" t="n">
        <v>133797</v>
      </c>
      <c r="C679" s="10">
        <f>TEXT($A679,"YYYY-MM")</f>
        <v/>
      </c>
    </row>
    <row r="680">
      <c r="A680" s="17" t="n">
        <v>45756</v>
      </c>
      <c r="B680" s="18" t="n">
        <v>138388</v>
      </c>
      <c r="C680" s="10">
        <f>TEXT($A680,"YYYY-MM")</f>
        <v/>
      </c>
    </row>
    <row r="681">
      <c r="A681" s="17" t="n">
        <v>45757</v>
      </c>
      <c r="B681" s="18" t="n">
        <v>167084</v>
      </c>
      <c r="C681" s="10">
        <f>TEXT($A681,"YYYY-MM")</f>
        <v/>
      </c>
    </row>
    <row r="682">
      <c r="A682" s="17" t="n">
        <v>45758</v>
      </c>
      <c r="B682" s="18" t="n">
        <v>168014</v>
      </c>
      <c r="C682" s="10">
        <f>TEXT($A682,"YYYY-MM")</f>
        <v/>
      </c>
    </row>
    <row r="683">
      <c r="A683" s="17" t="n">
        <v>45759</v>
      </c>
      <c r="B683" s="18" t="n">
        <v>211468</v>
      </c>
      <c r="C683" s="10">
        <f>TEXT($A683,"YYYY-MM")</f>
        <v/>
      </c>
    </row>
    <row r="684">
      <c r="A684" s="17" t="n">
        <v>45760</v>
      </c>
      <c r="B684" s="18" t="n">
        <v>204256</v>
      </c>
      <c r="C684" s="10">
        <f>TEXT($A684,"YYYY-MM")</f>
        <v/>
      </c>
    </row>
    <row r="685">
      <c r="A685" s="17" t="n">
        <v>45761</v>
      </c>
      <c r="B685" s="18" t="n">
        <v>146836</v>
      </c>
      <c r="C685" s="10">
        <f>TEXT($A685,"YYYY-MM")</f>
        <v/>
      </c>
    </row>
    <row r="686">
      <c r="A686" s="17" t="n">
        <v>45762</v>
      </c>
      <c r="B686" s="18" t="n">
        <v>169145</v>
      </c>
      <c r="C686" s="10">
        <f>TEXT($A686,"YYYY-MM")</f>
        <v/>
      </c>
    </row>
    <row r="687">
      <c r="A687" s="17" t="n">
        <v>45763</v>
      </c>
      <c r="B687" s="18" t="n">
        <v>157541</v>
      </c>
      <c r="C687" s="10">
        <f>TEXT($A687,"YYYY-MM")</f>
        <v/>
      </c>
    </row>
    <row r="688">
      <c r="A688" s="17" t="n">
        <v>45764</v>
      </c>
      <c r="B688" s="18" t="n">
        <v>151607</v>
      </c>
      <c r="C688" s="10">
        <f>TEXT($A688,"YYYY-MM")</f>
        <v/>
      </c>
    </row>
    <row r="689">
      <c r="A689" s="17" t="n">
        <v>45765</v>
      </c>
      <c r="B689" s="18" t="n">
        <v>173488</v>
      </c>
      <c r="C689" s="10">
        <f>TEXT($A689,"YYYY-MM")</f>
        <v/>
      </c>
    </row>
    <row r="690">
      <c r="A690" s="17" t="n">
        <v>45766</v>
      </c>
      <c r="B690" s="18" t="n">
        <v>224632</v>
      </c>
      <c r="C690" s="10">
        <f>TEXT($A690,"YYYY-MM")</f>
        <v/>
      </c>
    </row>
    <row r="691">
      <c r="A691" s="17" t="n">
        <v>45767</v>
      </c>
      <c r="B691" s="18" t="n">
        <v>189224</v>
      </c>
      <c r="C691" s="10">
        <f>TEXT($A691,"YYYY-MM")</f>
        <v/>
      </c>
    </row>
    <row r="692">
      <c r="A692" s="17" t="n">
        <v>45768</v>
      </c>
      <c r="B692" s="18" t="n">
        <v>141021</v>
      </c>
      <c r="C692" s="10">
        <f>TEXT($A692,"YYYY-MM")</f>
        <v/>
      </c>
    </row>
    <row r="693">
      <c r="A693" s="17" t="n">
        <v>45769</v>
      </c>
      <c r="B693" s="18" t="n">
        <v>148218</v>
      </c>
      <c r="C693" s="10">
        <f>TEXT($A693,"YYYY-MM")</f>
        <v/>
      </c>
    </row>
    <row r="694">
      <c r="A694" s="17" t="n">
        <v>45770</v>
      </c>
      <c r="B694" s="18" t="n">
        <v>131542</v>
      </c>
      <c r="C694" s="10">
        <f>TEXT($A694,"YYYY-MM")</f>
        <v/>
      </c>
    </row>
    <row r="695">
      <c r="A695" s="17" t="n">
        <v>45771</v>
      </c>
      <c r="B695" s="18" t="n">
        <v>173544</v>
      </c>
      <c r="C695" s="10">
        <f>TEXT($A695,"YYYY-MM")</f>
        <v/>
      </c>
    </row>
    <row r="696">
      <c r="A696" s="17" t="n">
        <v>45772</v>
      </c>
      <c r="B696" s="18" t="n">
        <v>168684</v>
      </c>
      <c r="C696" s="10">
        <f>TEXT($A696,"YYYY-MM")</f>
        <v/>
      </c>
    </row>
    <row r="697">
      <c r="A697" s="17" t="n">
        <v>45773</v>
      </c>
      <c r="B697" s="18" t="n">
        <v>207833</v>
      </c>
      <c r="C697" s="10">
        <f>TEXT($A697,"YYYY-MM")</f>
        <v/>
      </c>
    </row>
    <row r="698">
      <c r="A698" s="17" t="n">
        <v>45774</v>
      </c>
      <c r="B698" s="18" t="n">
        <v>197365</v>
      </c>
      <c r="C698" s="10">
        <f>TEXT($A698,"YYYY-MM")</f>
        <v/>
      </c>
    </row>
    <row r="699">
      <c r="A699" s="17" t="n">
        <v>45775</v>
      </c>
      <c r="B699" s="18" t="n">
        <v>154063</v>
      </c>
      <c r="C699" s="10">
        <f>TEXT($A699,"YYYY-MM")</f>
        <v/>
      </c>
    </row>
    <row r="700">
      <c r="A700" s="17" t="n">
        <v>45776</v>
      </c>
      <c r="B700" s="18" t="n">
        <v>136237</v>
      </c>
      <c r="C700" s="10">
        <f>TEXT($A700,"YYYY-MM")</f>
        <v/>
      </c>
    </row>
    <row r="701">
      <c r="A701" s="17" t="n">
        <v>45777</v>
      </c>
      <c r="B701" s="18" t="n">
        <v>144227</v>
      </c>
      <c r="C701" s="10">
        <f>TEXT($A701,"YYYY-MM")</f>
        <v/>
      </c>
    </row>
    <row r="702">
      <c r="A702" s="17" t="n">
        <v>45778</v>
      </c>
      <c r="B702" s="18" t="n">
        <v>213360</v>
      </c>
      <c r="C702" s="10">
        <f>TEXT($A702,"YYYY-MM")</f>
        <v/>
      </c>
    </row>
    <row r="703">
      <c r="A703" s="17" t="n">
        <v>45779</v>
      </c>
      <c r="B703" s="18" t="n">
        <v>247046</v>
      </c>
      <c r="C703" s="10">
        <f>TEXT($A703,"YYYY-MM")</f>
        <v/>
      </c>
    </row>
    <row r="704">
      <c r="A704" s="17" t="n">
        <v>45780</v>
      </c>
      <c r="B704" s="18" t="n">
        <v>319521</v>
      </c>
      <c r="C704" s="10">
        <f>TEXT($A704,"YYYY-MM")</f>
        <v/>
      </c>
    </row>
    <row r="705">
      <c r="A705" s="17" t="n">
        <v>45781</v>
      </c>
      <c r="B705" s="18" t="n">
        <v>267680</v>
      </c>
      <c r="C705" s="10">
        <f>TEXT($A705,"YYYY-MM")</f>
        <v/>
      </c>
    </row>
    <row r="706">
      <c r="A706" s="17" t="n">
        <v>45782</v>
      </c>
      <c r="B706" s="18" t="n">
        <v>250647</v>
      </c>
      <c r="C706" s="10">
        <f>TEXT($A706,"YYYY-MM")</f>
        <v/>
      </c>
    </row>
    <row r="707">
      <c r="A707" s="17" t="n">
        <v>45783</v>
      </c>
      <c r="B707" s="18" t="n">
        <v>224131</v>
      </c>
      <c r="C707" s="10">
        <f>TEXT($A707,"YYYY-MM")</f>
        <v/>
      </c>
    </row>
    <row r="708">
      <c r="A708" s="17" t="n">
        <v>45784</v>
      </c>
      <c r="B708" s="18" t="n">
        <v>243844</v>
      </c>
      <c r="C708" s="10">
        <f>TEXT($A708,"YYYY-MM")</f>
        <v/>
      </c>
    </row>
    <row r="709">
      <c r="A709" s="17" t="n">
        <v>45785</v>
      </c>
      <c r="B709" s="18" t="n">
        <v>206879</v>
      </c>
      <c r="C709" s="10">
        <f>TEXT($A709,"YYYY-MM")</f>
        <v/>
      </c>
    </row>
    <row r="710">
      <c r="A710" s="17" t="n">
        <v>45786</v>
      </c>
      <c r="B710" s="18" t="n">
        <v>246292</v>
      </c>
      <c r="C710" s="10">
        <f>TEXT($A710,"YYYY-MM")</f>
        <v/>
      </c>
    </row>
    <row r="711">
      <c r="A711" s="17" t="n">
        <v>45787</v>
      </c>
      <c r="B711" s="18" t="n">
        <v>270821</v>
      </c>
      <c r="C711" s="10">
        <f>TEXT($A711,"YYYY-MM")</f>
        <v/>
      </c>
    </row>
    <row r="712">
      <c r="A712" s="17" t="n">
        <v>45788</v>
      </c>
      <c r="B712" s="18" t="n">
        <v>283853</v>
      </c>
      <c r="C712" s="10">
        <f>TEXT($A712,"YYYY-MM")</f>
        <v/>
      </c>
    </row>
    <row r="713">
      <c r="A713" s="17" t="n">
        <v>45789</v>
      </c>
      <c r="B713" s="18" t="n">
        <v>198993</v>
      </c>
      <c r="C713" s="10">
        <f>TEXT($A713,"YYYY-MM")</f>
        <v/>
      </c>
    </row>
    <row r="714">
      <c r="A714" s="17" t="n">
        <v>45790</v>
      </c>
      <c r="B714" s="18" t="n">
        <v>235150</v>
      </c>
      <c r="C714" s="10">
        <f>TEXT($A714,"YYYY-MM")</f>
        <v/>
      </c>
    </row>
    <row r="715">
      <c r="A715" s="17" t="n">
        <v>45791</v>
      </c>
      <c r="B715" s="18" t="n">
        <v>268808</v>
      </c>
      <c r="C715" s="10">
        <f>TEXT($A715,"YYYY-MM")</f>
        <v/>
      </c>
    </row>
    <row r="716">
      <c r="A716" s="17" t="n">
        <v>45792</v>
      </c>
      <c r="B716" s="18" t="n">
        <v>258292</v>
      </c>
      <c r="C716" s="10">
        <f>TEXT($A716,"YYYY-MM")</f>
        <v/>
      </c>
    </row>
    <row r="717">
      <c r="A717" s="17" t="n">
        <v>45793</v>
      </c>
      <c r="B717" s="18" t="n">
        <v>308007</v>
      </c>
      <c r="C717" s="10">
        <f>TEXT($A717,"YYYY-MM")</f>
        <v/>
      </c>
    </row>
    <row r="718">
      <c r="A718" s="17" t="n">
        <v>45794</v>
      </c>
      <c r="B718" s="18" t="n">
        <v>339697</v>
      </c>
      <c r="C718" s="10">
        <f>TEXT($A718,"YYYY-MM")</f>
        <v/>
      </c>
    </row>
    <row r="719">
      <c r="A719" s="17" t="n">
        <v>45795</v>
      </c>
      <c r="B719" s="18" t="n">
        <v>282327</v>
      </c>
      <c r="C719" s="10">
        <f>TEXT($A719,"YYYY-MM")</f>
        <v/>
      </c>
    </row>
    <row r="720">
      <c r="A720" s="17" t="n">
        <v>45796</v>
      </c>
      <c r="B720" s="18" t="n">
        <v>218509</v>
      </c>
      <c r="C720" s="10">
        <f>TEXT($A720,"YYYY-MM")</f>
        <v/>
      </c>
    </row>
    <row r="721">
      <c r="A721" s="17" t="n">
        <v>45797</v>
      </c>
      <c r="B721" s="18" t="n">
        <v>249884</v>
      </c>
      <c r="C721" s="10">
        <f>TEXT($A721,"YYYY-MM")</f>
        <v/>
      </c>
    </row>
    <row r="722">
      <c r="A722" s="17" t="n">
        <v>45798</v>
      </c>
      <c r="B722" s="18" t="n">
        <v>223105</v>
      </c>
      <c r="C722" s="10">
        <f>TEXT($A722,"YYYY-MM")</f>
        <v/>
      </c>
    </row>
    <row r="723">
      <c r="A723" s="17" t="n">
        <v>45799</v>
      </c>
      <c r="B723" s="18" t="n">
        <v>211219</v>
      </c>
      <c r="C723" s="10">
        <f>TEXT($A723,"YYYY-MM")</f>
        <v/>
      </c>
    </row>
    <row r="724">
      <c r="A724" s="17" t="n">
        <v>45800</v>
      </c>
      <c r="B724" s="18" t="n">
        <v>235818</v>
      </c>
      <c r="C724" s="10">
        <f>TEXT($A724,"YYYY-MM")</f>
        <v/>
      </c>
    </row>
    <row r="725">
      <c r="A725" s="17" t="n">
        <v>45801</v>
      </c>
      <c r="B725" s="18" t="n">
        <v>302888</v>
      </c>
      <c r="C725" s="10">
        <f>TEXT($A725,"YYYY-MM")</f>
        <v/>
      </c>
    </row>
    <row r="726">
      <c r="A726" s="17" t="n">
        <v>45802</v>
      </c>
      <c r="B726" s="18" t="n">
        <v>243305</v>
      </c>
      <c r="C726" s="10">
        <f>TEXT($A726,"YYYY-MM")</f>
        <v/>
      </c>
    </row>
    <row r="727">
      <c r="A727" s="17" t="n">
        <v>45803</v>
      </c>
      <c r="B727" s="18" t="n">
        <v>202222</v>
      </c>
      <c r="C727" s="10">
        <f>TEXT($A727,"YYYY-MM")</f>
        <v/>
      </c>
    </row>
    <row r="728">
      <c r="A728" s="17" t="n">
        <v>45804</v>
      </c>
      <c r="B728" s="18" t="n">
        <v>232083</v>
      </c>
      <c r="C728" s="10">
        <f>TEXT($A728,"YYYY-MM")</f>
        <v/>
      </c>
    </row>
    <row r="729">
      <c r="A729" s="17" t="n">
        <v>45805</v>
      </c>
      <c r="B729" s="18" t="n">
        <v>232866</v>
      </c>
      <c r="C729" s="10">
        <f>TEXT($A729,"YYYY-MM")</f>
        <v/>
      </c>
    </row>
    <row r="730">
      <c r="A730" s="17" t="n">
        <v>45806</v>
      </c>
      <c r="B730" s="18" t="n">
        <v>267257</v>
      </c>
      <c r="C730" s="10">
        <f>TEXT($A730,"YYYY-MM")</f>
        <v/>
      </c>
    </row>
    <row r="731">
      <c r="A731" s="17" t="n">
        <v>45807</v>
      </c>
      <c r="B731" s="18" t="n">
        <v>273265</v>
      </c>
      <c r="C731" s="10">
        <f>TEXT($A731,"YYYY-MM")</f>
        <v/>
      </c>
    </row>
    <row r="732">
      <c r="A732" s="17" t="n">
        <v>45808</v>
      </c>
      <c r="B732" s="18" t="n">
        <v>339156</v>
      </c>
      <c r="C732" s="10">
        <f>TEXT($A732,"YYYY-MM")</f>
        <v/>
      </c>
    </row>
    <row r="733">
      <c r="A733" s="17" t="n">
        <v>45809</v>
      </c>
      <c r="B733" s="18" t="n">
        <v>170295</v>
      </c>
      <c r="C733" s="10">
        <f>TEXT($A733,"YYYY-MM")</f>
        <v/>
      </c>
    </row>
    <row r="734">
      <c r="A734" s="17" t="n">
        <v>45810</v>
      </c>
      <c r="B734" s="18" t="n">
        <v>155253</v>
      </c>
      <c r="C734" s="10">
        <f>TEXT($A734,"YYYY-MM")</f>
        <v/>
      </c>
    </row>
    <row r="735">
      <c r="A735" s="17" t="n">
        <v>45811</v>
      </c>
      <c r="B735" s="18" t="n">
        <v>146910</v>
      </c>
      <c r="C735" s="10">
        <f>TEXT($A735,"YYYY-MM")</f>
        <v/>
      </c>
    </row>
    <row r="736">
      <c r="A736" s="17" t="n">
        <v>45812</v>
      </c>
      <c r="B736" s="18" t="n">
        <v>152982</v>
      </c>
      <c r="C736" s="10">
        <f>TEXT($A736,"YYYY-MM")</f>
        <v/>
      </c>
    </row>
    <row r="737">
      <c r="A737" s="17" t="n">
        <v>45813</v>
      </c>
      <c r="B737" s="18" t="n">
        <v>192959</v>
      </c>
      <c r="C737" s="10">
        <f>TEXT($A737,"YYYY-MM")</f>
        <v/>
      </c>
    </row>
    <row r="738">
      <c r="A738" s="17" t="n">
        <v>45814</v>
      </c>
      <c r="B738" s="18" t="n">
        <v>186643</v>
      </c>
      <c r="C738" s="10">
        <f>TEXT($A738,"YYYY-MM")</f>
        <v/>
      </c>
    </row>
    <row r="739">
      <c r="A739" s="17" t="n">
        <v>45815</v>
      </c>
      <c r="B739" s="18" t="n">
        <v>219529</v>
      </c>
      <c r="C739" s="10">
        <f>TEXT($A739,"YYYY-MM")</f>
        <v/>
      </c>
    </row>
    <row r="740">
      <c r="A740" s="17" t="n">
        <v>45816</v>
      </c>
      <c r="B740" s="18" t="n">
        <v>201652</v>
      </c>
      <c r="C740" s="10">
        <f>TEXT($A740,"YYYY-MM")</f>
        <v/>
      </c>
    </row>
    <row r="741">
      <c r="A741" s="17" t="n">
        <v>45817</v>
      </c>
      <c r="B741" s="18" t="n">
        <v>171028</v>
      </c>
      <c r="C741" s="10">
        <f>TEXT($A741,"YYYY-MM")</f>
        <v/>
      </c>
    </row>
    <row r="742">
      <c r="A742" s="17" t="n">
        <v>45818</v>
      </c>
      <c r="B742" s="18" t="n">
        <v>159920</v>
      </c>
      <c r="C742" s="10">
        <f>TEXT($A742,"YYYY-MM")</f>
        <v/>
      </c>
    </row>
    <row r="743">
      <c r="A743" s="17" t="n">
        <v>45819</v>
      </c>
      <c r="B743" s="18" t="n">
        <v>180703</v>
      </c>
      <c r="C743" s="10">
        <f>TEXT($A743,"YYYY-MM")</f>
        <v/>
      </c>
    </row>
    <row r="744">
      <c r="A744" s="17" t="n">
        <v>45820</v>
      </c>
      <c r="B744" s="18" t="n">
        <v>163525</v>
      </c>
      <c r="C744" s="10">
        <f>TEXT($A744,"YYYY-MM")</f>
        <v/>
      </c>
    </row>
    <row r="745">
      <c r="A745" s="17" t="n">
        <v>45821</v>
      </c>
      <c r="B745" s="18" t="n">
        <v>163781</v>
      </c>
      <c r="C745" s="10">
        <f>TEXT($A745,"YYYY-MM")</f>
        <v/>
      </c>
    </row>
    <row r="746">
      <c r="A746" s="17" t="n">
        <v>45822</v>
      </c>
      <c r="B746" s="18" t="n">
        <v>217456</v>
      </c>
      <c r="C746" s="10">
        <f>TEXT($A746,"YYYY-MM")</f>
        <v/>
      </c>
    </row>
    <row r="747">
      <c r="A747" s="17" t="n">
        <v>45823</v>
      </c>
      <c r="B747" s="18" t="n">
        <v>220435</v>
      </c>
      <c r="C747" s="10">
        <f>TEXT($A747,"YYYY-MM")</f>
        <v/>
      </c>
    </row>
    <row r="748">
      <c r="A748" s="17" t="n">
        <v>45824</v>
      </c>
      <c r="B748" s="18" t="n">
        <v>159494</v>
      </c>
      <c r="C748" s="10">
        <f>TEXT($A748,"YYYY-MM")</f>
        <v/>
      </c>
    </row>
    <row r="749">
      <c r="A749" s="17" t="n">
        <v>45825</v>
      </c>
      <c r="B749" s="18" t="n">
        <v>147705</v>
      </c>
      <c r="C749" s="10">
        <f>TEXT($A749,"YYYY-MM")</f>
        <v/>
      </c>
    </row>
    <row r="750">
      <c r="A750" s="17" t="n">
        <v>45826</v>
      </c>
      <c r="B750" s="18" t="n">
        <v>185110</v>
      </c>
      <c r="C750" s="10">
        <f>TEXT($A750,"YYYY-MM")</f>
        <v/>
      </c>
    </row>
    <row r="751">
      <c r="A751" s="17" t="n">
        <v>45827</v>
      </c>
      <c r="B751" s="18" t="n">
        <v>163377</v>
      </c>
      <c r="C751" s="10">
        <f>TEXT($A751,"YYYY-MM")</f>
        <v/>
      </c>
    </row>
    <row r="752">
      <c r="A752" s="17" t="n">
        <v>45828</v>
      </c>
      <c r="B752" s="18" t="n">
        <v>214214</v>
      </c>
      <c r="C752" s="10">
        <f>TEXT($A752,"YYYY-MM")</f>
        <v/>
      </c>
    </row>
    <row r="753">
      <c r="A753" s="17" t="n">
        <v>45829</v>
      </c>
      <c r="B753" s="18" t="n">
        <v>239869</v>
      </c>
      <c r="C753" s="10">
        <f>TEXT($A753,"YYYY-MM")</f>
        <v/>
      </c>
    </row>
    <row r="754">
      <c r="A754" s="17" t="n">
        <v>45830</v>
      </c>
      <c r="B754" s="18" t="n">
        <v>183858</v>
      </c>
      <c r="C754" s="10">
        <f>TEXT($A754,"YYYY-MM")</f>
        <v/>
      </c>
    </row>
    <row r="755">
      <c r="A755" s="17" t="n">
        <v>45831</v>
      </c>
      <c r="B755" s="18" t="n">
        <v>168843</v>
      </c>
      <c r="C755" s="10">
        <f>TEXT($A755,"YYYY-MM")</f>
        <v/>
      </c>
    </row>
    <row r="756">
      <c r="A756" s="17" t="n">
        <v>45832</v>
      </c>
      <c r="B756" s="18" t="n">
        <v>162259</v>
      </c>
      <c r="C756" s="10">
        <f>TEXT($A756,"YYYY-MM")</f>
        <v/>
      </c>
    </row>
    <row r="757">
      <c r="A757" s="17" t="n">
        <v>45833</v>
      </c>
      <c r="B757" s="18" t="n">
        <v>170726</v>
      </c>
      <c r="C757" s="10">
        <f>TEXT($A757,"YYYY-MM")</f>
        <v/>
      </c>
    </row>
    <row r="758">
      <c r="A758" s="17" t="n">
        <v>45834</v>
      </c>
      <c r="B758" s="18" t="n">
        <v>192804</v>
      </c>
      <c r="C758" s="10">
        <f>TEXT($A758,"YYYY-MM")</f>
        <v/>
      </c>
    </row>
    <row r="759">
      <c r="A759" s="17" t="n">
        <v>45835</v>
      </c>
      <c r="B759" s="18" t="n">
        <v>175953</v>
      </c>
      <c r="C759" s="10">
        <f>TEXT($A759,"YYYY-MM")</f>
        <v/>
      </c>
    </row>
    <row r="760">
      <c r="A760" s="17" t="n">
        <v>45836</v>
      </c>
      <c r="B760" s="18" t="n">
        <v>224829</v>
      </c>
      <c r="C760" s="10">
        <f>TEXT($A760,"YYYY-MM")</f>
        <v/>
      </c>
    </row>
    <row r="761">
      <c r="A761" s="17" t="n">
        <v>45837</v>
      </c>
      <c r="B761" s="18" t="n">
        <v>189201</v>
      </c>
      <c r="C761" s="10">
        <f>TEXT($A761,"YYYY-MM")</f>
        <v/>
      </c>
    </row>
    <row r="762">
      <c r="A762" s="17" t="n">
        <v>45838</v>
      </c>
      <c r="B762" s="18" t="n">
        <v>170119</v>
      </c>
      <c r="C762" s="10">
        <f>TEXT($A762,"YYYY-MM")</f>
        <v/>
      </c>
    </row>
    <row r="763">
      <c r="A763" s="17" t="n">
        <v>45839</v>
      </c>
      <c r="B763" s="18" t="n">
        <v>107911</v>
      </c>
      <c r="C763" s="10">
        <f>TEXT($A763,"YYYY-MM")</f>
        <v/>
      </c>
    </row>
    <row r="764">
      <c r="A764" s="17" t="n">
        <v>45840</v>
      </c>
      <c r="B764" s="18" t="n">
        <v>139165</v>
      </c>
      <c r="C764" s="10">
        <f>TEXT($A764,"YYYY-MM")</f>
        <v/>
      </c>
    </row>
    <row r="765">
      <c r="A765" s="17" t="n">
        <v>45841</v>
      </c>
      <c r="B765" s="18" t="n">
        <v>135582</v>
      </c>
      <c r="C765" s="10">
        <f>TEXT($A765,"YYYY-MM")</f>
        <v/>
      </c>
    </row>
    <row r="766">
      <c r="A766" s="17" t="n">
        <v>45842</v>
      </c>
      <c r="B766" s="18" t="n">
        <v>164445</v>
      </c>
      <c r="C766" s="10">
        <f>TEXT($A766,"YYYY-MM")</f>
        <v/>
      </c>
    </row>
    <row r="767">
      <c r="A767" s="17" t="n">
        <v>45843</v>
      </c>
      <c r="B767" s="18" t="n">
        <v>175561</v>
      </c>
      <c r="C767" s="10">
        <f>TEXT($A767,"YYYY-MM")</f>
        <v/>
      </c>
    </row>
    <row r="768">
      <c r="A768" s="17" t="n">
        <v>45844</v>
      </c>
      <c r="B768" s="18" t="n">
        <v>168956</v>
      </c>
      <c r="C768" s="10">
        <f>TEXT($A768,"YYYY-MM")</f>
        <v/>
      </c>
    </row>
    <row r="769">
      <c r="A769" s="17" t="n">
        <v>45845</v>
      </c>
      <c r="B769" s="18" t="n">
        <v>142329</v>
      </c>
      <c r="C769" s="10">
        <f>TEXT($A769,"YYYY-MM")</f>
        <v/>
      </c>
    </row>
    <row r="770">
      <c r="A770" s="17" t="n">
        <v>45846</v>
      </c>
      <c r="B770" s="18" t="n">
        <v>136200</v>
      </c>
      <c r="C770" s="10">
        <f>TEXT($A770,"YYYY-MM")</f>
        <v/>
      </c>
    </row>
    <row r="771">
      <c r="A771" s="17" t="n">
        <v>45847</v>
      </c>
      <c r="B771" s="18" t="n">
        <v>117436</v>
      </c>
      <c r="C771" s="10">
        <f>TEXT($A771,"YYYY-MM")</f>
        <v/>
      </c>
    </row>
    <row r="772">
      <c r="A772" s="17" t="n">
        <v>45848</v>
      </c>
      <c r="B772" s="18" t="n">
        <v>118948</v>
      </c>
      <c r="C772" s="10">
        <f>TEXT($A772,"YYYY-MM")</f>
        <v/>
      </c>
    </row>
    <row r="773">
      <c r="A773" s="17" t="n">
        <v>45849</v>
      </c>
      <c r="B773" s="18" t="n">
        <v>146606</v>
      </c>
      <c r="C773" s="10">
        <f>TEXT($A773,"YYYY-MM")</f>
        <v/>
      </c>
    </row>
    <row r="774">
      <c r="A774" s="17" t="n">
        <v>45850</v>
      </c>
      <c r="B774" s="18" t="n">
        <v>178909</v>
      </c>
      <c r="C774" s="10">
        <f>TEXT($A774,"YYYY-MM")</f>
        <v/>
      </c>
    </row>
    <row r="775">
      <c r="A775" s="17" t="n">
        <v>45851</v>
      </c>
      <c r="B775" s="18" t="n">
        <v>149575</v>
      </c>
      <c r="C775" s="10">
        <f>TEXT($A775,"YYYY-MM")</f>
        <v/>
      </c>
    </row>
    <row r="776">
      <c r="A776" s="17" t="n">
        <v>45852</v>
      </c>
      <c r="B776" s="18" t="n">
        <v>134832</v>
      </c>
      <c r="C776" s="10">
        <f>TEXT($A776,"YYYY-MM")</f>
        <v/>
      </c>
    </row>
    <row r="777">
      <c r="A777" s="17" t="n">
        <v>45853</v>
      </c>
      <c r="B777" s="18" t="n">
        <v>121519</v>
      </c>
      <c r="C777" s="10">
        <f>TEXT($A777,"YYYY-MM")</f>
        <v/>
      </c>
    </row>
    <row r="778">
      <c r="A778" s="17" t="n">
        <v>45854</v>
      </c>
      <c r="B778" s="18" t="n">
        <v>139745</v>
      </c>
      <c r="C778" s="10">
        <f>TEXT($A778,"YYYY-MM")</f>
        <v/>
      </c>
    </row>
    <row r="779">
      <c r="A779" s="17" t="n">
        <v>45855</v>
      </c>
      <c r="B779" s="18" t="n">
        <v>149302</v>
      </c>
      <c r="C779" s="10">
        <f>TEXT($A779,"YYYY-MM")</f>
        <v/>
      </c>
    </row>
    <row r="780">
      <c r="A780" s="17" t="n">
        <v>45856</v>
      </c>
      <c r="B780" s="18" t="n">
        <v>128382</v>
      </c>
      <c r="C780" s="10">
        <f>TEXT($A780,"YYYY-MM")</f>
        <v/>
      </c>
    </row>
    <row r="781">
      <c r="A781" s="17" t="n">
        <v>45857</v>
      </c>
      <c r="B781" s="18" t="n">
        <v>152196</v>
      </c>
      <c r="C781" s="10">
        <f>TEXT($A781,"YYYY-MM")</f>
        <v/>
      </c>
    </row>
    <row r="782">
      <c r="A782" s="17" t="n">
        <v>45858</v>
      </c>
      <c r="B782" s="18" t="n">
        <v>161116</v>
      </c>
      <c r="C782" s="10">
        <f>TEXT($A782,"YYYY-MM")</f>
        <v/>
      </c>
    </row>
    <row r="783">
      <c r="A783" s="17" t="n">
        <v>45859</v>
      </c>
      <c r="B783" s="18" t="n">
        <v>138558</v>
      </c>
      <c r="C783" s="10">
        <f>TEXT($A783,"YYYY-MM")</f>
        <v/>
      </c>
    </row>
    <row r="784">
      <c r="A784" s="17" t="n">
        <v>45860</v>
      </c>
      <c r="B784" s="18" t="n">
        <v>134532</v>
      </c>
      <c r="C784" s="10">
        <f>TEXT($A784,"YYYY-MM")</f>
        <v/>
      </c>
    </row>
    <row r="785">
      <c r="A785" s="17" t="n">
        <v>45861</v>
      </c>
      <c r="B785" s="18" t="n">
        <v>143541</v>
      </c>
      <c r="C785" s="10">
        <f>TEXT($A785,"YYYY-MM")</f>
        <v/>
      </c>
    </row>
    <row r="786">
      <c r="A786" s="17" t="n">
        <v>45862</v>
      </c>
      <c r="B786" s="18" t="n">
        <v>121369</v>
      </c>
      <c r="C786" s="10">
        <f>TEXT($A786,"YYYY-MM")</f>
        <v/>
      </c>
    </row>
    <row r="787">
      <c r="A787" s="17" t="n">
        <v>45863</v>
      </c>
      <c r="B787" s="18" t="n">
        <v>144131</v>
      </c>
      <c r="C787" s="10">
        <f>TEXT($A787,"YYYY-MM")</f>
        <v/>
      </c>
    </row>
    <row r="788">
      <c r="A788" s="17" t="n">
        <v>45864</v>
      </c>
      <c r="B788" s="18" t="n">
        <v>166192</v>
      </c>
      <c r="C788" s="10">
        <f>TEXT($A788,"YYYY-MM")</f>
        <v/>
      </c>
    </row>
    <row r="789">
      <c r="A789" s="17" t="n">
        <v>45865</v>
      </c>
      <c r="B789" s="18" t="n">
        <v>140749</v>
      </c>
      <c r="C789" s="10">
        <f>TEXT($A789,"YYYY-MM")</f>
        <v/>
      </c>
    </row>
    <row r="790">
      <c r="A790" s="17" t="n">
        <v>45866</v>
      </c>
      <c r="B790" s="18" t="n">
        <v>116495</v>
      </c>
      <c r="C790" s="10">
        <f>TEXT($A790,"YYYY-MM")</f>
        <v/>
      </c>
    </row>
    <row r="791">
      <c r="A791" s="17" t="n">
        <v>45867</v>
      </c>
      <c r="B791" s="18" t="n">
        <v>137035</v>
      </c>
      <c r="C791" s="10">
        <f>TEXT($A791,"YYYY-MM")</f>
        <v/>
      </c>
    </row>
    <row r="792">
      <c r="A792" s="17" t="n">
        <v>45868</v>
      </c>
      <c r="B792" s="18" t="n">
        <v>140850</v>
      </c>
      <c r="C792" s="10">
        <f>TEXT($A792,"YYYY-MM")</f>
        <v/>
      </c>
    </row>
    <row r="793">
      <c r="A793" s="17" t="n">
        <v>45869</v>
      </c>
      <c r="B793" s="18" t="n">
        <v>135476</v>
      </c>
      <c r="C793" s="10">
        <f>TEXT($A793,"YYYY-MM")</f>
        <v/>
      </c>
    </row>
    <row r="794">
      <c r="A794" s="17" t="n">
        <v>45870</v>
      </c>
      <c r="B794" s="18" t="n">
        <v>144650</v>
      </c>
      <c r="C794" s="10">
        <f>TEXT($A794,"YYYY-MM")</f>
        <v/>
      </c>
    </row>
    <row r="795">
      <c r="A795" s="17" t="n">
        <v>45871</v>
      </c>
      <c r="B795" s="18" t="n">
        <v>149889</v>
      </c>
      <c r="C795" s="10">
        <f>TEXT($A795,"YYYY-MM")</f>
        <v/>
      </c>
    </row>
    <row r="796">
      <c r="A796" s="17" t="n">
        <v>45872</v>
      </c>
      <c r="B796" s="18" t="n">
        <v>171703</v>
      </c>
      <c r="C796" s="10">
        <f>TEXT($A796,"YYYY-MM")</f>
        <v/>
      </c>
    </row>
    <row r="797">
      <c r="A797" s="17" t="n">
        <v>45873</v>
      </c>
      <c r="B797" s="18" t="n">
        <v>108171</v>
      </c>
      <c r="C797" s="10">
        <f>TEXT($A797,"YYYY-MM")</f>
        <v/>
      </c>
    </row>
    <row r="798">
      <c r="A798" s="17" t="n">
        <v>45874</v>
      </c>
      <c r="B798" s="18" t="n">
        <v>133750</v>
      </c>
      <c r="C798" s="10">
        <f>TEXT($A798,"YYYY-MM")</f>
        <v/>
      </c>
    </row>
    <row r="799">
      <c r="A799" s="17" t="n">
        <v>45875</v>
      </c>
      <c r="B799" s="18" t="n">
        <v>124757</v>
      </c>
      <c r="C799" s="10">
        <f>TEXT($A799,"YYYY-MM")</f>
        <v/>
      </c>
    </row>
    <row r="800">
      <c r="A800" s="17" t="n">
        <v>45876</v>
      </c>
      <c r="B800" s="18" t="n">
        <v>113389</v>
      </c>
      <c r="C800" s="10">
        <f>TEXT($A800,"YYYY-MM")</f>
        <v/>
      </c>
    </row>
    <row r="801">
      <c r="A801" s="17" t="n">
        <v>45877</v>
      </c>
      <c r="B801" s="18" t="n">
        <v>167864</v>
      </c>
      <c r="C801" s="10">
        <f>TEXT($A801,"YYYY-MM")</f>
        <v/>
      </c>
    </row>
    <row r="802">
      <c r="A802" s="17" t="n">
        <v>45878</v>
      </c>
      <c r="B802" s="18" t="n">
        <v>185715</v>
      </c>
      <c r="C802" s="10">
        <f>TEXT($A802,"YYYY-MM")</f>
        <v/>
      </c>
    </row>
    <row r="803">
      <c r="A803" s="17" t="n">
        <v>45879</v>
      </c>
      <c r="B803" s="18" t="n">
        <v>171096</v>
      </c>
      <c r="C803" s="10">
        <f>TEXT($A803,"YYYY-MM")</f>
        <v/>
      </c>
    </row>
    <row r="804">
      <c r="A804" s="17" t="n">
        <v>45880</v>
      </c>
      <c r="B804" s="18" t="n">
        <v>116780</v>
      </c>
      <c r="C804" s="10">
        <f>TEXT($A804,"YYYY-MM")</f>
        <v/>
      </c>
    </row>
    <row r="805">
      <c r="A805" s="17" t="n">
        <v>45881</v>
      </c>
      <c r="B805" s="18" t="n">
        <v>123142</v>
      </c>
      <c r="C805" s="10">
        <f>TEXT($A805,"YYYY-MM")</f>
        <v/>
      </c>
    </row>
    <row r="806">
      <c r="A806" s="17" t="n">
        <v>45882</v>
      </c>
      <c r="B806" s="18" t="n">
        <v>120298</v>
      </c>
      <c r="C806" s="10">
        <f>TEXT($A806,"YYYY-MM")</f>
        <v/>
      </c>
    </row>
    <row r="807">
      <c r="A807" s="17" t="n">
        <v>45883</v>
      </c>
      <c r="B807" s="18" t="n">
        <v>139039</v>
      </c>
      <c r="C807" s="10">
        <f>TEXT($A807,"YYYY-MM")</f>
        <v/>
      </c>
    </row>
    <row r="808">
      <c r="A808" s="17" t="n">
        <v>45884</v>
      </c>
      <c r="B808" s="18" t="n">
        <v>148102</v>
      </c>
      <c r="C808" s="10">
        <f>TEXT($A808,"YYYY-MM")</f>
        <v/>
      </c>
    </row>
    <row r="809">
      <c r="A809" s="17" t="n">
        <v>45885</v>
      </c>
      <c r="B809" s="18" t="n">
        <v>139859</v>
      </c>
      <c r="C809" s="10">
        <f>TEXT($A809,"YYYY-MM")</f>
        <v/>
      </c>
    </row>
    <row r="810">
      <c r="A810" s="17" t="n">
        <v>45886</v>
      </c>
      <c r="B810" s="18" t="n">
        <v>134229</v>
      </c>
      <c r="C810" s="10">
        <f>TEXT($A810,"YYYY-MM")</f>
        <v/>
      </c>
    </row>
    <row r="811">
      <c r="A811" s="17" t="n">
        <v>45887</v>
      </c>
      <c r="B811" s="18" t="n">
        <v>133379</v>
      </c>
      <c r="C811" s="10">
        <f>TEXT($A811,"YYYY-MM")</f>
        <v/>
      </c>
    </row>
    <row r="812">
      <c r="A812" s="17" t="n">
        <v>45888</v>
      </c>
      <c r="B812" s="18" t="n">
        <v>115056</v>
      </c>
      <c r="C812" s="10">
        <f>TEXT($A812,"YYYY-MM")</f>
        <v/>
      </c>
    </row>
    <row r="813">
      <c r="A813" s="17" t="n">
        <v>45889</v>
      </c>
      <c r="B813" s="18" t="n">
        <v>142236</v>
      </c>
      <c r="C813" s="10">
        <f>TEXT($A813,"YYYY-MM")</f>
        <v/>
      </c>
    </row>
    <row r="814">
      <c r="A814" s="17" t="n">
        <v>45890</v>
      </c>
      <c r="B814" s="18" t="n">
        <v>124864</v>
      </c>
      <c r="C814" s="10">
        <f>TEXT($A814,"YYYY-MM")</f>
        <v/>
      </c>
    </row>
    <row r="815">
      <c r="A815" s="17" t="n">
        <v>45891</v>
      </c>
      <c r="B815" s="18" t="n">
        <v>137299</v>
      </c>
      <c r="C815" s="10">
        <f>TEXT($A815,"YYYY-MM")</f>
        <v/>
      </c>
    </row>
    <row r="816">
      <c r="A816" s="17" t="n">
        <v>45892</v>
      </c>
      <c r="B816" s="18" t="n">
        <v>151123</v>
      </c>
      <c r="C816" s="10">
        <f>TEXT($A816,"YYYY-MM")</f>
        <v/>
      </c>
    </row>
    <row r="817">
      <c r="A817" s="17" t="n">
        <v>45893</v>
      </c>
      <c r="B817" s="18" t="n">
        <v>170383</v>
      </c>
      <c r="C817" s="10">
        <f>TEXT($A817,"YYYY-MM")</f>
        <v/>
      </c>
    </row>
    <row r="818">
      <c r="A818" s="17" t="n">
        <v>45894</v>
      </c>
      <c r="B818" s="18" t="n">
        <v>117317</v>
      </c>
      <c r="C818" s="10">
        <f>TEXT($A818,"YYYY-MM")</f>
        <v/>
      </c>
    </row>
    <row r="819">
      <c r="A819" s="17" t="n">
        <v>45895</v>
      </c>
      <c r="B819" s="18" t="n">
        <v>120521</v>
      </c>
      <c r="C819" s="10">
        <f>TEXT($A819,"YYYY-MM")</f>
        <v/>
      </c>
    </row>
    <row r="820">
      <c r="A820" s="17" t="n">
        <v>45896</v>
      </c>
      <c r="B820" s="18" t="n">
        <v>118106</v>
      </c>
      <c r="C820" s="10">
        <f>TEXT($A820,"YYYY-MM")</f>
        <v/>
      </c>
    </row>
    <row r="821">
      <c r="A821" s="17" t="n">
        <v>45897</v>
      </c>
      <c r="B821" s="18" t="n">
        <v>128517</v>
      </c>
      <c r="C821" s="10">
        <f>TEXT($A821,"YYYY-MM")</f>
        <v/>
      </c>
    </row>
    <row r="822">
      <c r="A822" s="17" t="n">
        <v>45898</v>
      </c>
      <c r="B822" s="18" t="n">
        <v>127853</v>
      </c>
      <c r="C822" s="10">
        <f>TEXT($A822,"YYYY-MM")</f>
        <v/>
      </c>
    </row>
    <row r="823">
      <c r="A823" s="17" t="n">
        <v>45899</v>
      </c>
      <c r="B823" s="18" t="n">
        <v>149234</v>
      </c>
      <c r="C823" s="10">
        <f>TEXT($A823,"YYYY-MM")</f>
        <v/>
      </c>
    </row>
    <row r="824">
      <c r="A824" s="17" t="n">
        <v>45900</v>
      </c>
      <c r="B824" s="18" t="n">
        <v>158450</v>
      </c>
      <c r="C824" s="10">
        <f>TEXT($A824,"YYYY-MM")</f>
        <v/>
      </c>
    </row>
    <row r="825">
      <c r="A825" s="17" t="n">
        <v>45901</v>
      </c>
      <c r="B825" s="18" t="n">
        <v>131518</v>
      </c>
      <c r="C825" s="10">
        <f>TEXT($A825,"YYYY-MM")</f>
        <v/>
      </c>
    </row>
    <row r="826">
      <c r="A826" s="17" t="n">
        <v>45902</v>
      </c>
      <c r="B826" s="18" t="n">
        <v>117082</v>
      </c>
      <c r="C826" s="10">
        <f>TEXT($A826,"YYYY-MM")</f>
        <v/>
      </c>
    </row>
    <row r="827">
      <c r="A827" s="17" t="n">
        <v>45903</v>
      </c>
      <c r="B827" s="18" t="n">
        <v>134718</v>
      </c>
      <c r="C827" s="10">
        <f>TEXT($A827,"YYYY-MM")</f>
        <v/>
      </c>
    </row>
    <row r="828">
      <c r="A828" s="17" t="n">
        <v>45904</v>
      </c>
      <c r="B828" s="18" t="n">
        <v>130505</v>
      </c>
      <c r="C828" s="10">
        <f>TEXT($A828,"YYYY-MM")</f>
        <v/>
      </c>
    </row>
    <row r="829">
      <c r="A829" s="17" t="n">
        <v>45905</v>
      </c>
      <c r="B829" s="18" t="n">
        <v>143589</v>
      </c>
      <c r="C829" s="10">
        <f>TEXT($A829,"YYYY-MM")</f>
        <v/>
      </c>
    </row>
    <row r="830">
      <c r="A830" s="17" t="n">
        <v>45906</v>
      </c>
      <c r="B830" s="18" t="n">
        <v>167564</v>
      </c>
      <c r="C830" s="10">
        <f>TEXT($A830,"YYYY-MM")</f>
        <v/>
      </c>
    </row>
    <row r="831">
      <c r="A831" s="17" t="n">
        <v>45907</v>
      </c>
      <c r="B831" s="18" t="n">
        <v>176192</v>
      </c>
      <c r="C831" s="10">
        <f>TEXT($A831,"YYYY-MM")</f>
        <v/>
      </c>
    </row>
    <row r="832">
      <c r="A832" s="17" t="n">
        <v>45908</v>
      </c>
      <c r="B832" s="18" t="n">
        <v>116630</v>
      </c>
      <c r="C832" s="10">
        <f>TEXT($A832,"YYYY-MM")</f>
        <v/>
      </c>
    </row>
    <row r="833">
      <c r="A833" s="17" t="n">
        <v>45909</v>
      </c>
      <c r="B833" s="18" t="n">
        <v>122631</v>
      </c>
      <c r="C833" s="10">
        <f>TEXT($A833,"YYYY-MM")</f>
        <v/>
      </c>
    </row>
    <row r="834">
      <c r="A834" s="17" t="n">
        <v>45910</v>
      </c>
      <c r="B834" s="18" t="n">
        <v>153102</v>
      </c>
      <c r="C834" s="10">
        <f>TEXT($A834,"YYYY-MM")</f>
        <v/>
      </c>
    </row>
    <row r="835">
      <c r="A835" s="17" t="n">
        <v>45911</v>
      </c>
      <c r="B835" s="18" t="n">
        <v>135678</v>
      </c>
      <c r="C835" s="10">
        <f>TEXT($A835,"YYYY-MM")</f>
        <v/>
      </c>
    </row>
    <row r="836">
      <c r="A836" s="17" t="n">
        <v>45912</v>
      </c>
      <c r="B836" s="18" t="n">
        <v>159857</v>
      </c>
      <c r="C836" s="10">
        <f>TEXT($A836,"YYYY-MM")</f>
        <v/>
      </c>
    </row>
    <row r="837">
      <c r="A837" s="17" t="n">
        <v>45913</v>
      </c>
      <c r="B837" s="18" t="n">
        <v>183498</v>
      </c>
      <c r="C837" s="10">
        <f>TEXT($A837,"YYYY-MM")</f>
        <v/>
      </c>
    </row>
    <row r="838">
      <c r="A838" s="17" t="n">
        <v>45914</v>
      </c>
      <c r="B838" s="18" t="n">
        <v>136466</v>
      </c>
      <c r="C838" s="10">
        <f>TEXT($A838,"YYYY-MM")</f>
        <v/>
      </c>
    </row>
    <row r="839">
      <c r="A839" s="17" t="n">
        <v>45915</v>
      </c>
      <c r="B839" s="18" t="n">
        <v>118408</v>
      </c>
      <c r="C839" s="10">
        <f>TEXT($A839,"YYYY-MM")</f>
        <v/>
      </c>
    </row>
    <row r="840">
      <c r="A840" s="17" t="n">
        <v>45916</v>
      </c>
      <c r="B840" s="18" t="n">
        <v>145827</v>
      </c>
      <c r="C840" s="10">
        <f>TEXT($A840,"YYYY-MM")</f>
        <v/>
      </c>
    </row>
    <row r="841">
      <c r="A841" s="17" t="n">
        <v>45917</v>
      </c>
      <c r="B841" s="18" t="n">
        <v>142578</v>
      </c>
      <c r="C841" s="10">
        <f>TEXT($A841,"YYYY-MM")</f>
        <v/>
      </c>
    </row>
    <row r="842">
      <c r="A842" s="17" t="n">
        <v>45918</v>
      </c>
      <c r="B842" s="18" t="n">
        <v>135712</v>
      </c>
      <c r="C842" s="10">
        <f>TEXT($A842,"YYYY-MM")</f>
        <v/>
      </c>
    </row>
    <row r="843">
      <c r="A843" s="17" t="n">
        <v>45919</v>
      </c>
      <c r="B843" s="18" t="n">
        <v>151891</v>
      </c>
      <c r="C843" s="10">
        <f>TEXT($A843,"YYYY-MM")</f>
        <v/>
      </c>
    </row>
    <row r="844">
      <c r="A844" s="17" t="n">
        <v>45920</v>
      </c>
      <c r="B844" s="18" t="n">
        <v>177364</v>
      </c>
      <c r="C844" s="10">
        <f>TEXT($A844,"YYYY-MM")</f>
        <v/>
      </c>
    </row>
    <row r="845">
      <c r="A845" s="17" t="n">
        <v>45921</v>
      </c>
      <c r="B845" s="18" t="n">
        <v>173136</v>
      </c>
      <c r="C845" s="10">
        <f>TEXT($A845,"YYYY-MM")</f>
        <v/>
      </c>
    </row>
    <row r="846">
      <c r="A846" s="17" t="n">
        <v>45922</v>
      </c>
      <c r="B846" s="18" t="n">
        <v>147373</v>
      </c>
      <c r="C846" s="10">
        <f>TEXT($A846,"YYYY-MM")</f>
        <v/>
      </c>
    </row>
    <row r="847">
      <c r="A847" s="17" t="n">
        <v>45923</v>
      </c>
      <c r="B847" s="18" t="n">
        <v>134769</v>
      </c>
      <c r="C847" s="10">
        <f>TEXT($A847,"YYYY-MM")</f>
        <v/>
      </c>
    </row>
    <row r="848">
      <c r="A848" s="17" t="n">
        <v>45924</v>
      </c>
      <c r="B848" s="18" t="n">
        <v>152754</v>
      </c>
      <c r="C848" s="10">
        <f>TEXT($A848,"YYYY-MM")</f>
        <v/>
      </c>
    </row>
    <row r="849">
      <c r="A849" s="17" t="n">
        <v>45925</v>
      </c>
      <c r="B849" s="18" t="n">
        <v>152643</v>
      </c>
      <c r="C849" s="10">
        <f>TEXT($A849,"YYYY-MM")</f>
        <v/>
      </c>
    </row>
    <row r="850">
      <c r="A850" s="17" t="n">
        <v>45926</v>
      </c>
      <c r="B850" s="18" t="n">
        <v>167370</v>
      </c>
      <c r="C850" s="10">
        <f>TEXT($A850,"YYYY-MM")</f>
        <v/>
      </c>
    </row>
    <row r="851">
      <c r="A851" s="17" t="n">
        <v>45927</v>
      </c>
      <c r="B851" s="18" t="n">
        <v>187808</v>
      </c>
      <c r="C851" s="10">
        <f>TEXT($A851,"YYYY-MM")</f>
        <v/>
      </c>
    </row>
    <row r="852">
      <c r="A852" s="17" t="n">
        <v>45928</v>
      </c>
      <c r="B852" s="18" t="n">
        <v>179062</v>
      </c>
      <c r="C852" s="10">
        <f>TEXT($A852,"YYYY-MM")</f>
        <v/>
      </c>
    </row>
    <row r="853">
      <c r="A853" s="17" t="n">
        <v>45929</v>
      </c>
      <c r="B853" s="18" t="n">
        <v>129426</v>
      </c>
      <c r="C853" s="10">
        <f>TEXT($A853,"YYYY-MM")</f>
        <v/>
      </c>
    </row>
    <row r="854">
      <c r="A854" s="17" t="n">
        <v>45930</v>
      </c>
      <c r="B854" s="18" t="n">
        <v>119449</v>
      </c>
      <c r="C854" s="10">
        <f>TEXT($A854,"YYYY-MM")</f>
        <v/>
      </c>
    </row>
    <row r="855">
      <c r="A855" s="17" t="n">
        <v>45931</v>
      </c>
      <c r="B855" s="18" t="n">
        <v>185706</v>
      </c>
      <c r="C855" s="10">
        <f>TEXT($A855,"YYYY-MM")</f>
        <v/>
      </c>
    </row>
    <row r="856">
      <c r="A856" s="17" t="n">
        <v>45932</v>
      </c>
      <c r="B856" s="18" t="n">
        <v>157108</v>
      </c>
      <c r="C856" s="10">
        <f>TEXT($A856,"YYYY-MM")</f>
        <v/>
      </c>
    </row>
    <row r="857">
      <c r="A857" s="17" t="n">
        <v>45933</v>
      </c>
      <c r="B857" s="18" t="n">
        <v>188086</v>
      </c>
      <c r="C857" s="10">
        <f>TEXT($A857,"YYYY-MM")</f>
        <v/>
      </c>
    </row>
    <row r="858">
      <c r="A858" s="17" t="n">
        <v>45934</v>
      </c>
      <c r="B858" s="18" t="n">
        <v>233677</v>
      </c>
      <c r="C858" s="10">
        <f>TEXT($A858,"YYYY-MM")</f>
        <v/>
      </c>
    </row>
    <row r="859">
      <c r="A859" s="17" t="n">
        <v>45935</v>
      </c>
      <c r="B859" s="18" t="n">
        <v>179721</v>
      </c>
      <c r="C859" s="10">
        <f>TEXT($A859,"YYYY-MM")</f>
        <v/>
      </c>
    </row>
    <row r="860">
      <c r="A860" s="17" t="n">
        <v>45936</v>
      </c>
      <c r="B860" s="18" t="n">
        <v>171870</v>
      </c>
      <c r="C860" s="10">
        <f>TEXT($A860,"YYYY-MM")</f>
        <v/>
      </c>
    </row>
    <row r="861">
      <c r="A861" s="17" t="n">
        <v>45937</v>
      </c>
      <c r="B861" s="18" t="n">
        <v>175226</v>
      </c>
      <c r="C861" s="10">
        <f>TEXT($A861,"YYYY-MM")</f>
        <v/>
      </c>
    </row>
    <row r="862">
      <c r="A862" s="17" t="n">
        <v>45938</v>
      </c>
      <c r="B862" s="18" t="n">
        <v>144924</v>
      </c>
      <c r="C862" s="10">
        <f>TEXT($A862,"YYYY-MM")</f>
        <v/>
      </c>
    </row>
    <row r="863">
      <c r="A863" s="17" t="n">
        <v>45939</v>
      </c>
      <c r="B863" s="18" t="n">
        <v>147418</v>
      </c>
      <c r="C863" s="10">
        <f>TEXT($A863,"YYYY-MM")</f>
        <v/>
      </c>
    </row>
    <row r="864">
      <c r="A864" s="17" t="n">
        <v>45940</v>
      </c>
      <c r="B864" s="18" t="n">
        <v>215974</v>
      </c>
      <c r="C864" s="10">
        <f>TEXT($A864,"YYYY-MM")</f>
        <v/>
      </c>
    </row>
    <row r="865">
      <c r="A865" s="17" t="n">
        <v>45941</v>
      </c>
      <c r="B865" s="18" t="n">
        <v>190275</v>
      </c>
      <c r="C865" s="10">
        <f>TEXT($A865,"YYYY-MM")</f>
        <v/>
      </c>
    </row>
    <row r="866">
      <c r="A866" s="17" t="n">
        <v>45942</v>
      </c>
      <c r="B866" s="18" t="n">
        <v>169694</v>
      </c>
      <c r="C866" s="10">
        <f>TEXT($A866,"YYYY-MM")</f>
        <v/>
      </c>
    </row>
    <row r="867">
      <c r="A867" s="17" t="n">
        <v>45943</v>
      </c>
      <c r="B867" s="18" t="n">
        <v>145800</v>
      </c>
      <c r="C867" s="10">
        <f>TEXT($A867,"YYYY-MM")</f>
        <v/>
      </c>
    </row>
    <row r="868">
      <c r="A868" s="17" t="n">
        <v>45944</v>
      </c>
      <c r="B868" s="18" t="n">
        <v>182574</v>
      </c>
      <c r="C868" s="10">
        <f>TEXT($A868,"YYYY-MM")</f>
        <v/>
      </c>
    </row>
    <row r="869">
      <c r="A869" s="17" t="n">
        <v>45945</v>
      </c>
      <c r="B869" s="18" t="n">
        <v>145919</v>
      </c>
      <c r="C869" s="10">
        <f>TEXT($A869,"YYYY-MM")</f>
        <v/>
      </c>
    </row>
    <row r="870">
      <c r="A870" s="17" t="n">
        <v>45946</v>
      </c>
      <c r="B870" s="18" t="n">
        <v>145966</v>
      </c>
      <c r="C870" s="10">
        <f>TEXT($A870,"YYYY-MM")</f>
        <v/>
      </c>
    </row>
    <row r="871">
      <c r="A871" s="17" t="n">
        <v>45947</v>
      </c>
      <c r="B871" s="18" t="n">
        <v>197578</v>
      </c>
      <c r="C871" s="10">
        <f>TEXT($A871,"YYYY-MM")</f>
        <v/>
      </c>
    </row>
    <row r="872">
      <c r="A872" s="17" t="n">
        <v>45948</v>
      </c>
      <c r="B872" s="18" t="n">
        <v>214979</v>
      </c>
      <c r="C872" s="10">
        <f>TEXT($A872,"YYYY-MM")</f>
        <v/>
      </c>
    </row>
    <row r="873">
      <c r="A873" s="17" t="n">
        <v>45949</v>
      </c>
      <c r="B873" s="18" t="n">
        <v>199669</v>
      </c>
      <c r="C873" s="10">
        <f>TEXT($A873,"YYYY-MM")</f>
        <v/>
      </c>
    </row>
    <row r="874">
      <c r="A874" s="17" t="n">
        <v>45950</v>
      </c>
      <c r="B874" s="18" t="n">
        <v>144498</v>
      </c>
      <c r="C874" s="10">
        <f>TEXT($A874,"YYYY-MM")</f>
        <v/>
      </c>
    </row>
    <row r="875">
      <c r="A875" s="17" t="n">
        <v>45951</v>
      </c>
      <c r="B875" s="18" t="n">
        <v>181821</v>
      </c>
      <c r="C875" s="10">
        <f>TEXT($A875,"YYYY-MM")</f>
        <v/>
      </c>
    </row>
    <row r="876">
      <c r="A876" s="17" t="n">
        <v>45952</v>
      </c>
      <c r="B876" s="18" t="n">
        <v>160024</v>
      </c>
      <c r="C876" s="10">
        <f>TEXT($A876,"YYYY-MM")</f>
        <v/>
      </c>
    </row>
    <row r="877">
      <c r="A877" s="17" t="n">
        <v>45953</v>
      </c>
      <c r="B877" s="18" t="n">
        <v>172997</v>
      </c>
      <c r="C877" s="10">
        <f>TEXT($A877,"YYYY-MM")</f>
        <v/>
      </c>
    </row>
    <row r="878">
      <c r="A878" s="17" t="n">
        <v>45954</v>
      </c>
      <c r="B878" s="18" t="n">
        <v>178114</v>
      </c>
      <c r="C878" s="10">
        <f>TEXT($A878,"YYYY-MM")</f>
        <v/>
      </c>
    </row>
    <row r="879">
      <c r="A879" s="17" t="n">
        <v>45955</v>
      </c>
      <c r="B879" s="18" t="n">
        <v>184585</v>
      </c>
      <c r="C879" s="10">
        <f>TEXT($A879,"YYYY-MM")</f>
        <v/>
      </c>
    </row>
    <row r="880">
      <c r="A880" s="17" t="n">
        <v>45956</v>
      </c>
      <c r="B880" s="18" t="n">
        <v>217064</v>
      </c>
      <c r="C880" s="10">
        <f>TEXT($A880,"YYYY-MM")</f>
        <v/>
      </c>
    </row>
    <row r="881">
      <c r="A881" s="17" t="n">
        <v>45957</v>
      </c>
      <c r="B881" s="18" t="n">
        <v>170349</v>
      </c>
      <c r="C881" s="10">
        <f>TEXT($A881,"YYYY-MM")</f>
        <v/>
      </c>
    </row>
    <row r="882">
      <c r="A882" s="17" t="n">
        <v>45958</v>
      </c>
      <c r="B882" s="18" t="n">
        <v>171439</v>
      </c>
      <c r="C882" s="10">
        <f>TEXT($A882,"YYYY-MM")</f>
        <v/>
      </c>
    </row>
    <row r="883">
      <c r="A883" s="17" t="n">
        <v>45959</v>
      </c>
      <c r="B883" s="18" t="n">
        <v>169724</v>
      </c>
      <c r="C883" s="10">
        <f>TEXT($A883,"YYYY-MM")</f>
        <v/>
      </c>
    </row>
    <row r="884">
      <c r="A884" s="17" t="n">
        <v>45960</v>
      </c>
      <c r="B884" s="18" t="n">
        <v>165060</v>
      </c>
      <c r="C884" s="10">
        <f>TEXT($A884,"YYYY-MM")</f>
        <v/>
      </c>
    </row>
    <row r="885">
      <c r="A885" s="17" t="n">
        <v>45961</v>
      </c>
      <c r="B885" s="18" t="n">
        <v>176601</v>
      </c>
      <c r="C885" s="10">
        <f>TEXT($A885,"YYYY-MM")</f>
        <v/>
      </c>
    </row>
    <row r="886">
      <c r="A886" s="17" t="n">
        <v>45962</v>
      </c>
      <c r="B886" s="18" t="n">
        <v>238080</v>
      </c>
      <c r="C886" s="10">
        <f>TEXT($A886,"YYYY-MM")</f>
        <v/>
      </c>
    </row>
    <row r="887">
      <c r="A887" s="17" t="n">
        <v>45963</v>
      </c>
      <c r="B887" s="18" t="n">
        <v>202827</v>
      </c>
      <c r="C887" s="10">
        <f>TEXT($A887,"YYYY-MM")</f>
        <v/>
      </c>
    </row>
    <row r="888">
      <c r="A888" s="17" t="n">
        <v>45964</v>
      </c>
      <c r="B888" s="18" t="n">
        <v>188596</v>
      </c>
      <c r="C888" s="10">
        <f>TEXT($A888,"YYYY-MM")</f>
        <v/>
      </c>
    </row>
    <row r="889">
      <c r="A889" s="17" t="n">
        <v>45965</v>
      </c>
      <c r="B889" s="18" t="n">
        <v>173778</v>
      </c>
      <c r="C889" s="10">
        <f>TEXT($A889,"YYYY-MM")</f>
        <v/>
      </c>
    </row>
    <row r="890">
      <c r="A890" s="17" t="n">
        <v>45966</v>
      </c>
      <c r="B890" s="18" t="n">
        <v>182086</v>
      </c>
      <c r="C890" s="10">
        <f>TEXT($A890,"YYYY-MM")</f>
        <v/>
      </c>
    </row>
    <row r="891">
      <c r="A891" s="17" t="n">
        <v>45967</v>
      </c>
      <c r="B891" s="18" t="n">
        <v>198750</v>
      </c>
      <c r="C891" s="10">
        <f>TEXT($A891,"YYYY-MM")</f>
        <v/>
      </c>
    </row>
    <row r="892">
      <c r="A892" s="17" t="n">
        <v>45968</v>
      </c>
      <c r="B892" s="18" t="n">
        <v>180030</v>
      </c>
      <c r="C892" s="10">
        <f>TEXT($A892,"YYYY-MM")</f>
        <v/>
      </c>
    </row>
    <row r="893">
      <c r="A893" s="17" t="n">
        <v>45969</v>
      </c>
      <c r="B893" s="18" t="n">
        <v>189121</v>
      </c>
      <c r="C893" s="10">
        <f>TEXT($A893,"YYYY-MM")</f>
        <v/>
      </c>
    </row>
    <row r="894">
      <c r="A894" s="17" t="n">
        <v>45970</v>
      </c>
      <c r="B894" s="18" t="n">
        <v>216057</v>
      </c>
      <c r="C894" s="10">
        <f>TEXT($A894,"YYYY-MM")</f>
        <v/>
      </c>
    </row>
    <row r="895">
      <c r="A895" s="17" t="n">
        <v>45971</v>
      </c>
      <c r="B895" s="18" t="n">
        <v>165521</v>
      </c>
      <c r="C895" s="10">
        <f>TEXT($A895,"YYYY-MM")</f>
        <v/>
      </c>
    </row>
    <row r="896">
      <c r="A896" s="17" t="n">
        <v>45972</v>
      </c>
      <c r="B896" s="18" t="n">
        <v>145013</v>
      </c>
      <c r="C896" s="10">
        <f>TEXT($A896,"YYYY-MM")</f>
        <v/>
      </c>
    </row>
    <row r="897">
      <c r="A897" s="17" t="n">
        <v>45973</v>
      </c>
      <c r="B897" s="18" t="n">
        <v>152981</v>
      </c>
      <c r="C897" s="10">
        <f>TEXT($A897,"YYYY-MM")</f>
        <v/>
      </c>
    </row>
    <row r="898">
      <c r="A898" s="17" t="n">
        <v>45974</v>
      </c>
      <c r="B898" s="18" t="n">
        <v>185585</v>
      </c>
      <c r="C898" s="10">
        <f>TEXT($A898,"YYYY-MM")</f>
        <v/>
      </c>
    </row>
    <row r="899">
      <c r="A899" s="17" t="n">
        <v>45975</v>
      </c>
      <c r="B899" s="18" t="n">
        <v>221941</v>
      </c>
      <c r="C899" s="10">
        <f>TEXT($A899,"YYYY-MM")</f>
        <v/>
      </c>
    </row>
    <row r="900">
      <c r="A900" s="17" t="n">
        <v>45976</v>
      </c>
      <c r="B900" s="18" t="n">
        <v>238422</v>
      </c>
      <c r="C900" s="10">
        <f>TEXT($A900,"YYYY-MM")</f>
        <v/>
      </c>
    </row>
    <row r="901">
      <c r="A901" s="17" t="n">
        <v>45977</v>
      </c>
      <c r="B901" s="18" t="n">
        <v>228195</v>
      </c>
      <c r="C901" s="10">
        <f>TEXT($A901,"YYYY-MM")</f>
        <v/>
      </c>
    </row>
    <row r="902">
      <c r="A902" s="17" t="n">
        <v>45978</v>
      </c>
      <c r="B902" s="18" t="n">
        <v>182561</v>
      </c>
      <c r="C902" s="10">
        <f>TEXT($A902,"YYYY-MM")</f>
        <v/>
      </c>
    </row>
    <row r="903">
      <c r="A903" s="17" t="n">
        <v>45979</v>
      </c>
      <c r="B903" s="18" t="n">
        <v>163901</v>
      </c>
      <c r="C903" s="10">
        <f>TEXT($A903,"YYYY-MM")</f>
        <v/>
      </c>
    </row>
    <row r="904">
      <c r="A904" s="17" t="n">
        <v>45980</v>
      </c>
      <c r="B904" s="18" t="n">
        <v>165989</v>
      </c>
      <c r="C904" s="10">
        <f>TEXT($A904,"YYYY-MM")</f>
        <v/>
      </c>
    </row>
    <row r="905">
      <c r="A905" s="17" t="n">
        <v>45981</v>
      </c>
      <c r="B905" s="18" t="n">
        <v>156424</v>
      </c>
      <c r="C905" s="10">
        <f>TEXT($A905,"YYYY-MM")</f>
        <v/>
      </c>
    </row>
    <row r="906">
      <c r="A906" s="17" t="n">
        <v>45982</v>
      </c>
      <c r="B906" s="18" t="n">
        <v>178954</v>
      </c>
      <c r="C906" s="10">
        <f>TEXT($A906,"YYYY-MM")</f>
        <v/>
      </c>
    </row>
    <row r="907">
      <c r="A907" s="17" t="n">
        <v>45983</v>
      </c>
      <c r="B907" s="18" t="n">
        <v>249780</v>
      </c>
      <c r="C907" s="10">
        <f>TEXT($A907,"YYYY-MM")</f>
        <v/>
      </c>
    </row>
    <row r="908">
      <c r="A908" s="17" t="n">
        <v>45984</v>
      </c>
      <c r="B908" s="18" t="n">
        <v>202301</v>
      </c>
      <c r="C908" s="10">
        <f>TEXT($A908,"YYYY-MM")</f>
        <v/>
      </c>
    </row>
    <row r="909">
      <c r="A909" s="17" t="n">
        <v>45985</v>
      </c>
      <c r="B909" s="18" t="n">
        <v>167961</v>
      </c>
      <c r="C909" s="10">
        <f>TEXT($A909,"YYYY-MM")</f>
        <v/>
      </c>
    </row>
    <row r="910">
      <c r="A910" s="17" t="n">
        <v>45986</v>
      </c>
      <c r="B910" s="18" t="n">
        <v>171533</v>
      </c>
      <c r="C910" s="10">
        <f>TEXT($A910,"YYYY-MM")</f>
        <v/>
      </c>
    </row>
    <row r="911">
      <c r="A911" s="17" t="n">
        <v>45987</v>
      </c>
      <c r="B911" s="18" t="n">
        <v>152545</v>
      </c>
      <c r="C911" s="10">
        <f>TEXT($A911,"YYYY-MM")</f>
        <v/>
      </c>
    </row>
    <row r="912">
      <c r="A912" s="17" t="n">
        <v>45988</v>
      </c>
      <c r="B912" s="18" t="n">
        <v>177903</v>
      </c>
      <c r="C912" s="10">
        <f>TEXT($A912,"YYYY-MM")</f>
        <v/>
      </c>
    </row>
    <row r="913">
      <c r="A913" s="17" t="n">
        <v>45989</v>
      </c>
      <c r="B913" s="18" t="n">
        <v>204949</v>
      </c>
      <c r="C913" s="10">
        <f>TEXT($A913,"YYYY-MM")</f>
        <v/>
      </c>
    </row>
    <row r="914">
      <c r="A914" s="17" t="n">
        <v>45990</v>
      </c>
      <c r="B914" s="18" t="n">
        <v>211258</v>
      </c>
      <c r="C914" s="10">
        <f>TEXT($A914,"YYYY-MM")</f>
        <v/>
      </c>
    </row>
    <row r="915">
      <c r="A915" s="17" t="n">
        <v>45991</v>
      </c>
      <c r="B915" s="18" t="n">
        <v>183808</v>
      </c>
      <c r="C915" s="10">
        <f>TEXT($A915,"YYYY-MM")</f>
        <v/>
      </c>
    </row>
    <row r="916">
      <c r="A916" s="17" t="n">
        <v>45992</v>
      </c>
      <c r="B916" s="18" t="n">
        <v>237100</v>
      </c>
      <c r="C916" s="10">
        <f>TEXT($A916,"YYYY-MM")</f>
        <v/>
      </c>
    </row>
    <row r="917">
      <c r="A917" s="17" t="n">
        <v>45993</v>
      </c>
      <c r="B917" s="18" t="n">
        <v>247912</v>
      </c>
      <c r="C917" s="10">
        <f>TEXT($A917,"YYYY-MM")</f>
        <v/>
      </c>
    </row>
    <row r="918">
      <c r="A918" s="17" t="n">
        <v>45994</v>
      </c>
      <c r="B918" s="18" t="n">
        <v>221623</v>
      </c>
      <c r="C918" s="10">
        <f>TEXT($A918,"YYYY-MM")</f>
        <v/>
      </c>
    </row>
    <row r="919">
      <c r="A919" s="17" t="n">
        <v>45995</v>
      </c>
      <c r="B919" s="18" t="n">
        <v>266303</v>
      </c>
      <c r="C919" s="10">
        <f>TEXT($A919,"YYYY-MM")</f>
        <v/>
      </c>
    </row>
    <row r="920">
      <c r="A920" s="17" t="n">
        <v>45996</v>
      </c>
      <c r="B920" s="18" t="n">
        <v>259371</v>
      </c>
      <c r="C920" s="10">
        <f>TEXT($A920,"YYYY-MM")</f>
        <v/>
      </c>
    </row>
    <row r="921">
      <c r="A921" s="17" t="n">
        <v>45997</v>
      </c>
      <c r="B921" s="18" t="n">
        <v>274299</v>
      </c>
      <c r="C921" s="10">
        <f>TEXT($A921,"YYYY-MM")</f>
        <v/>
      </c>
    </row>
    <row r="922">
      <c r="A922" s="17" t="n">
        <v>45998</v>
      </c>
      <c r="B922" s="18" t="n">
        <v>270504</v>
      </c>
      <c r="C922" s="10">
        <f>TEXT($A922,"YYYY-MM")</f>
        <v/>
      </c>
    </row>
    <row r="923">
      <c r="A923" s="17" t="n">
        <v>45999</v>
      </c>
      <c r="B923" s="18" t="n">
        <v>198054</v>
      </c>
      <c r="C923" s="10">
        <f>TEXT($A923,"YYYY-MM")</f>
        <v/>
      </c>
    </row>
    <row r="924">
      <c r="A924" s="17" t="n">
        <v>46000</v>
      </c>
      <c r="B924" s="18" t="n">
        <v>211259</v>
      </c>
      <c r="C924" s="10">
        <f>TEXT($A924,"YYYY-MM")</f>
        <v/>
      </c>
    </row>
    <row r="925">
      <c r="A925" s="17" t="n">
        <v>46001</v>
      </c>
      <c r="B925" s="18" t="n">
        <v>211625</v>
      </c>
      <c r="C925" s="10">
        <f>TEXT($A925,"YYYY-MM")</f>
        <v/>
      </c>
    </row>
    <row r="926">
      <c r="A926" s="17" t="n">
        <v>46002</v>
      </c>
      <c r="B926" s="18" t="n">
        <v>222962</v>
      </c>
      <c r="C926" s="10">
        <f>TEXT($A926,"YYYY-MM")</f>
        <v/>
      </c>
    </row>
    <row r="927">
      <c r="A927" s="17" t="n">
        <v>46003</v>
      </c>
      <c r="B927" s="18" t="n">
        <v>268480</v>
      </c>
      <c r="C927" s="10">
        <f>TEXT($A927,"YYYY-MM")</f>
        <v/>
      </c>
    </row>
    <row r="928">
      <c r="A928" s="17" t="n">
        <v>46004</v>
      </c>
      <c r="B928" s="18" t="n">
        <v>265106</v>
      </c>
      <c r="C928" s="10">
        <f>TEXT($A928,"YYYY-MM")</f>
        <v/>
      </c>
    </row>
    <row r="929">
      <c r="A929" s="17" t="n">
        <v>46005</v>
      </c>
      <c r="B929" s="18" t="n">
        <v>293919</v>
      </c>
      <c r="C929" s="10">
        <f>TEXT($A929,"YYYY-MM")</f>
        <v/>
      </c>
    </row>
    <row r="930">
      <c r="A930" s="17" t="n">
        <v>46006</v>
      </c>
      <c r="B930" s="18" t="n">
        <v>255241</v>
      </c>
      <c r="C930" s="10">
        <f>TEXT($A930,"YYYY-MM")</f>
        <v/>
      </c>
    </row>
    <row r="931">
      <c r="A931" s="17" t="n">
        <v>46007</v>
      </c>
      <c r="B931" s="18" t="n">
        <v>212279</v>
      </c>
      <c r="C931" s="10">
        <f>TEXT($A931,"YYYY-MM")</f>
        <v/>
      </c>
    </row>
    <row r="932">
      <c r="A932" s="17" t="n">
        <v>46008</v>
      </c>
      <c r="B932" s="18" t="n">
        <v>220809</v>
      </c>
      <c r="C932" s="10">
        <f>TEXT($A932,"YYYY-MM")</f>
        <v/>
      </c>
    </row>
    <row r="933">
      <c r="A933" s="17" t="n">
        <v>46009</v>
      </c>
      <c r="B933" s="18" t="n">
        <v>253335</v>
      </c>
      <c r="C933" s="10">
        <f>TEXT($A933,"YYYY-MM")</f>
        <v/>
      </c>
    </row>
    <row r="934">
      <c r="A934" s="17" t="n">
        <v>46010</v>
      </c>
      <c r="B934" s="18" t="n">
        <v>274568</v>
      </c>
      <c r="C934" s="10">
        <f>TEXT($A934,"YYYY-MM")</f>
        <v/>
      </c>
    </row>
    <row r="935">
      <c r="A935" s="17" t="n">
        <v>46011</v>
      </c>
      <c r="B935" s="18" t="n">
        <v>317766</v>
      </c>
      <c r="C935" s="10">
        <f>TEXT($A935,"YYYY-MM")</f>
        <v/>
      </c>
    </row>
    <row r="936">
      <c r="A936" s="17" t="n">
        <v>46012</v>
      </c>
      <c r="B936" s="18" t="n">
        <v>303314</v>
      </c>
      <c r="C936" s="10">
        <f>TEXT($A936,"YYYY-MM")</f>
        <v/>
      </c>
    </row>
    <row r="937">
      <c r="A937" s="17" t="n">
        <v>46013</v>
      </c>
      <c r="B937" s="18" t="n">
        <v>239758</v>
      </c>
      <c r="C937" s="10">
        <f>TEXT($A937,"YYYY-MM")</f>
        <v/>
      </c>
    </row>
    <row r="938">
      <c r="A938" s="17" t="n">
        <v>46014</v>
      </c>
      <c r="B938" s="18" t="n">
        <v>200933</v>
      </c>
      <c r="C938" s="10">
        <f>TEXT($A938,"YYYY-MM")</f>
        <v/>
      </c>
    </row>
    <row r="939">
      <c r="A939" s="17" t="n">
        <v>46015</v>
      </c>
      <c r="B939" s="18" t="n">
        <v>200726</v>
      </c>
      <c r="C939" s="10">
        <f>TEXT($A939,"YYYY-MM")</f>
        <v/>
      </c>
    </row>
    <row r="940">
      <c r="A940" s="17" t="n">
        <v>46016</v>
      </c>
      <c r="B940" s="18" t="n">
        <v>218174</v>
      </c>
      <c r="C940" s="10">
        <f>TEXT($A940,"YYYY-MM")</f>
        <v/>
      </c>
    </row>
    <row r="941">
      <c r="A941" s="17" t="n">
        <v>46017</v>
      </c>
      <c r="B941" s="18" t="n">
        <v>281543</v>
      </c>
      <c r="C941" s="10">
        <f>TEXT($A941,"YYYY-MM")</f>
        <v/>
      </c>
    </row>
    <row r="942">
      <c r="A942" s="17" t="n">
        <v>46018</v>
      </c>
      <c r="B942" s="18" t="n">
        <v>290034</v>
      </c>
      <c r="C942" s="10">
        <f>TEXT($A942,"YYYY-MM")</f>
        <v/>
      </c>
    </row>
    <row r="943">
      <c r="A943" s="17" t="n">
        <v>46019</v>
      </c>
      <c r="B943" s="18" t="n">
        <v>306033</v>
      </c>
      <c r="C943" s="10">
        <f>TEXT($A943,"YYYY-MM")</f>
        <v/>
      </c>
    </row>
    <row r="944">
      <c r="A944" s="17" t="n">
        <v>46020</v>
      </c>
      <c r="B944" s="18" t="n">
        <v>197972</v>
      </c>
      <c r="C944" s="10">
        <f>TEXT($A944,"YYYY-MM")</f>
        <v/>
      </c>
    </row>
    <row r="945">
      <c r="A945" s="17" t="n">
        <v>46021</v>
      </c>
      <c r="B945" s="18" t="n">
        <v>252443</v>
      </c>
      <c r="C945" s="10">
        <f>TEXT($A945,"YYYY-MM")</f>
        <v/>
      </c>
    </row>
    <row r="946">
      <c r="A946" s="17" t="n">
        <v>46022</v>
      </c>
      <c r="B946" s="18" t="n">
        <v>236132</v>
      </c>
      <c r="C946" s="10">
        <f>TEXT($A946,"YYYY-MM")</f>
        <v/>
      </c>
    </row>
    <row r="947">
      <c r="A947" s="17" t="n">
        <v>46023</v>
      </c>
      <c r="B947" s="18" t="n">
        <v>144747</v>
      </c>
      <c r="C947" s="10">
        <f>TEXT($A947,"YYYY-MM")</f>
        <v/>
      </c>
    </row>
    <row r="948">
      <c r="A948" s="17" t="n">
        <v>46024</v>
      </c>
      <c r="B948" s="18" t="n">
        <v>152255</v>
      </c>
      <c r="C948" s="10">
        <f>TEXT($A948,"YYYY-MM")</f>
        <v/>
      </c>
    </row>
    <row r="949">
      <c r="A949" s="17" t="n">
        <v>46025</v>
      </c>
      <c r="B949" s="18" t="n">
        <v>149480</v>
      </c>
      <c r="C949" s="10">
        <f>TEXT($A949,"YYYY-MM")</f>
        <v/>
      </c>
    </row>
    <row r="950">
      <c r="A950" s="17" t="n">
        <v>46026</v>
      </c>
      <c r="B950" s="18" t="n">
        <v>158816</v>
      </c>
      <c r="C950" s="10">
        <f>TEXT($A950,"YYYY-MM")</f>
        <v/>
      </c>
    </row>
    <row r="951">
      <c r="A951" s="17" t="n">
        <v>46027</v>
      </c>
      <c r="B951" s="18" t="n">
        <v>114585</v>
      </c>
      <c r="C951" s="10">
        <f>TEXT($A951,"YYYY-MM")</f>
        <v/>
      </c>
    </row>
    <row r="952">
      <c r="A952" s="17" t="n">
        <v>46028</v>
      </c>
      <c r="B952" s="18" t="n">
        <v>125691</v>
      </c>
      <c r="C952" s="10">
        <f>TEXT($A952,"YYYY-MM")</f>
        <v/>
      </c>
    </row>
    <row r="953">
      <c r="A953" s="17" t="n">
        <v>46029</v>
      </c>
      <c r="B953" s="18" t="n">
        <v>116855</v>
      </c>
      <c r="C953" s="10">
        <f>TEXT($A953,"YYYY-MM")</f>
        <v/>
      </c>
    </row>
    <row r="954">
      <c r="A954" s="17" t="n">
        <v>46030</v>
      </c>
      <c r="B954" s="18" t="n">
        <v>124301</v>
      </c>
      <c r="C954" s="10">
        <f>TEXT($A954,"YYYY-MM")</f>
        <v/>
      </c>
    </row>
    <row r="955">
      <c r="A955" s="17" t="n">
        <v>46031</v>
      </c>
      <c r="B955" s="18" t="n">
        <v>134964</v>
      </c>
      <c r="C955" s="10">
        <f>TEXT($A955,"YYYY-MM")</f>
        <v/>
      </c>
    </row>
    <row r="956">
      <c r="A956" s="17" t="n">
        <v>46032</v>
      </c>
      <c r="B956" s="18" t="n">
        <v>167234</v>
      </c>
      <c r="C956" s="10">
        <f>TEXT($A956,"YYYY-MM")</f>
        <v/>
      </c>
    </row>
    <row r="957">
      <c r="A957" s="17" t="n">
        <v>46033</v>
      </c>
      <c r="B957" s="18" t="n">
        <v>151763</v>
      </c>
      <c r="C957" s="10">
        <f>TEXT($A957,"YYYY-MM")</f>
        <v/>
      </c>
    </row>
    <row r="958">
      <c r="A958" s="17" t="n">
        <v>46034</v>
      </c>
      <c r="B958" s="18" t="n">
        <v>148198</v>
      </c>
      <c r="C958" s="10">
        <f>TEXT($A958,"YYYY-MM")</f>
        <v/>
      </c>
    </row>
    <row r="959">
      <c r="A959" s="17" t="n">
        <v>46035</v>
      </c>
      <c r="B959" s="18" t="n">
        <v>134304</v>
      </c>
      <c r="C959" s="10">
        <f>TEXT($A959,"YYYY-MM")</f>
        <v/>
      </c>
    </row>
    <row r="960">
      <c r="A960" s="17" t="n">
        <v>46036</v>
      </c>
      <c r="B960" s="18" t="n">
        <v>125797</v>
      </c>
      <c r="C960" s="10">
        <f>TEXT($A960,"YYYY-MM")</f>
        <v/>
      </c>
    </row>
    <row r="961">
      <c r="A961" s="17" t="n">
        <v>46037</v>
      </c>
      <c r="B961" s="18" t="n">
        <v>126349</v>
      </c>
      <c r="C961" s="10">
        <f>TEXT($A961,"YYYY-MM")</f>
        <v/>
      </c>
    </row>
    <row r="962">
      <c r="A962" s="17" t="n">
        <v>46038</v>
      </c>
      <c r="B962" s="18" t="n">
        <v>163481</v>
      </c>
      <c r="C962" s="10">
        <f>TEXT($A962,"YYYY-MM")</f>
        <v/>
      </c>
    </row>
    <row r="963">
      <c r="A963" s="17" t="n">
        <v>46039</v>
      </c>
      <c r="B963" s="18" t="n">
        <v>192002</v>
      </c>
      <c r="C963" s="10">
        <f>TEXT($A963,"YYYY-MM")</f>
        <v/>
      </c>
    </row>
    <row r="964">
      <c r="A964" s="17" t="n">
        <v>46040</v>
      </c>
      <c r="B964" s="18" t="n">
        <v>145168</v>
      </c>
      <c r="C964" s="10">
        <f>TEXT($A964,"YYYY-MM")</f>
        <v/>
      </c>
    </row>
    <row r="965">
      <c r="A965" s="17" t="n">
        <v>46041</v>
      </c>
      <c r="B965" s="18" t="n">
        <v>127955</v>
      </c>
      <c r="C965" s="10">
        <f>TEXT($A965,"YYYY-MM")</f>
        <v/>
      </c>
    </row>
    <row r="966">
      <c r="A966" s="17" t="n">
        <v>46042</v>
      </c>
      <c r="B966" s="18" t="n">
        <v>117693</v>
      </c>
      <c r="C966" s="10">
        <f>TEXT($A966,"YYYY-MM")</f>
        <v/>
      </c>
    </row>
    <row r="967">
      <c r="A967" s="17" t="n">
        <v>46043</v>
      </c>
      <c r="B967" s="18" t="n">
        <v>131581</v>
      </c>
      <c r="C967" s="10">
        <f>TEXT($A967,"YYYY-MM")</f>
        <v/>
      </c>
    </row>
    <row r="968">
      <c r="A968" s="17" t="n">
        <v>46044</v>
      </c>
      <c r="B968" s="18" t="n">
        <v>145228</v>
      </c>
      <c r="C968" s="10">
        <f>TEXT($A968,"YYYY-MM")</f>
        <v/>
      </c>
    </row>
    <row r="969">
      <c r="A969" s="17" t="n">
        <v>46045</v>
      </c>
      <c r="B969" s="18" t="n">
        <v>165813</v>
      </c>
      <c r="C969" s="10">
        <f>TEXT($A969,"YYYY-MM")</f>
        <v/>
      </c>
    </row>
    <row r="970">
      <c r="A970" s="17" t="n">
        <v>46046</v>
      </c>
      <c r="B970" s="18" t="n">
        <v>163600</v>
      </c>
      <c r="C970" s="10">
        <f>TEXT($A970,"YYYY-MM")</f>
        <v/>
      </c>
    </row>
    <row r="971">
      <c r="A971" s="17" t="n">
        <v>46047</v>
      </c>
      <c r="B971" s="18" t="n">
        <v>153630</v>
      </c>
      <c r="C971" s="10">
        <f>TEXT($A971,"YYYY-MM")</f>
        <v/>
      </c>
    </row>
    <row r="972">
      <c r="A972" s="17" t="n">
        <v>46048</v>
      </c>
      <c r="B972" s="18" t="n">
        <v>148501</v>
      </c>
      <c r="C972" s="10">
        <f>TEXT($A972,"YYYY-MM")</f>
        <v/>
      </c>
    </row>
    <row r="973">
      <c r="A973" s="17" t="n">
        <v>46049</v>
      </c>
      <c r="B973" s="18" t="n">
        <v>122996</v>
      </c>
      <c r="C973" s="10">
        <f>TEXT($A973,"YYYY-MM")</f>
        <v/>
      </c>
    </row>
    <row r="974">
      <c r="A974" s="17" t="n">
        <v>46050</v>
      </c>
      <c r="B974" s="18" t="n">
        <v>123814</v>
      </c>
      <c r="C974" s="10">
        <f>TEXT($A974,"YYYY-MM")</f>
        <v/>
      </c>
    </row>
    <row r="975">
      <c r="A975" s="17" t="n">
        <v>46051</v>
      </c>
      <c r="B975" s="18" t="n">
        <v>117992</v>
      </c>
      <c r="C975" s="10">
        <f>TEXT($A975,"YYYY-MM")</f>
        <v/>
      </c>
    </row>
    <row r="976">
      <c r="A976" s="17" t="n">
        <v>46052</v>
      </c>
      <c r="B976" s="18" t="n">
        <v>174158</v>
      </c>
      <c r="C976" s="10">
        <f>TEXT($A976,"YYYY-MM")</f>
        <v/>
      </c>
    </row>
    <row r="977">
      <c r="A977" s="17" t="n">
        <v>46053</v>
      </c>
      <c r="B977" s="18" t="n">
        <v>169518</v>
      </c>
      <c r="C977" s="10">
        <f>TEXT($A977,"YYYY-MM")</f>
        <v/>
      </c>
    </row>
    <row r="978">
      <c r="A978" s="17" t="n">
        <v>46054</v>
      </c>
      <c r="B978" s="18" t="n">
        <v>157079</v>
      </c>
      <c r="C978" s="10">
        <f>TEXT($A978,"YYYY-MM")</f>
        <v/>
      </c>
    </row>
    <row r="979">
      <c r="A979" s="17" t="n">
        <v>46055</v>
      </c>
      <c r="B979" s="18" t="n">
        <v>124768</v>
      </c>
      <c r="C979" s="10">
        <f>TEXT($A979,"YYYY-MM")</f>
        <v/>
      </c>
    </row>
    <row r="980">
      <c r="A980" s="17" t="n">
        <v>46056</v>
      </c>
      <c r="B980" s="18" t="n">
        <v>154727</v>
      </c>
      <c r="C980" s="10">
        <f>TEXT($A980,"YYYY-MM")</f>
        <v/>
      </c>
    </row>
    <row r="981">
      <c r="A981" s="17" t="n">
        <v>46057</v>
      </c>
      <c r="B981" s="18" t="n">
        <v>135633</v>
      </c>
      <c r="C981" s="10">
        <f>TEXT($A981,"YYYY-MM")</f>
        <v/>
      </c>
    </row>
    <row r="982">
      <c r="A982" s="17" t="n">
        <v>46058</v>
      </c>
      <c r="B982" s="18" t="n">
        <v>154587</v>
      </c>
      <c r="C982" s="10">
        <f>TEXT($A982,"YYYY-MM")</f>
        <v/>
      </c>
    </row>
    <row r="983">
      <c r="A983" s="17" t="n">
        <v>46059</v>
      </c>
      <c r="B983" s="18" t="n">
        <v>140956</v>
      </c>
      <c r="C983" s="10">
        <f>TEXT($A983,"YYYY-MM")</f>
        <v/>
      </c>
    </row>
    <row r="984">
      <c r="A984" s="17" t="n">
        <v>46060</v>
      </c>
      <c r="B984" s="18" t="n">
        <v>191375</v>
      </c>
      <c r="C984" s="10">
        <f>TEXT($A984,"YYYY-MM")</f>
        <v/>
      </c>
    </row>
    <row r="985">
      <c r="A985" s="17" t="n">
        <v>46061</v>
      </c>
      <c r="B985" s="18" t="n">
        <v>183915</v>
      </c>
      <c r="C985" s="10">
        <f>TEXT($A985,"YYYY-MM")</f>
        <v/>
      </c>
    </row>
    <row r="986">
      <c r="A986" s="17" t="n">
        <v>46062</v>
      </c>
      <c r="B986" s="18" t="n">
        <v>147159</v>
      </c>
      <c r="C986" s="10">
        <f>TEXT($A986,"YYYY-MM")</f>
        <v/>
      </c>
    </row>
    <row r="987">
      <c r="A987" s="17" t="n">
        <v>46063</v>
      </c>
      <c r="B987" s="18" t="n">
        <v>124407</v>
      </c>
      <c r="C987" s="10">
        <f>TEXT($A987,"YYYY-MM")</f>
        <v/>
      </c>
    </row>
    <row r="988">
      <c r="A988" s="17" t="n">
        <v>46064</v>
      </c>
      <c r="B988" s="18" t="n">
        <v>140352</v>
      </c>
      <c r="C988" s="10">
        <f>TEXT($A988,"YYYY-MM")</f>
        <v/>
      </c>
    </row>
    <row r="989">
      <c r="A989" s="17" t="n">
        <v>46065</v>
      </c>
      <c r="B989" s="18" t="n">
        <v>157362</v>
      </c>
      <c r="C989" s="10">
        <f>TEXT($A989,"YYYY-MM")</f>
        <v/>
      </c>
    </row>
    <row r="990">
      <c r="A990" s="17" t="n">
        <v>46066</v>
      </c>
      <c r="B990" s="18" t="n">
        <v>152081</v>
      </c>
      <c r="C990" s="10">
        <f>TEXT($A990,"YYYY-MM")</f>
        <v/>
      </c>
    </row>
    <row r="991">
      <c r="A991" s="17" t="n">
        <v>46067</v>
      </c>
      <c r="B991" s="18" t="n">
        <v>189122</v>
      </c>
      <c r="C991" s="10">
        <f>TEXT($A991,"YYYY-MM")</f>
        <v/>
      </c>
    </row>
    <row r="992">
      <c r="A992" s="17" t="n">
        <v>46068</v>
      </c>
      <c r="B992" s="18" t="n">
        <v>167170</v>
      </c>
      <c r="C992" s="10">
        <f>TEXT($A992,"YYYY-MM")</f>
        <v/>
      </c>
    </row>
    <row r="993">
      <c r="A993" s="17" t="n">
        <v>46069</v>
      </c>
      <c r="B993" s="18" t="n">
        <v>118903</v>
      </c>
      <c r="C993" s="10">
        <f>TEXT($A993,"YYYY-MM")</f>
        <v/>
      </c>
    </row>
    <row r="994">
      <c r="A994" s="17" t="n">
        <v>46070</v>
      </c>
      <c r="B994" s="18" t="n">
        <v>144976</v>
      </c>
      <c r="C994" s="10">
        <f>TEXT($A994,"YYYY-MM")</f>
        <v/>
      </c>
    </row>
    <row r="995">
      <c r="A995" s="17" t="n">
        <v>46071</v>
      </c>
      <c r="B995" s="18" t="n">
        <v>147161</v>
      </c>
      <c r="C995" s="10">
        <f>TEXT($A995,"YYYY-MM")</f>
        <v/>
      </c>
    </row>
    <row r="996">
      <c r="A996" s="17" t="n">
        <v>46072</v>
      </c>
      <c r="B996" s="18" t="n">
        <v>146624</v>
      </c>
      <c r="C996" s="10">
        <f>TEXT($A996,"YYYY-MM")</f>
        <v/>
      </c>
    </row>
    <row r="997">
      <c r="A997" s="17" t="n">
        <v>46073</v>
      </c>
      <c r="B997" s="18" t="n">
        <v>172721</v>
      </c>
      <c r="C997" s="10">
        <f>TEXT($A997,"YYYY-MM")</f>
        <v/>
      </c>
    </row>
    <row r="998">
      <c r="A998" s="17" t="n">
        <v>46074</v>
      </c>
      <c r="B998" s="18" t="n">
        <v>156667</v>
      </c>
      <c r="C998" s="10">
        <f>TEXT($A998,"YYYY-MM")</f>
        <v/>
      </c>
    </row>
    <row r="999">
      <c r="A999" s="17" t="n">
        <v>46075</v>
      </c>
      <c r="B999" s="18" t="n">
        <v>146033</v>
      </c>
      <c r="C999" s="10">
        <f>TEXT($A999,"YYYY-MM")</f>
        <v/>
      </c>
    </row>
    <row r="1000">
      <c r="A1000" s="17" t="n">
        <v>46076</v>
      </c>
      <c r="B1000" s="18" t="n">
        <v>125069</v>
      </c>
      <c r="C1000" s="10">
        <f>TEXT($A1000,"YYYY-MM")</f>
        <v/>
      </c>
    </row>
    <row r="1001">
      <c r="A1001" s="17" t="n">
        <v>46077</v>
      </c>
      <c r="B1001" s="18" t="n">
        <v>142001</v>
      </c>
      <c r="C1001" s="10">
        <f>TEXT($A1001,"YYYY-MM")</f>
        <v/>
      </c>
    </row>
    <row r="1002">
      <c r="A1002" s="17" t="n">
        <v>46078</v>
      </c>
      <c r="B1002" s="18" t="n">
        <v>145354</v>
      </c>
      <c r="C1002" s="10">
        <f>TEXT($A1002,"YYYY-MM")</f>
        <v/>
      </c>
    </row>
    <row r="1003">
      <c r="A1003" s="17" t="n">
        <v>46079</v>
      </c>
      <c r="B1003" s="18" t="n">
        <v>130988</v>
      </c>
      <c r="C1003" s="10">
        <f>TEXT($A1003,"YYYY-MM")</f>
        <v/>
      </c>
    </row>
    <row r="1004">
      <c r="A1004" s="17" t="n">
        <v>46080</v>
      </c>
      <c r="B1004" s="18" t="n">
        <v>174412</v>
      </c>
      <c r="C1004" s="10">
        <f>TEXT($A1004,"YYYY-MM")</f>
        <v/>
      </c>
    </row>
    <row r="1005">
      <c r="A1005" s="17" t="n">
        <v>46081</v>
      </c>
      <c r="B1005" s="18" t="n">
        <v>209649</v>
      </c>
      <c r="C1005" s="10">
        <f>TEXT($A1005,"YYYY-MM")</f>
        <v/>
      </c>
    </row>
    <row r="1006">
      <c r="A1006" s="17" t="n">
        <v>46082</v>
      </c>
      <c r="B1006" s="18" t="n">
        <v>204621</v>
      </c>
      <c r="C1006" s="10">
        <f>TEXT($A1006,"YYYY-MM")</f>
        <v/>
      </c>
    </row>
    <row r="1007">
      <c r="A1007" s="17" t="n">
        <v>46083</v>
      </c>
      <c r="B1007" s="18" t="n">
        <v>129547</v>
      </c>
      <c r="C1007" s="10">
        <f>TEXT($A1007,"YYYY-MM")</f>
        <v/>
      </c>
    </row>
    <row r="1008">
      <c r="A1008" s="17" t="n">
        <v>46084</v>
      </c>
      <c r="B1008" s="18" t="n">
        <v>166714</v>
      </c>
      <c r="C1008" s="10">
        <f>TEXT($A1008,"YYYY-MM")</f>
        <v/>
      </c>
    </row>
    <row r="1009">
      <c r="A1009" s="17" t="n">
        <v>46085</v>
      </c>
      <c r="B1009" s="18" t="n">
        <v>159259</v>
      </c>
      <c r="C1009" s="10">
        <f>TEXT($A1009,"YYYY-MM")</f>
        <v/>
      </c>
    </row>
    <row r="1010">
      <c r="A1010" s="17" t="n">
        <v>46086</v>
      </c>
      <c r="B1010" s="18" t="n">
        <v>178826</v>
      </c>
      <c r="C1010" s="10">
        <f>TEXT($A1010,"YYYY-MM")</f>
        <v/>
      </c>
    </row>
    <row r="1011">
      <c r="A1011" s="17" t="n">
        <v>46087</v>
      </c>
      <c r="B1011" s="18" t="n">
        <v>151668</v>
      </c>
      <c r="C1011" s="10">
        <f>TEXT($A1011,"YYYY-MM")</f>
        <v/>
      </c>
    </row>
    <row r="1012">
      <c r="A1012" s="17" t="n">
        <v>46088</v>
      </c>
      <c r="B1012" s="18" t="n">
        <v>208755</v>
      </c>
      <c r="C1012" s="10">
        <f>TEXT($A1012,"YYYY-MM")</f>
        <v/>
      </c>
    </row>
    <row r="1013">
      <c r="A1013" s="17" t="n">
        <v>46089</v>
      </c>
      <c r="B1013" s="18" t="n">
        <v>187270</v>
      </c>
      <c r="C1013" s="10">
        <f>TEXT($A1013,"YYYY-MM")</f>
        <v/>
      </c>
    </row>
    <row r="1014">
      <c r="A1014" s="17" t="n">
        <v>46090</v>
      </c>
      <c r="B1014" s="18" t="n">
        <v>160961</v>
      </c>
      <c r="C1014" s="10">
        <f>TEXT($A1014,"YYYY-MM")</f>
        <v/>
      </c>
    </row>
    <row r="1015">
      <c r="A1015" s="17" t="n">
        <v>46091</v>
      </c>
      <c r="B1015" s="18" t="n">
        <v>148287</v>
      </c>
      <c r="C1015" s="10">
        <f>TEXT($A1015,"YYYY-MM")</f>
        <v/>
      </c>
    </row>
    <row r="1016">
      <c r="A1016" s="17" t="n">
        <v>46092</v>
      </c>
      <c r="B1016" s="18" t="n">
        <v>159986</v>
      </c>
      <c r="C1016" s="10">
        <f>TEXT($A1016,"YYYY-MM")</f>
        <v/>
      </c>
    </row>
    <row r="1017">
      <c r="A1017" s="17" t="n">
        <v>46093</v>
      </c>
      <c r="B1017" s="18" t="n">
        <v>155465</v>
      </c>
      <c r="C1017" s="10">
        <f>TEXT($A1017,"YYYY-MM")</f>
        <v/>
      </c>
    </row>
    <row r="1018">
      <c r="A1018" s="17" t="n">
        <v>46094</v>
      </c>
      <c r="B1018" s="18" t="n">
        <v>164798</v>
      </c>
      <c r="C1018" s="10">
        <f>TEXT($A1018,"YYYY-MM")</f>
        <v/>
      </c>
    </row>
    <row r="1019">
      <c r="A1019" s="17" t="n">
        <v>46095</v>
      </c>
      <c r="B1019" s="18" t="n">
        <v>199798</v>
      </c>
      <c r="C1019" s="10">
        <f>TEXT($A1019,"YYYY-MM")</f>
        <v/>
      </c>
    </row>
    <row r="1020">
      <c r="A1020" s="17" t="n">
        <v>46096</v>
      </c>
      <c r="B1020" s="18" t="n">
        <v>174404</v>
      </c>
      <c r="C1020" s="10">
        <f>TEXT($A1020,"YYYY-MM")</f>
        <v/>
      </c>
    </row>
    <row r="1021">
      <c r="A1021" s="17" t="n">
        <v>46097</v>
      </c>
      <c r="B1021" s="18" t="n">
        <v>135513</v>
      </c>
      <c r="C1021" s="10">
        <f>TEXT($A1021,"YYYY-MM")</f>
        <v/>
      </c>
    </row>
    <row r="1022">
      <c r="A1022" s="17" t="n">
        <v>46098</v>
      </c>
      <c r="B1022" s="18" t="n">
        <v>157098</v>
      </c>
      <c r="C1022" s="10">
        <f>TEXT($A1022,"YYYY-MM")</f>
        <v/>
      </c>
    </row>
    <row r="1023">
      <c r="A1023" s="17" t="n">
        <v>46099</v>
      </c>
      <c r="B1023" s="18" t="n">
        <v>139121</v>
      </c>
      <c r="C1023" s="10">
        <f>TEXT($A1023,"YYYY-MM")</f>
        <v/>
      </c>
    </row>
    <row r="1024">
      <c r="A1024" s="17" t="n">
        <v>46100</v>
      </c>
      <c r="B1024" s="18" t="n">
        <v>143929</v>
      </c>
      <c r="C1024" s="10">
        <f>TEXT($A1024,"YYYY-MM")</f>
        <v/>
      </c>
    </row>
    <row r="1025">
      <c r="A1025" s="17" t="n">
        <v>46101</v>
      </c>
      <c r="B1025" s="18" t="n">
        <v>156010</v>
      </c>
      <c r="C1025" s="10">
        <f>TEXT($A1025,"YYYY-MM")</f>
        <v/>
      </c>
    </row>
    <row r="1026">
      <c r="A1026" s="17" t="n">
        <v>46102</v>
      </c>
      <c r="B1026" s="18" t="n">
        <v>217458</v>
      </c>
      <c r="C1026" s="10">
        <f>TEXT($A1026,"YYYY-MM")</f>
        <v/>
      </c>
    </row>
    <row r="1027">
      <c r="A1027" s="17" t="n">
        <v>46103</v>
      </c>
      <c r="B1027" s="18" t="n">
        <v>172096</v>
      </c>
      <c r="C1027" s="10">
        <f>TEXT($A1027,"YYYY-MM")</f>
        <v/>
      </c>
    </row>
    <row r="1028">
      <c r="A1028" s="17" t="n">
        <v>46104</v>
      </c>
      <c r="B1028" s="18" t="n">
        <v>133962</v>
      </c>
      <c r="C1028" s="10">
        <f>TEXT($A1028,"YYYY-MM")</f>
        <v/>
      </c>
    </row>
    <row r="1029">
      <c r="A1029" s="17" t="n">
        <v>46105</v>
      </c>
      <c r="B1029" s="18" t="n">
        <v>135261</v>
      </c>
      <c r="C1029" s="10">
        <f>TEXT($A1029,"YYYY-MM")</f>
        <v/>
      </c>
    </row>
    <row r="1030">
      <c r="A1030" s="17" t="n">
        <v>46106</v>
      </c>
      <c r="B1030" s="18" t="n">
        <v>171533</v>
      </c>
      <c r="C1030" s="10">
        <f>TEXT($A1030,"YYYY-MM")</f>
        <v/>
      </c>
    </row>
    <row r="1031">
      <c r="A1031" s="17" t="n">
        <v>46107</v>
      </c>
      <c r="B1031" s="18" t="n">
        <v>164634</v>
      </c>
      <c r="C1031" s="10">
        <f>TEXT($A1031,"YYYY-MM")</f>
        <v/>
      </c>
    </row>
    <row r="1032">
      <c r="A1032" s="17" t="n">
        <v>46108</v>
      </c>
      <c r="B1032" s="18" t="n">
        <v>178804</v>
      </c>
      <c r="C1032" s="10">
        <f>TEXT($A1032,"YYYY-MM")</f>
        <v/>
      </c>
    </row>
    <row r="1033">
      <c r="A1033" s="17" t="n">
        <v>46109</v>
      </c>
      <c r="B1033" s="18" t="n">
        <v>201936</v>
      </c>
      <c r="C1033" s="10">
        <f>TEXT($A1033,"YYYY-MM")</f>
        <v/>
      </c>
    </row>
    <row r="1034">
      <c r="A1034" s="17" t="n">
        <v>46110</v>
      </c>
      <c r="B1034" s="18" t="n">
        <v>181337</v>
      </c>
      <c r="C1034" s="10">
        <f>TEXT($A1034,"YYYY-MM")</f>
        <v/>
      </c>
    </row>
    <row r="1035">
      <c r="A1035" s="17" t="n">
        <v>46111</v>
      </c>
      <c r="B1035" s="18" t="n">
        <v>152314</v>
      </c>
      <c r="C1035" s="10">
        <f>TEXT($A1035,"YYYY-MM")</f>
        <v/>
      </c>
    </row>
    <row r="1036">
      <c r="A1036" s="17" t="n">
        <v>46112</v>
      </c>
      <c r="B1036" s="18" t="n">
        <v>141622</v>
      </c>
      <c r="C1036" s="10">
        <f>TEXT($A1036,"YYYY-MM")</f>
        <v/>
      </c>
    </row>
    <row r="1037">
      <c r="A1037" s="17" t="n">
        <v>46113</v>
      </c>
      <c r="B1037" s="18" t="n">
        <v>169867</v>
      </c>
      <c r="C1037" s="10">
        <f>TEXT($A1037,"YYYY-MM")</f>
        <v/>
      </c>
    </row>
    <row r="1038">
      <c r="A1038" s="17" t="n">
        <v>46114</v>
      </c>
      <c r="B1038" s="18" t="n">
        <v>173199</v>
      </c>
      <c r="C1038" s="10">
        <f>TEXT($A1038,"YYYY-MM")</f>
        <v/>
      </c>
    </row>
    <row r="1039">
      <c r="A1039" s="17" t="n">
        <v>46115</v>
      </c>
      <c r="B1039" s="18" t="n">
        <v>201411</v>
      </c>
      <c r="C1039" s="10">
        <f>TEXT($A1039,"YYYY-MM")</f>
        <v/>
      </c>
    </row>
    <row r="1040">
      <c r="A1040" s="17" t="n">
        <v>46116</v>
      </c>
      <c r="B1040" s="18" t="n">
        <v>217753</v>
      </c>
      <c r="C1040" s="10">
        <f>TEXT($A1040,"YYYY-MM")</f>
        <v/>
      </c>
    </row>
    <row r="1041">
      <c r="A1041" s="17" t="n">
        <v>46117</v>
      </c>
      <c r="B1041" s="18" t="n">
        <v>234038</v>
      </c>
      <c r="C1041" s="10">
        <f>TEXT($A1041,"YYYY-MM")</f>
        <v/>
      </c>
    </row>
    <row r="1042">
      <c r="A1042" s="17" t="n">
        <v>46118</v>
      </c>
      <c r="B1042" s="18" t="n">
        <v>189784</v>
      </c>
      <c r="C1042" s="10">
        <f>TEXT($A1042,"YYYY-MM")</f>
        <v/>
      </c>
    </row>
    <row r="1043">
      <c r="A1043" s="17" t="n">
        <v>46119</v>
      </c>
      <c r="B1043" s="18" t="n">
        <v>197448</v>
      </c>
      <c r="C1043" s="10">
        <f>TEXT($A1043,"YYYY-MM")</f>
        <v/>
      </c>
    </row>
    <row r="1044">
      <c r="A1044" s="17" t="n">
        <v>46120</v>
      </c>
      <c r="B1044" s="18" t="n">
        <v>155777</v>
      </c>
      <c r="C1044" s="10">
        <f>TEXT($A1044,"YYYY-MM")</f>
        <v/>
      </c>
    </row>
    <row r="1045">
      <c r="A1045" s="17" t="n">
        <v>46121</v>
      </c>
      <c r="B1045" s="18" t="n">
        <v>155256</v>
      </c>
      <c r="C1045" s="10">
        <f>TEXT($A1045,"YYYY-MM")</f>
        <v/>
      </c>
    </row>
    <row r="1046">
      <c r="A1046" s="17" t="n">
        <v>46122</v>
      </c>
      <c r="B1046" s="18" t="n">
        <v>215423</v>
      </c>
      <c r="C1046" s="10">
        <f>TEXT($A1046,"YYYY-MM")</f>
        <v/>
      </c>
    </row>
    <row r="1047">
      <c r="A1047" s="17" t="n">
        <v>46123</v>
      </c>
      <c r="B1047" s="18" t="n">
        <v>236157</v>
      </c>
      <c r="C1047" s="10">
        <f>TEXT($A1047,"YYYY-MM")</f>
        <v/>
      </c>
    </row>
    <row r="1048">
      <c r="A1048" s="17" t="n">
        <v>46124</v>
      </c>
      <c r="B1048" s="18" t="n">
        <v>228820</v>
      </c>
      <c r="C1048" s="10">
        <f>TEXT($A1048,"YYYY-MM")</f>
        <v/>
      </c>
    </row>
    <row r="1049">
      <c r="A1049" s="17" t="n">
        <v>46125</v>
      </c>
      <c r="B1049" s="18" t="n">
        <v>159814</v>
      </c>
      <c r="C1049" s="10">
        <f>TEXT($A1049,"YYYY-MM")</f>
        <v/>
      </c>
    </row>
    <row r="1050">
      <c r="A1050" s="17" t="n">
        <v>46126</v>
      </c>
      <c r="B1050" s="18" t="n">
        <v>183767</v>
      </c>
      <c r="C1050" s="10">
        <f>TEXT($A1050,"YYYY-MM")</f>
        <v/>
      </c>
    </row>
    <row r="1051">
      <c r="A1051" s="17" t="n">
        <v>46127</v>
      </c>
      <c r="B1051" s="18" t="n">
        <v>174529</v>
      </c>
      <c r="C1051" s="10">
        <f>TEXT($A1051,"YYYY-MM")</f>
        <v/>
      </c>
    </row>
    <row r="1052">
      <c r="A1052" s="17" t="n">
        <v>46128</v>
      </c>
      <c r="B1052" s="18" t="n">
        <v>206334</v>
      </c>
      <c r="C1052" s="10">
        <f>TEXT($A1052,"YYYY-MM")</f>
        <v/>
      </c>
    </row>
    <row r="1053">
      <c r="A1053" s="17" t="n">
        <v>46129</v>
      </c>
      <c r="B1053" s="18" t="n">
        <v>172979</v>
      </c>
      <c r="C1053" s="10">
        <f>TEXT($A1053,"YYYY-MM")</f>
        <v/>
      </c>
    </row>
    <row r="1054">
      <c r="A1054" s="17" t="n">
        <v>46130</v>
      </c>
      <c r="B1054" s="18" t="n">
        <v>244214</v>
      </c>
      <c r="C1054" s="10">
        <f>TEXT($A1054,"YYYY-MM")</f>
        <v/>
      </c>
    </row>
    <row r="1055">
      <c r="A1055" s="17" t="n">
        <v>46131</v>
      </c>
      <c r="B1055" s="18" t="n">
        <v>203660</v>
      </c>
      <c r="C1055" s="10">
        <f>TEXT($A1055,"YYYY-MM")</f>
        <v/>
      </c>
    </row>
    <row r="1056">
      <c r="A1056" s="17" t="n">
        <v>46132</v>
      </c>
      <c r="B1056" s="18" t="n">
        <v>185507</v>
      </c>
      <c r="C1056" s="10">
        <f>TEXT($A1056,"YYYY-MM")</f>
        <v/>
      </c>
    </row>
    <row r="1057">
      <c r="A1057" s="17" t="n">
        <v>46133</v>
      </c>
      <c r="B1057" s="18" t="n">
        <v>180631</v>
      </c>
      <c r="C1057" s="10">
        <f>TEXT($A1057,"YYYY-MM")</f>
        <v/>
      </c>
    </row>
    <row r="1058">
      <c r="A1058" s="17" t="n">
        <v>46134</v>
      </c>
      <c r="B1058" s="18" t="n">
        <v>162558</v>
      </c>
      <c r="C1058" s="10">
        <f>TEXT($A1058,"YYYY-MM")</f>
        <v/>
      </c>
    </row>
    <row r="1059">
      <c r="A1059" s="17" t="n">
        <v>46135</v>
      </c>
      <c r="B1059" s="18" t="n">
        <v>173404</v>
      </c>
      <c r="C1059" s="10">
        <f>TEXT($A1059,"YYYY-MM")</f>
        <v/>
      </c>
    </row>
    <row r="1060">
      <c r="A1060" s="17" t="n">
        <v>46136</v>
      </c>
      <c r="B1060" s="18" t="n">
        <v>175572</v>
      </c>
      <c r="C1060" s="10">
        <f>TEXT($A1060,"YYYY-MM")</f>
        <v/>
      </c>
    </row>
    <row r="1061">
      <c r="A1061" s="17" t="n">
        <v>46137</v>
      </c>
      <c r="B1061" s="18" t="n">
        <v>213481</v>
      </c>
      <c r="C1061" s="10">
        <f>TEXT($A1061,"YYYY-MM")</f>
        <v/>
      </c>
    </row>
    <row r="1062">
      <c r="A1062" s="17" t="n">
        <v>46138</v>
      </c>
      <c r="B1062" s="18" t="n">
        <v>207658</v>
      </c>
      <c r="C1062" s="10">
        <f>TEXT($A1062,"YYYY-MM")</f>
        <v/>
      </c>
    </row>
    <row r="1063">
      <c r="A1063" s="17" t="n">
        <v>46139</v>
      </c>
      <c r="B1063" s="18" t="n">
        <v>180923</v>
      </c>
      <c r="C1063" s="10">
        <f>TEXT($A1063,"YYYY-MM")</f>
        <v/>
      </c>
    </row>
    <row r="1064">
      <c r="A1064" s="17" t="n">
        <v>46140</v>
      </c>
      <c r="B1064" s="18" t="n">
        <v>191603</v>
      </c>
      <c r="C1064" s="10">
        <f>TEXT($A1064,"YYYY-MM")</f>
        <v/>
      </c>
    </row>
    <row r="1065">
      <c r="A1065" s="17" t="n">
        <v>46141</v>
      </c>
      <c r="B1065" s="18" t="n">
        <v>178021</v>
      </c>
      <c r="C1065" s="10">
        <f>TEXT($A1065,"YYYY-MM")</f>
        <v/>
      </c>
    </row>
    <row r="1066">
      <c r="A1066" s="17" t="n">
        <v>46142</v>
      </c>
      <c r="B1066" s="18" t="n">
        <v>200544</v>
      </c>
      <c r="C1066" s="10">
        <f>TEXT($A1066,"YYYY-MM")</f>
        <v/>
      </c>
    </row>
    <row r="1067">
      <c r="A1067" s="17" t="n">
        <v>46143</v>
      </c>
      <c r="B1067" s="18" t="n">
        <v>249115</v>
      </c>
      <c r="C1067" s="10">
        <f>TEXT($A1067,"YYYY-MM")</f>
        <v/>
      </c>
    </row>
    <row r="1068">
      <c r="A1068" s="17" t="n">
        <v>46144</v>
      </c>
      <c r="B1068" s="18" t="n">
        <v>321970</v>
      </c>
      <c r="C1068" s="10">
        <f>TEXT($A1068,"YYYY-MM")</f>
        <v/>
      </c>
    </row>
    <row r="1069">
      <c r="A1069" s="17" t="n">
        <v>46145</v>
      </c>
      <c r="B1069" s="18" t="n">
        <v>262821</v>
      </c>
      <c r="C1069" s="10">
        <f>TEXT($A1069,"YYYY-MM")</f>
        <v/>
      </c>
    </row>
    <row r="1070">
      <c r="A1070" s="17" t="n">
        <v>46146</v>
      </c>
      <c r="B1070" s="18" t="n">
        <v>234034</v>
      </c>
      <c r="C1070" s="10">
        <f>TEXT($A1070,"YYYY-MM")</f>
        <v/>
      </c>
    </row>
    <row r="1071">
      <c r="A1071" s="17" t="n">
        <v>46147</v>
      </c>
      <c r="B1071" s="18" t="n">
        <v>250061</v>
      </c>
      <c r="C1071" s="10">
        <f>TEXT($A1071,"YYYY-MM")</f>
        <v/>
      </c>
    </row>
    <row r="1072">
      <c r="A1072" s="17" t="n">
        <v>46148</v>
      </c>
      <c r="B1072" s="18" t="n">
        <v>222133</v>
      </c>
      <c r="C1072" s="10">
        <f>TEXT($A1072,"YYYY-MM")</f>
        <v/>
      </c>
    </row>
    <row r="1073">
      <c r="A1073" s="17" t="n">
        <v>46149</v>
      </c>
      <c r="B1073" s="18" t="n">
        <v>242535</v>
      </c>
      <c r="C1073" s="10">
        <f>TEXT($A1073,"YYYY-MM")</f>
        <v/>
      </c>
    </row>
    <row r="1074">
      <c r="A1074" s="17" t="n">
        <v>46150</v>
      </c>
      <c r="B1074" s="18" t="n">
        <v>287637</v>
      </c>
      <c r="C1074" s="10">
        <f>TEXT($A1074,"YYYY-MM")</f>
        <v/>
      </c>
    </row>
    <row r="1075">
      <c r="A1075" s="17" t="n">
        <v>46151</v>
      </c>
      <c r="B1075" s="18" t="n">
        <v>330013</v>
      </c>
      <c r="C1075" s="10">
        <f>TEXT($A1075,"YYYY-MM")</f>
        <v/>
      </c>
    </row>
    <row r="1076">
      <c r="A1076" s="17" t="n">
        <v>46152</v>
      </c>
      <c r="B1076" s="18" t="n">
        <v>277797</v>
      </c>
      <c r="C1076" s="10">
        <f>TEXT($A1076,"YYYY-MM")</f>
        <v/>
      </c>
    </row>
    <row r="1077">
      <c r="A1077" s="17" t="n">
        <v>46153</v>
      </c>
      <c r="B1077" s="18" t="n">
        <v>251737</v>
      </c>
      <c r="C1077" s="10">
        <f>TEXT($A1077,"YYYY-MM")</f>
        <v/>
      </c>
    </row>
    <row r="1078">
      <c r="A1078" s="17" t="n">
        <v>46154</v>
      </c>
      <c r="B1078" s="18" t="n">
        <v>211936</v>
      </c>
      <c r="C1078" s="10">
        <f>TEXT($A1078,"YYYY-MM")</f>
        <v/>
      </c>
    </row>
    <row r="1079">
      <c r="A1079" s="17" t="n">
        <v>46155</v>
      </c>
      <c r="B1079" s="18" t="n">
        <v>215291</v>
      </c>
      <c r="C1079" s="10">
        <f>TEXT($A1079,"YYYY-MM")</f>
        <v/>
      </c>
    </row>
    <row r="1080">
      <c r="A1080" s="17" t="n">
        <v>46156</v>
      </c>
      <c r="B1080" s="18" t="n">
        <v>220375</v>
      </c>
      <c r="C1080" s="10">
        <f>TEXT($A1080,"YYYY-MM")</f>
        <v/>
      </c>
    </row>
    <row r="1081">
      <c r="A1081" s="17" t="n">
        <v>46157</v>
      </c>
      <c r="B1081" s="18" t="n">
        <v>299432</v>
      </c>
      <c r="C1081" s="10">
        <f>TEXT($A1081,"YYYY-MM")</f>
        <v/>
      </c>
    </row>
    <row r="1082">
      <c r="A1082" s="17" t="n">
        <v>46158</v>
      </c>
      <c r="B1082" s="18" t="n">
        <v>307531</v>
      </c>
      <c r="C1082" s="10">
        <f>TEXT($A1082,"YYYY-MM")</f>
        <v/>
      </c>
    </row>
    <row r="1083">
      <c r="A1083" s="17" t="n">
        <v>46159</v>
      </c>
      <c r="B1083" s="18" t="n">
        <v>265082</v>
      </c>
      <c r="C1083" s="10">
        <f>TEXT($A1083,"YYYY-MM")</f>
        <v/>
      </c>
    </row>
    <row r="1084">
      <c r="A1084" s="17" t="n">
        <v>46160</v>
      </c>
      <c r="B1084" s="18" t="n">
        <v>247415</v>
      </c>
      <c r="C1084" s="10">
        <f>TEXT($A1084,"YYYY-MM")</f>
        <v/>
      </c>
    </row>
    <row r="1085">
      <c r="A1085" s="17" t="n">
        <v>46161</v>
      </c>
      <c r="B1085" s="18" t="n">
        <v>248786</v>
      </c>
      <c r="C1085" s="10">
        <f>TEXT($A1085,"YYYY-MM")</f>
        <v/>
      </c>
    </row>
    <row r="1086">
      <c r="A1086" s="17" t="n">
        <v>46162</v>
      </c>
      <c r="B1086" s="18" t="n">
        <v>219680</v>
      </c>
      <c r="C1086" s="10">
        <f>TEXT($A1086,"YYYY-MM")</f>
        <v/>
      </c>
    </row>
    <row r="1087">
      <c r="A1087" s="17" t="n">
        <v>46163</v>
      </c>
      <c r="B1087" s="18" t="n">
        <v>235317</v>
      </c>
      <c r="C1087" s="10">
        <f>TEXT($A1087,"YYYY-MM")</f>
        <v/>
      </c>
    </row>
    <row r="1088">
      <c r="A1088" s="17" t="n">
        <v>46164</v>
      </c>
      <c r="B1088" s="18" t="n">
        <v>304507</v>
      </c>
      <c r="C1088" s="10">
        <f>TEXT($A1088,"YYYY-MM")</f>
        <v/>
      </c>
    </row>
    <row r="1089">
      <c r="A1089" s="17" t="n">
        <v>46165</v>
      </c>
      <c r="B1089" s="18" t="n">
        <v>286085</v>
      </c>
      <c r="C1089" s="10">
        <f>TEXT($A1089,"YYYY-MM")</f>
        <v/>
      </c>
    </row>
    <row r="1090">
      <c r="A1090" s="17" t="n">
        <v>46166</v>
      </c>
      <c r="B1090" s="18" t="n">
        <v>244135</v>
      </c>
      <c r="C1090" s="10">
        <f>TEXT($A1090,"YYYY-MM")</f>
        <v/>
      </c>
    </row>
    <row r="1091">
      <c r="A1091" s="17" t="n">
        <v>46167</v>
      </c>
      <c r="B1091" s="18" t="n">
        <v>251823</v>
      </c>
      <c r="C1091" s="10">
        <f>TEXT($A1091,"YYYY-MM")</f>
        <v/>
      </c>
    </row>
    <row r="1092">
      <c r="A1092" s="17" t="n">
        <v>46168</v>
      </c>
      <c r="B1092" s="18" t="n">
        <v>274057</v>
      </c>
      <c r="C1092" s="10">
        <f>TEXT($A1092,"YYYY-MM")</f>
        <v/>
      </c>
    </row>
    <row r="1093">
      <c r="A1093" s="17" t="n">
        <v>46169</v>
      </c>
      <c r="B1093" s="18" t="n">
        <v>280389</v>
      </c>
      <c r="C1093" s="10">
        <f>TEXT($A1093,"YYYY-MM")</f>
        <v/>
      </c>
    </row>
    <row r="1094">
      <c r="A1094" s="17" t="n">
        <v>46170</v>
      </c>
      <c r="B1094" s="18" t="n">
        <v>269502</v>
      </c>
      <c r="C1094" s="10">
        <f>TEXT($A1094,"YYYY-MM")</f>
        <v/>
      </c>
    </row>
    <row r="1095">
      <c r="A1095" s="17" t="n">
        <v>46171</v>
      </c>
      <c r="B1095" s="18" t="n">
        <v>278335</v>
      </c>
      <c r="C1095" s="10">
        <f>TEXT($A1095,"YYYY-MM")</f>
        <v/>
      </c>
    </row>
    <row r="1096">
      <c r="A1096" s="17" t="n">
        <v>46172</v>
      </c>
      <c r="B1096" s="18" t="n">
        <v>331475</v>
      </c>
      <c r="C1096" s="10">
        <f>TEXT($A1096,"YYYY-MM")</f>
        <v/>
      </c>
    </row>
    <row r="1097">
      <c r="A1097" s="17" t="n">
        <v>46173</v>
      </c>
      <c r="B1097" s="18" t="n">
        <v>248281</v>
      </c>
      <c r="C1097" s="10">
        <f>TEXT($A1097,"YYYY-MM")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16" customWidth="1" min="4" max="4"/>
    <col width="16" customWidth="1" min="5" max="5"/>
    <col width="16" customWidth="1" min="6" max="6"/>
    <col width="9" customWidth="1" min="7" max="7"/>
    <col width="3" customWidth="1" min="8" max="8"/>
    <col width="9" customWidth="1" min="9" max="9"/>
    <col width="9" customWidth="1" min="10" max="10"/>
    <col width="3" customWidth="1" min="11" max="11"/>
    <col width="16" customWidth="1" min="12" max="12"/>
    <col width="12" customWidth="1" min="13" max="13"/>
  </cols>
  <sheetData>
    <row r="1">
      <c r="A1" s="7" t="inlineStr">
        <is>
          <t>ANALYSIS  (live trend, seasonality, and forecast referencing Clean Data)</t>
        </is>
      </c>
      <c r="L1" s="14" t="inlineStr">
        <is>
          <t>Slope/mo</t>
        </is>
      </c>
      <c r="M1" s="10">
        <f>SLOPE(D14:D49,A14:A49)</f>
        <v/>
      </c>
    </row>
    <row r="2">
      <c r="L2" s="14" t="inlineStr">
        <is>
          <t>Intercept</t>
        </is>
      </c>
      <c r="M2" s="10">
        <f>INTERCEPT(D14:D49,A14:A49)</f>
        <v/>
      </c>
    </row>
    <row r="3">
      <c r="A3" s="6" t="inlineStr">
        <is>
          <t>Key metrics</t>
        </is>
      </c>
      <c r="L3" s="14" t="inlineStr">
        <is>
          <t>Avg month</t>
        </is>
      </c>
      <c r="M3" s="18">
        <f>AVERAGE(D14:D49)</f>
        <v/>
      </c>
    </row>
    <row r="4">
      <c r="A4" s="19" t="inlineStr">
        <is>
          <t>Months of history</t>
        </is>
      </c>
      <c r="B4" s="20">
        <f>36</f>
        <v/>
      </c>
      <c r="L4" s="14" t="inlineStr">
        <is>
          <t>MAPE</t>
        </is>
      </c>
      <c r="M4" s="21">
        <f>AVERAGE(G14:G49)</f>
        <v/>
      </c>
    </row>
    <row r="5">
      <c r="A5" s="19" t="inlineStr">
        <is>
          <t>Average month</t>
        </is>
      </c>
      <c r="B5" s="22">
        <f>M3</f>
        <v/>
      </c>
    </row>
    <row r="6">
      <c r="A6" s="19" t="inlineStr">
        <is>
          <t>Trend per month</t>
        </is>
      </c>
      <c r="B6" s="22">
        <f>M1</f>
        <v/>
      </c>
    </row>
    <row r="7">
      <c r="A7" s="19" t="inlineStr">
        <is>
          <t>Forecast accuracy (MAPE)</t>
        </is>
      </c>
      <c r="B7" s="23">
        <f>M4</f>
        <v/>
      </c>
    </row>
    <row r="8">
      <c r="A8" s="19" t="inlineStr">
        <is>
          <t>Forecast 2026-06</t>
        </is>
      </c>
      <c r="B8" s="22">
        <f>F50</f>
        <v/>
      </c>
    </row>
    <row r="13" ht="26" customHeight="1">
      <c r="A13" s="9" t="inlineStr">
        <is>
          <t>#</t>
        </is>
      </c>
      <c r="B13" s="9" t="inlineStr">
        <is>
          <t>Month</t>
        </is>
      </c>
      <c r="C13" s="9" t="inlineStr">
        <is>
          <t>CM</t>
        </is>
      </c>
      <c r="D13" s="9" t="inlineStr">
        <is>
          <t>Actual</t>
        </is>
      </c>
      <c r="E13" s="9" t="inlineStr">
        <is>
          <t>Trend</t>
        </is>
      </c>
      <c r="F13" s="9" t="inlineStr">
        <is>
          <t>Model</t>
        </is>
      </c>
      <c r="G13" s="9" t="inlineStr">
        <is>
          <t>Err %</t>
        </is>
      </c>
      <c r="H13" s="9" t="inlineStr">
        <is>
          <t>CM</t>
        </is>
      </c>
      <c r="I13" s="9" t="inlineStr">
        <is>
          <t>Seasonal idx</t>
        </is>
      </c>
    </row>
    <row r="14">
      <c r="A14" s="10" t="n">
        <v>1</v>
      </c>
      <c r="B14" s="10" t="inlineStr">
        <is>
          <t>2023-06</t>
        </is>
      </c>
      <c r="C14" s="10" t="n">
        <v>6</v>
      </c>
      <c r="D14" s="18">
        <f>SUMIFS('Clean Data'!$B$2:$B$1097,'Clean Data'!$C$2:$C$1097,$B14)</f>
        <v/>
      </c>
      <c r="E14" s="18">
        <f>$M$2+$M$1*A14</f>
        <v/>
      </c>
      <c r="F14" s="18">
        <f>E14*INDEX($I$14:$I$25,C14)</f>
        <v/>
      </c>
      <c r="G14" s="21">
        <f>IFERROR(ABS(D14-F14)/D14,"")</f>
        <v/>
      </c>
      <c r="H14" s="10" t="n">
        <v>1</v>
      </c>
      <c r="I14" s="24">
        <f>AVERAGEIFS($D$14:$D$49,$C$14:$C$49,H14)/$M$3</f>
        <v/>
      </c>
    </row>
    <row r="15">
      <c r="A15" s="10" t="n">
        <v>2</v>
      </c>
      <c r="B15" s="10" t="inlineStr">
        <is>
          <t>2023-07</t>
        </is>
      </c>
      <c r="C15" s="10" t="n">
        <v>7</v>
      </c>
      <c r="D15" s="18">
        <f>SUMIFS('Clean Data'!$B$2:$B$1097,'Clean Data'!$C$2:$C$1097,$B15)</f>
        <v/>
      </c>
      <c r="E15" s="18">
        <f>$M$2+$M$1*A15</f>
        <v/>
      </c>
      <c r="F15" s="18">
        <f>E15*INDEX($I$14:$I$25,C15)</f>
        <v/>
      </c>
      <c r="G15" s="21">
        <f>IFERROR(ABS(D15-F15)/D15,"")</f>
        <v/>
      </c>
      <c r="H15" s="10" t="n">
        <v>2</v>
      </c>
      <c r="I15" s="24">
        <f>AVERAGEIFS($D$14:$D$49,$C$14:$C$49,H15)/$M$3</f>
        <v/>
      </c>
    </row>
    <row r="16">
      <c r="A16" s="10" t="n">
        <v>3</v>
      </c>
      <c r="B16" s="10" t="inlineStr">
        <is>
          <t>2023-08</t>
        </is>
      </c>
      <c r="C16" s="10" t="n">
        <v>8</v>
      </c>
      <c r="D16" s="18">
        <f>SUMIFS('Clean Data'!$B$2:$B$1097,'Clean Data'!$C$2:$C$1097,$B16)</f>
        <v/>
      </c>
      <c r="E16" s="18">
        <f>$M$2+$M$1*A16</f>
        <v/>
      </c>
      <c r="F16" s="18">
        <f>E16*INDEX($I$14:$I$25,C16)</f>
        <v/>
      </c>
      <c r="G16" s="21">
        <f>IFERROR(ABS(D16-F16)/D16,"")</f>
        <v/>
      </c>
      <c r="H16" s="10" t="n">
        <v>3</v>
      </c>
      <c r="I16" s="24">
        <f>AVERAGEIFS($D$14:$D$49,$C$14:$C$49,H16)/$M$3</f>
        <v/>
      </c>
    </row>
    <row r="17">
      <c r="A17" s="10" t="n">
        <v>4</v>
      </c>
      <c r="B17" s="10" t="inlineStr">
        <is>
          <t>2023-09</t>
        </is>
      </c>
      <c r="C17" s="10" t="n">
        <v>9</v>
      </c>
      <c r="D17" s="18">
        <f>SUMIFS('Clean Data'!$B$2:$B$1097,'Clean Data'!$C$2:$C$1097,$B17)</f>
        <v/>
      </c>
      <c r="E17" s="18">
        <f>$M$2+$M$1*A17</f>
        <v/>
      </c>
      <c r="F17" s="18">
        <f>E17*INDEX($I$14:$I$25,C17)</f>
        <v/>
      </c>
      <c r="G17" s="21">
        <f>IFERROR(ABS(D17-F17)/D17,"")</f>
        <v/>
      </c>
      <c r="H17" s="10" t="n">
        <v>4</v>
      </c>
      <c r="I17" s="24">
        <f>AVERAGEIFS($D$14:$D$49,$C$14:$C$49,H17)/$M$3</f>
        <v/>
      </c>
    </row>
    <row r="18">
      <c r="A18" s="10" t="n">
        <v>5</v>
      </c>
      <c r="B18" s="10" t="inlineStr">
        <is>
          <t>2023-10</t>
        </is>
      </c>
      <c r="C18" s="10" t="n">
        <v>10</v>
      </c>
      <c r="D18" s="18">
        <f>SUMIFS('Clean Data'!$B$2:$B$1097,'Clean Data'!$C$2:$C$1097,$B18)</f>
        <v/>
      </c>
      <c r="E18" s="18">
        <f>$M$2+$M$1*A18</f>
        <v/>
      </c>
      <c r="F18" s="18">
        <f>E18*INDEX($I$14:$I$25,C18)</f>
        <v/>
      </c>
      <c r="G18" s="21">
        <f>IFERROR(ABS(D18-F18)/D18,"")</f>
        <v/>
      </c>
      <c r="H18" s="10" t="n">
        <v>5</v>
      </c>
      <c r="I18" s="24">
        <f>AVERAGEIFS($D$14:$D$49,$C$14:$C$49,H18)/$M$3</f>
        <v/>
      </c>
    </row>
    <row r="19">
      <c r="A19" s="10" t="n">
        <v>6</v>
      </c>
      <c r="B19" s="10" t="inlineStr">
        <is>
          <t>2023-11</t>
        </is>
      </c>
      <c r="C19" s="10" t="n">
        <v>11</v>
      </c>
      <c r="D19" s="18">
        <f>SUMIFS('Clean Data'!$B$2:$B$1097,'Clean Data'!$C$2:$C$1097,$B19)</f>
        <v/>
      </c>
      <c r="E19" s="18">
        <f>$M$2+$M$1*A19</f>
        <v/>
      </c>
      <c r="F19" s="18">
        <f>E19*INDEX($I$14:$I$25,C19)</f>
        <v/>
      </c>
      <c r="G19" s="21">
        <f>IFERROR(ABS(D19-F19)/D19,"")</f>
        <v/>
      </c>
      <c r="H19" s="10" t="n">
        <v>6</v>
      </c>
      <c r="I19" s="24">
        <f>AVERAGEIFS($D$14:$D$49,$C$14:$C$49,H19)/$M$3</f>
        <v/>
      </c>
    </row>
    <row r="20">
      <c r="A20" s="10" t="n">
        <v>7</v>
      </c>
      <c r="B20" s="10" t="inlineStr">
        <is>
          <t>2023-12</t>
        </is>
      </c>
      <c r="C20" s="10" t="n">
        <v>12</v>
      </c>
      <c r="D20" s="18">
        <f>SUMIFS('Clean Data'!$B$2:$B$1097,'Clean Data'!$C$2:$C$1097,$B20)</f>
        <v/>
      </c>
      <c r="E20" s="18">
        <f>$M$2+$M$1*A20</f>
        <v/>
      </c>
      <c r="F20" s="18">
        <f>E20*INDEX($I$14:$I$25,C20)</f>
        <v/>
      </c>
      <c r="G20" s="21">
        <f>IFERROR(ABS(D20-F20)/D20,"")</f>
        <v/>
      </c>
      <c r="H20" s="10" t="n">
        <v>7</v>
      </c>
      <c r="I20" s="24">
        <f>AVERAGEIFS($D$14:$D$49,$C$14:$C$49,H20)/$M$3</f>
        <v/>
      </c>
    </row>
    <row r="21">
      <c r="A21" s="10" t="n">
        <v>8</v>
      </c>
      <c r="B21" s="10" t="inlineStr">
        <is>
          <t>2024-01</t>
        </is>
      </c>
      <c r="C21" s="10" t="n">
        <v>1</v>
      </c>
      <c r="D21" s="18">
        <f>SUMIFS('Clean Data'!$B$2:$B$1097,'Clean Data'!$C$2:$C$1097,$B21)</f>
        <v/>
      </c>
      <c r="E21" s="18">
        <f>$M$2+$M$1*A21</f>
        <v/>
      </c>
      <c r="F21" s="18">
        <f>E21*INDEX($I$14:$I$25,C21)</f>
        <v/>
      </c>
      <c r="G21" s="21">
        <f>IFERROR(ABS(D21-F21)/D21,"")</f>
        <v/>
      </c>
      <c r="H21" s="10" t="n">
        <v>8</v>
      </c>
      <c r="I21" s="24">
        <f>AVERAGEIFS($D$14:$D$49,$C$14:$C$49,H21)/$M$3</f>
        <v/>
      </c>
    </row>
    <row r="22">
      <c r="A22" s="10" t="n">
        <v>9</v>
      </c>
      <c r="B22" s="10" t="inlineStr">
        <is>
          <t>2024-02</t>
        </is>
      </c>
      <c r="C22" s="10" t="n">
        <v>2</v>
      </c>
      <c r="D22" s="18">
        <f>SUMIFS('Clean Data'!$B$2:$B$1097,'Clean Data'!$C$2:$C$1097,$B22)</f>
        <v/>
      </c>
      <c r="E22" s="18">
        <f>$M$2+$M$1*A22</f>
        <v/>
      </c>
      <c r="F22" s="18">
        <f>E22*INDEX($I$14:$I$25,C22)</f>
        <v/>
      </c>
      <c r="G22" s="21">
        <f>IFERROR(ABS(D22-F22)/D22,"")</f>
        <v/>
      </c>
      <c r="H22" s="10" t="n">
        <v>9</v>
      </c>
      <c r="I22" s="24">
        <f>AVERAGEIFS($D$14:$D$49,$C$14:$C$49,H22)/$M$3</f>
        <v/>
      </c>
    </row>
    <row r="23">
      <c r="A23" s="10" t="n">
        <v>10</v>
      </c>
      <c r="B23" s="10" t="inlineStr">
        <is>
          <t>2024-03</t>
        </is>
      </c>
      <c r="C23" s="10" t="n">
        <v>3</v>
      </c>
      <c r="D23" s="18">
        <f>SUMIFS('Clean Data'!$B$2:$B$1097,'Clean Data'!$C$2:$C$1097,$B23)</f>
        <v/>
      </c>
      <c r="E23" s="18">
        <f>$M$2+$M$1*A23</f>
        <v/>
      </c>
      <c r="F23" s="18">
        <f>E23*INDEX($I$14:$I$25,C23)</f>
        <v/>
      </c>
      <c r="G23" s="21">
        <f>IFERROR(ABS(D23-F23)/D23,"")</f>
        <v/>
      </c>
      <c r="H23" s="10" t="n">
        <v>10</v>
      </c>
      <c r="I23" s="24">
        <f>AVERAGEIFS($D$14:$D$49,$C$14:$C$49,H23)/$M$3</f>
        <v/>
      </c>
    </row>
    <row r="24">
      <c r="A24" s="10" t="n">
        <v>11</v>
      </c>
      <c r="B24" s="10" t="inlineStr">
        <is>
          <t>2024-04</t>
        </is>
      </c>
      <c r="C24" s="10" t="n">
        <v>4</v>
      </c>
      <c r="D24" s="18">
        <f>SUMIFS('Clean Data'!$B$2:$B$1097,'Clean Data'!$C$2:$C$1097,$B24)</f>
        <v/>
      </c>
      <c r="E24" s="18">
        <f>$M$2+$M$1*A24</f>
        <v/>
      </c>
      <c r="F24" s="18">
        <f>E24*INDEX($I$14:$I$25,C24)</f>
        <v/>
      </c>
      <c r="G24" s="21">
        <f>IFERROR(ABS(D24-F24)/D24,"")</f>
        <v/>
      </c>
      <c r="H24" s="10" t="n">
        <v>11</v>
      </c>
      <c r="I24" s="24">
        <f>AVERAGEIFS($D$14:$D$49,$C$14:$C$49,H24)/$M$3</f>
        <v/>
      </c>
    </row>
    <row r="25">
      <c r="A25" s="10" t="n">
        <v>12</v>
      </c>
      <c r="B25" s="10" t="inlineStr">
        <is>
          <t>2024-05</t>
        </is>
      </c>
      <c r="C25" s="10" t="n">
        <v>5</v>
      </c>
      <c r="D25" s="18">
        <f>SUMIFS('Clean Data'!$B$2:$B$1097,'Clean Data'!$C$2:$C$1097,$B25)</f>
        <v/>
      </c>
      <c r="E25" s="18">
        <f>$M$2+$M$1*A25</f>
        <v/>
      </c>
      <c r="F25" s="18">
        <f>E25*INDEX($I$14:$I$25,C25)</f>
        <v/>
      </c>
      <c r="G25" s="21">
        <f>IFERROR(ABS(D25-F25)/D25,"")</f>
        <v/>
      </c>
      <c r="H25" s="10" t="n">
        <v>12</v>
      </c>
      <c r="I25" s="24">
        <f>AVERAGEIFS($D$14:$D$49,$C$14:$C$49,H25)/$M$3</f>
        <v/>
      </c>
    </row>
    <row r="26">
      <c r="A26" s="10" t="n">
        <v>13</v>
      </c>
      <c r="B26" s="10" t="inlineStr">
        <is>
          <t>2024-06</t>
        </is>
      </c>
      <c r="C26" s="10" t="n">
        <v>6</v>
      </c>
      <c r="D26" s="18">
        <f>SUMIFS('Clean Data'!$B$2:$B$1097,'Clean Data'!$C$2:$C$1097,$B26)</f>
        <v/>
      </c>
      <c r="E26" s="18">
        <f>$M$2+$M$1*A26</f>
        <v/>
      </c>
      <c r="F26" s="18">
        <f>E26*INDEX($I$14:$I$25,C26)</f>
        <v/>
      </c>
      <c r="G26" s="21">
        <f>IFERROR(ABS(D26-F26)/D26,"")</f>
        <v/>
      </c>
    </row>
    <row r="27">
      <c r="A27" s="10" t="n">
        <v>14</v>
      </c>
      <c r="B27" s="10" t="inlineStr">
        <is>
          <t>2024-07</t>
        </is>
      </c>
      <c r="C27" s="10" t="n">
        <v>7</v>
      </c>
      <c r="D27" s="18">
        <f>SUMIFS('Clean Data'!$B$2:$B$1097,'Clean Data'!$C$2:$C$1097,$B27)</f>
        <v/>
      </c>
      <c r="E27" s="18">
        <f>$M$2+$M$1*A27</f>
        <v/>
      </c>
      <c r="F27" s="18">
        <f>E27*INDEX($I$14:$I$25,C27)</f>
        <v/>
      </c>
      <c r="G27" s="21">
        <f>IFERROR(ABS(D27-F27)/D27,"")</f>
        <v/>
      </c>
    </row>
    <row r="28">
      <c r="A28" s="10" t="n">
        <v>15</v>
      </c>
      <c r="B28" s="10" t="inlineStr">
        <is>
          <t>2024-08</t>
        </is>
      </c>
      <c r="C28" s="10" t="n">
        <v>8</v>
      </c>
      <c r="D28" s="18">
        <f>SUMIFS('Clean Data'!$B$2:$B$1097,'Clean Data'!$C$2:$C$1097,$B28)</f>
        <v/>
      </c>
      <c r="E28" s="18">
        <f>$M$2+$M$1*A28</f>
        <v/>
      </c>
      <c r="F28" s="18">
        <f>E28*INDEX($I$14:$I$25,C28)</f>
        <v/>
      </c>
      <c r="G28" s="21">
        <f>IFERROR(ABS(D28-F28)/D28,"")</f>
        <v/>
      </c>
    </row>
    <row r="29">
      <c r="A29" s="10" t="n">
        <v>16</v>
      </c>
      <c r="B29" s="10" t="inlineStr">
        <is>
          <t>2024-09</t>
        </is>
      </c>
      <c r="C29" s="10" t="n">
        <v>9</v>
      </c>
      <c r="D29" s="18">
        <f>SUMIFS('Clean Data'!$B$2:$B$1097,'Clean Data'!$C$2:$C$1097,$B29)</f>
        <v/>
      </c>
      <c r="E29" s="18">
        <f>$M$2+$M$1*A29</f>
        <v/>
      </c>
      <c r="F29" s="18">
        <f>E29*INDEX($I$14:$I$25,C29)</f>
        <v/>
      </c>
      <c r="G29" s="21">
        <f>IFERROR(ABS(D29-F29)/D29,"")</f>
        <v/>
      </c>
    </row>
    <row r="30">
      <c r="A30" s="10" t="n">
        <v>17</v>
      </c>
      <c r="B30" s="10" t="inlineStr">
        <is>
          <t>2024-10</t>
        </is>
      </c>
      <c r="C30" s="10" t="n">
        <v>10</v>
      </c>
      <c r="D30" s="18">
        <f>SUMIFS('Clean Data'!$B$2:$B$1097,'Clean Data'!$C$2:$C$1097,$B30)</f>
        <v/>
      </c>
      <c r="E30" s="18">
        <f>$M$2+$M$1*A30</f>
        <v/>
      </c>
      <c r="F30" s="18">
        <f>E30*INDEX($I$14:$I$25,C30)</f>
        <v/>
      </c>
      <c r="G30" s="21">
        <f>IFERROR(ABS(D30-F30)/D30,"")</f>
        <v/>
      </c>
    </row>
    <row r="31">
      <c r="A31" s="10" t="n">
        <v>18</v>
      </c>
      <c r="B31" s="10" t="inlineStr">
        <is>
          <t>2024-11</t>
        </is>
      </c>
      <c r="C31" s="10" t="n">
        <v>11</v>
      </c>
      <c r="D31" s="18">
        <f>SUMIFS('Clean Data'!$B$2:$B$1097,'Clean Data'!$C$2:$C$1097,$B31)</f>
        <v/>
      </c>
      <c r="E31" s="18">
        <f>$M$2+$M$1*A31</f>
        <v/>
      </c>
      <c r="F31" s="18">
        <f>E31*INDEX($I$14:$I$25,C31)</f>
        <v/>
      </c>
      <c r="G31" s="21">
        <f>IFERROR(ABS(D31-F31)/D31,"")</f>
        <v/>
      </c>
    </row>
    <row r="32">
      <c r="A32" s="10" t="n">
        <v>19</v>
      </c>
      <c r="B32" s="10" t="inlineStr">
        <is>
          <t>2024-12</t>
        </is>
      </c>
      <c r="C32" s="10" t="n">
        <v>12</v>
      </c>
      <c r="D32" s="18">
        <f>SUMIFS('Clean Data'!$B$2:$B$1097,'Clean Data'!$C$2:$C$1097,$B32)</f>
        <v/>
      </c>
      <c r="E32" s="18">
        <f>$M$2+$M$1*A32</f>
        <v/>
      </c>
      <c r="F32" s="18">
        <f>E32*INDEX($I$14:$I$25,C32)</f>
        <v/>
      </c>
      <c r="G32" s="21">
        <f>IFERROR(ABS(D32-F32)/D32,"")</f>
        <v/>
      </c>
    </row>
    <row r="33">
      <c r="A33" s="10" t="n">
        <v>20</v>
      </c>
      <c r="B33" s="10" t="inlineStr">
        <is>
          <t>2025-01</t>
        </is>
      </c>
      <c r="C33" s="10" t="n">
        <v>1</v>
      </c>
      <c r="D33" s="18">
        <f>SUMIFS('Clean Data'!$B$2:$B$1097,'Clean Data'!$C$2:$C$1097,$B33)</f>
        <v/>
      </c>
      <c r="E33" s="18">
        <f>$M$2+$M$1*A33</f>
        <v/>
      </c>
      <c r="F33" s="18">
        <f>E33*INDEX($I$14:$I$25,C33)</f>
        <v/>
      </c>
      <c r="G33" s="21">
        <f>IFERROR(ABS(D33-F33)/D33,"")</f>
        <v/>
      </c>
    </row>
    <row r="34">
      <c r="A34" s="10" t="n">
        <v>21</v>
      </c>
      <c r="B34" s="10" t="inlineStr">
        <is>
          <t>2025-02</t>
        </is>
      </c>
      <c r="C34" s="10" t="n">
        <v>2</v>
      </c>
      <c r="D34" s="18">
        <f>SUMIFS('Clean Data'!$B$2:$B$1097,'Clean Data'!$C$2:$C$1097,$B34)</f>
        <v/>
      </c>
      <c r="E34" s="18">
        <f>$M$2+$M$1*A34</f>
        <v/>
      </c>
      <c r="F34" s="18">
        <f>E34*INDEX($I$14:$I$25,C34)</f>
        <v/>
      </c>
      <c r="G34" s="21">
        <f>IFERROR(ABS(D34-F34)/D34,"")</f>
        <v/>
      </c>
    </row>
    <row r="35">
      <c r="A35" s="10" t="n">
        <v>22</v>
      </c>
      <c r="B35" s="10" t="inlineStr">
        <is>
          <t>2025-03</t>
        </is>
      </c>
      <c r="C35" s="10" t="n">
        <v>3</v>
      </c>
      <c r="D35" s="18">
        <f>SUMIFS('Clean Data'!$B$2:$B$1097,'Clean Data'!$C$2:$C$1097,$B35)</f>
        <v/>
      </c>
      <c r="E35" s="18">
        <f>$M$2+$M$1*A35</f>
        <v/>
      </c>
      <c r="F35" s="18">
        <f>E35*INDEX($I$14:$I$25,C35)</f>
        <v/>
      </c>
      <c r="G35" s="21">
        <f>IFERROR(ABS(D35-F35)/D35,"")</f>
        <v/>
      </c>
    </row>
    <row r="36">
      <c r="A36" s="10" t="n">
        <v>23</v>
      </c>
      <c r="B36" s="10" t="inlineStr">
        <is>
          <t>2025-04</t>
        </is>
      </c>
      <c r="C36" s="10" t="n">
        <v>4</v>
      </c>
      <c r="D36" s="18">
        <f>SUMIFS('Clean Data'!$B$2:$B$1097,'Clean Data'!$C$2:$C$1097,$B36)</f>
        <v/>
      </c>
      <c r="E36" s="18">
        <f>$M$2+$M$1*A36</f>
        <v/>
      </c>
      <c r="F36" s="18">
        <f>E36*INDEX($I$14:$I$25,C36)</f>
        <v/>
      </c>
      <c r="G36" s="21">
        <f>IFERROR(ABS(D36-F36)/D36,"")</f>
        <v/>
      </c>
    </row>
    <row r="37">
      <c r="A37" s="10" t="n">
        <v>24</v>
      </c>
      <c r="B37" s="10" t="inlineStr">
        <is>
          <t>2025-05</t>
        </is>
      </c>
      <c r="C37" s="10" t="n">
        <v>5</v>
      </c>
      <c r="D37" s="18">
        <f>SUMIFS('Clean Data'!$B$2:$B$1097,'Clean Data'!$C$2:$C$1097,$B37)</f>
        <v/>
      </c>
      <c r="E37" s="18">
        <f>$M$2+$M$1*A37</f>
        <v/>
      </c>
      <c r="F37" s="18">
        <f>E37*INDEX($I$14:$I$25,C37)</f>
        <v/>
      </c>
      <c r="G37" s="21">
        <f>IFERROR(ABS(D37-F37)/D37,"")</f>
        <v/>
      </c>
    </row>
    <row r="38">
      <c r="A38" s="10" t="n">
        <v>25</v>
      </c>
      <c r="B38" s="10" t="inlineStr">
        <is>
          <t>2025-06</t>
        </is>
      </c>
      <c r="C38" s="10" t="n">
        <v>6</v>
      </c>
      <c r="D38" s="18">
        <f>SUMIFS('Clean Data'!$B$2:$B$1097,'Clean Data'!$C$2:$C$1097,$B38)</f>
        <v/>
      </c>
      <c r="E38" s="18">
        <f>$M$2+$M$1*A38</f>
        <v/>
      </c>
      <c r="F38" s="18">
        <f>E38*INDEX($I$14:$I$25,C38)</f>
        <v/>
      </c>
      <c r="G38" s="21">
        <f>IFERROR(ABS(D38-F38)/D38,"")</f>
        <v/>
      </c>
    </row>
    <row r="39">
      <c r="A39" s="10" t="n">
        <v>26</v>
      </c>
      <c r="B39" s="10" t="inlineStr">
        <is>
          <t>2025-07</t>
        </is>
      </c>
      <c r="C39" s="10" t="n">
        <v>7</v>
      </c>
      <c r="D39" s="18">
        <f>SUMIFS('Clean Data'!$B$2:$B$1097,'Clean Data'!$C$2:$C$1097,$B39)</f>
        <v/>
      </c>
      <c r="E39" s="18">
        <f>$M$2+$M$1*A39</f>
        <v/>
      </c>
      <c r="F39" s="18">
        <f>E39*INDEX($I$14:$I$25,C39)</f>
        <v/>
      </c>
      <c r="G39" s="21">
        <f>IFERROR(ABS(D39-F39)/D39,"")</f>
        <v/>
      </c>
    </row>
    <row r="40">
      <c r="A40" s="10" t="n">
        <v>27</v>
      </c>
      <c r="B40" s="10" t="inlineStr">
        <is>
          <t>2025-08</t>
        </is>
      </c>
      <c r="C40" s="10" t="n">
        <v>8</v>
      </c>
      <c r="D40" s="18">
        <f>SUMIFS('Clean Data'!$B$2:$B$1097,'Clean Data'!$C$2:$C$1097,$B40)</f>
        <v/>
      </c>
      <c r="E40" s="18">
        <f>$M$2+$M$1*A40</f>
        <v/>
      </c>
      <c r="F40" s="18">
        <f>E40*INDEX($I$14:$I$25,C40)</f>
        <v/>
      </c>
      <c r="G40" s="21">
        <f>IFERROR(ABS(D40-F40)/D40,"")</f>
        <v/>
      </c>
    </row>
    <row r="41">
      <c r="A41" s="10" t="n">
        <v>28</v>
      </c>
      <c r="B41" s="10" t="inlineStr">
        <is>
          <t>2025-09</t>
        </is>
      </c>
      <c r="C41" s="10" t="n">
        <v>9</v>
      </c>
      <c r="D41" s="18">
        <f>SUMIFS('Clean Data'!$B$2:$B$1097,'Clean Data'!$C$2:$C$1097,$B41)</f>
        <v/>
      </c>
      <c r="E41" s="18">
        <f>$M$2+$M$1*A41</f>
        <v/>
      </c>
      <c r="F41" s="18">
        <f>E41*INDEX($I$14:$I$25,C41)</f>
        <v/>
      </c>
      <c r="G41" s="21">
        <f>IFERROR(ABS(D41-F41)/D41,"")</f>
        <v/>
      </c>
    </row>
    <row r="42">
      <c r="A42" s="10" t="n">
        <v>29</v>
      </c>
      <c r="B42" s="10" t="inlineStr">
        <is>
          <t>2025-10</t>
        </is>
      </c>
      <c r="C42" s="10" t="n">
        <v>10</v>
      </c>
      <c r="D42" s="18">
        <f>SUMIFS('Clean Data'!$B$2:$B$1097,'Clean Data'!$C$2:$C$1097,$B42)</f>
        <v/>
      </c>
      <c r="E42" s="18">
        <f>$M$2+$M$1*A42</f>
        <v/>
      </c>
      <c r="F42" s="18">
        <f>E42*INDEX($I$14:$I$25,C42)</f>
        <v/>
      </c>
      <c r="G42" s="21">
        <f>IFERROR(ABS(D42-F42)/D42,"")</f>
        <v/>
      </c>
    </row>
    <row r="43">
      <c r="A43" s="10" t="n">
        <v>30</v>
      </c>
      <c r="B43" s="10" t="inlineStr">
        <is>
          <t>2025-11</t>
        </is>
      </c>
      <c r="C43" s="10" t="n">
        <v>11</v>
      </c>
      <c r="D43" s="18">
        <f>SUMIFS('Clean Data'!$B$2:$B$1097,'Clean Data'!$C$2:$C$1097,$B43)</f>
        <v/>
      </c>
      <c r="E43" s="18">
        <f>$M$2+$M$1*A43</f>
        <v/>
      </c>
      <c r="F43" s="18">
        <f>E43*INDEX($I$14:$I$25,C43)</f>
        <v/>
      </c>
      <c r="G43" s="21">
        <f>IFERROR(ABS(D43-F43)/D43,"")</f>
        <v/>
      </c>
    </row>
    <row r="44">
      <c r="A44" s="10" t="n">
        <v>31</v>
      </c>
      <c r="B44" s="10" t="inlineStr">
        <is>
          <t>2025-12</t>
        </is>
      </c>
      <c r="C44" s="10" t="n">
        <v>12</v>
      </c>
      <c r="D44" s="18">
        <f>SUMIFS('Clean Data'!$B$2:$B$1097,'Clean Data'!$C$2:$C$1097,$B44)</f>
        <v/>
      </c>
      <c r="E44" s="18">
        <f>$M$2+$M$1*A44</f>
        <v/>
      </c>
      <c r="F44" s="18">
        <f>E44*INDEX($I$14:$I$25,C44)</f>
        <v/>
      </c>
      <c r="G44" s="21">
        <f>IFERROR(ABS(D44-F44)/D44,"")</f>
        <v/>
      </c>
    </row>
    <row r="45">
      <c r="A45" s="10" t="n">
        <v>32</v>
      </c>
      <c r="B45" s="10" t="inlineStr">
        <is>
          <t>2026-01</t>
        </is>
      </c>
      <c r="C45" s="10" t="n">
        <v>1</v>
      </c>
      <c r="D45" s="18">
        <f>SUMIFS('Clean Data'!$B$2:$B$1097,'Clean Data'!$C$2:$C$1097,$B45)</f>
        <v/>
      </c>
      <c r="E45" s="18">
        <f>$M$2+$M$1*A45</f>
        <v/>
      </c>
      <c r="F45" s="18">
        <f>E45*INDEX($I$14:$I$25,C45)</f>
        <v/>
      </c>
      <c r="G45" s="21">
        <f>IFERROR(ABS(D45-F45)/D45,"")</f>
        <v/>
      </c>
    </row>
    <row r="46">
      <c r="A46" s="10" t="n">
        <v>33</v>
      </c>
      <c r="B46" s="10" t="inlineStr">
        <is>
          <t>2026-02</t>
        </is>
      </c>
      <c r="C46" s="10" t="n">
        <v>2</v>
      </c>
      <c r="D46" s="18">
        <f>SUMIFS('Clean Data'!$B$2:$B$1097,'Clean Data'!$C$2:$C$1097,$B46)</f>
        <v/>
      </c>
      <c r="E46" s="18">
        <f>$M$2+$M$1*A46</f>
        <v/>
      </c>
      <c r="F46" s="18">
        <f>E46*INDEX($I$14:$I$25,C46)</f>
        <v/>
      </c>
      <c r="G46" s="21">
        <f>IFERROR(ABS(D46-F46)/D46,"")</f>
        <v/>
      </c>
    </row>
    <row r="47">
      <c r="A47" s="10" t="n">
        <v>34</v>
      </c>
      <c r="B47" s="10" t="inlineStr">
        <is>
          <t>2026-03</t>
        </is>
      </c>
      <c r="C47" s="10" t="n">
        <v>3</v>
      </c>
      <c r="D47" s="18">
        <f>SUMIFS('Clean Data'!$B$2:$B$1097,'Clean Data'!$C$2:$C$1097,$B47)</f>
        <v/>
      </c>
      <c r="E47" s="18">
        <f>$M$2+$M$1*A47</f>
        <v/>
      </c>
      <c r="F47" s="18">
        <f>E47*INDEX($I$14:$I$25,C47)</f>
        <v/>
      </c>
      <c r="G47" s="21">
        <f>IFERROR(ABS(D47-F47)/D47,"")</f>
        <v/>
      </c>
    </row>
    <row r="48">
      <c r="A48" s="10" t="n">
        <v>35</v>
      </c>
      <c r="B48" s="10" t="inlineStr">
        <is>
          <t>2026-04</t>
        </is>
      </c>
      <c r="C48" s="10" t="n">
        <v>4</v>
      </c>
      <c r="D48" s="18">
        <f>SUMIFS('Clean Data'!$B$2:$B$1097,'Clean Data'!$C$2:$C$1097,$B48)</f>
        <v/>
      </c>
      <c r="E48" s="18">
        <f>$M$2+$M$1*A48</f>
        <v/>
      </c>
      <c r="F48" s="18">
        <f>E48*INDEX($I$14:$I$25,C48)</f>
        <v/>
      </c>
      <c r="G48" s="21">
        <f>IFERROR(ABS(D48-F48)/D48,"")</f>
        <v/>
      </c>
    </row>
    <row r="49">
      <c r="A49" s="10" t="n">
        <v>36</v>
      </c>
      <c r="B49" s="10" t="inlineStr">
        <is>
          <t>2026-05</t>
        </is>
      </c>
      <c r="C49" s="10" t="n">
        <v>5</v>
      </c>
      <c r="D49" s="18">
        <f>SUMIFS('Clean Data'!$B$2:$B$1097,'Clean Data'!$C$2:$C$1097,$B49)</f>
        <v/>
      </c>
      <c r="E49" s="18">
        <f>$M$2+$M$1*A49</f>
        <v/>
      </c>
      <c r="F49" s="18">
        <f>E49*INDEX($I$14:$I$25,C49)</f>
        <v/>
      </c>
      <c r="G49" s="21">
        <f>IFERROR(ABS(D49-F49)/D49,"")</f>
        <v/>
      </c>
    </row>
    <row r="50">
      <c r="A50" s="10" t="n">
        <v>37</v>
      </c>
      <c r="B50" s="10" t="inlineStr">
        <is>
          <t>2026-06</t>
        </is>
      </c>
      <c r="C50" s="10" t="n">
        <v>6</v>
      </c>
      <c r="E50" s="18">
        <f>$M$2+$M$1*A50</f>
        <v/>
      </c>
      <c r="F50" s="18">
        <f>E50*INDEX($I$14:$I$25,C50)</f>
        <v/>
      </c>
    </row>
    <row r="51">
      <c r="A51" s="10" t="n">
        <v>38</v>
      </c>
      <c r="B51" s="10" t="inlineStr">
        <is>
          <t>2026-07</t>
        </is>
      </c>
      <c r="C51" s="10" t="n">
        <v>7</v>
      </c>
      <c r="E51" s="18">
        <f>$M$2+$M$1*A51</f>
        <v/>
      </c>
      <c r="F51" s="18">
        <f>E51*INDEX($I$14:$I$25,C51)</f>
        <v/>
      </c>
    </row>
    <row r="52">
      <c r="A52" s="10" t="n">
        <v>39</v>
      </c>
      <c r="B52" s="10" t="inlineStr">
        <is>
          <t>2026-08</t>
        </is>
      </c>
      <c r="C52" s="10" t="n">
        <v>8</v>
      </c>
      <c r="E52" s="18">
        <f>$M$2+$M$1*A52</f>
        <v/>
      </c>
      <c r="F52" s="18">
        <f>E52*INDEX($I$14:$I$25,C52)</f>
        <v/>
      </c>
    </row>
    <row r="53">
      <c r="A53" s="10" t="n">
        <v>40</v>
      </c>
      <c r="B53" s="10" t="inlineStr">
        <is>
          <t>2026-09</t>
        </is>
      </c>
      <c r="C53" s="10" t="n">
        <v>9</v>
      </c>
      <c r="E53" s="18">
        <f>$M$2+$M$1*A53</f>
        <v/>
      </c>
      <c r="F53" s="18">
        <f>E53*INDEX($I$14:$I$25,C53)</f>
        <v/>
      </c>
    </row>
    <row r="54">
      <c r="A54" s="10" t="n">
        <v>41</v>
      </c>
      <c r="B54" s="10" t="inlineStr">
        <is>
          <t>2026-10</t>
        </is>
      </c>
      <c r="C54" s="10" t="n">
        <v>10</v>
      </c>
      <c r="E54" s="18">
        <f>$M$2+$M$1*A54</f>
        <v/>
      </c>
      <c r="F54" s="18">
        <f>E54*INDEX($I$14:$I$25,C54)</f>
        <v/>
      </c>
    </row>
    <row r="55">
      <c r="A55" s="10" t="n">
        <v>42</v>
      </c>
      <c r="B55" s="10" t="inlineStr">
        <is>
          <t>2026-11</t>
        </is>
      </c>
      <c r="C55" s="10" t="n">
        <v>11</v>
      </c>
      <c r="E55" s="18">
        <f>$M$2+$M$1*A55</f>
        <v/>
      </c>
      <c r="F55" s="18">
        <f>E55*INDEX($I$14:$I$25,C55)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5" t="inlineStr">
        <is>
          <t>DASHBOARD</t>
        </is>
      </c>
    </row>
    <row r="2">
      <c r="A2" s="8" t="inlineStr">
        <is>
          <t>Sales Forecasting and Seasonality. Charts read live from Analysis. Same view as the web case study.</t>
        </is>
      </c>
    </row>
    <row r="4">
      <c r="A4" s="26" t="inlineStr">
        <is>
          <t>Months</t>
        </is>
      </c>
      <c r="C4" s="26" t="inlineStr">
        <is>
          <t>Avg month</t>
        </is>
      </c>
      <c r="E4" s="26" t="inlineStr">
        <is>
          <t>Trend/mo</t>
        </is>
      </c>
      <c r="G4" s="26" t="inlineStr">
        <is>
          <t>MAPE</t>
        </is>
      </c>
      <c r="I4" s="26" t="inlineStr">
        <is>
          <t>Next: 2026-06</t>
        </is>
      </c>
      <c r="K4" s="26" t="inlineStr">
        <is>
          <t>Seasonal peak</t>
        </is>
      </c>
    </row>
    <row r="5">
      <c r="A5" s="27">
        <f>36</f>
        <v/>
      </c>
      <c r="C5" s="28">
        <f>Analysis!M3</f>
        <v/>
      </c>
      <c r="E5" s="28">
        <f>Analysis!M1</f>
        <v/>
      </c>
      <c r="G5" s="29">
        <f>Analysis!M4</f>
        <v/>
      </c>
      <c r="I5" s="28">
        <f>Analysis!F50</f>
        <v/>
      </c>
      <c r="K5" s="27">
        <f>INDEX(Analysis!H14:H25,MATCH(MAX(Analysis!I14:I25),Analysis!I14:I25,0))</f>
        <v/>
      </c>
    </row>
    <row r="25">
      <c r="A25" s="30" t="inlineStr">
        <is>
          <t>The model line tracks actual sales and continues past the last actual month as the six-month forecast.</t>
        </is>
      </c>
    </row>
    <row r="45">
      <c r="A45" s="30" t="inlineStr">
        <is>
          <t>Months above 1.0 run hotter than average. Plan stock and staffing around the peaks.</t>
        </is>
      </c>
    </row>
    <row r="48">
      <c r="A48" s="7" t="inlineStr">
        <is>
          <t>Recommendations</t>
        </is>
      </c>
    </row>
    <row r="49">
      <c r="A49" s="31" t="inlineStr">
        <is>
          <t>- Use the forecast to set monthly targets and pre-order stock for the seasonal peaks.</t>
        </is>
      </c>
    </row>
    <row r="50">
      <c r="A50" s="31" t="inlineStr">
        <is>
          <t>- Treat the MAPE as the expected error band around each forecast number.</t>
        </is>
      </c>
    </row>
    <row r="51">
      <c r="A51" s="31" t="inlineStr">
        <is>
          <t>- Revisit the model each month as new actuals arrive; the formulas update automatically.</t>
        </is>
      </c>
    </row>
    <row r="52">
      <c r="A52" s="31" t="inlineStr">
        <is>
          <t>- Investigate any month where actual falls far outside the model line.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normalise a fresh raw paste.</t>
        </is>
      </c>
    </row>
    <row r="4">
      <c r="A4" s="32" t="inlineStr">
        <is>
          <t>Attribute VB_Name = "Module1"</t>
        </is>
      </c>
    </row>
    <row r="5">
      <c r="A5" s="32" t="inlineStr">
        <is>
          <t>' One-click cleaner for the "Raw Data" sheet: converts "Rp 1.234" sales text to numbers.</t>
        </is>
      </c>
    </row>
    <row r="6">
      <c r="A6" s="32" t="inlineStr">
        <is>
          <t>Sub CleanRawData()</t>
        </is>
      </c>
    </row>
    <row r="7">
      <c r="A7" s="32" t="inlineStr">
        <is>
          <t xml:space="preserve">    Dim ws As Worksheet, lastRow As Long, r As Long, v As String</t>
        </is>
      </c>
    </row>
    <row r="8">
      <c r="A8" s="32" t="inlineStr">
        <is>
          <t xml:space="preserve">    Set ws = ThisWorkbook.Sheets("Raw Data")</t>
        </is>
      </c>
    </row>
    <row r="9">
      <c r="A9" s="32" t="inlineStr">
        <is>
          <t xml:space="preserve">    lastRow = ws.Cells(ws.Rows.Count, 1).End(xlUp).Row</t>
        </is>
      </c>
    </row>
    <row r="10">
      <c r="A10" s="32" t="inlineStr">
        <is>
          <t xml:space="preserve">    Application.ScreenUpdating = False</t>
        </is>
      </c>
    </row>
    <row r="11">
      <c r="A11" s="32" t="inlineStr">
        <is>
          <t xml:space="preserve">    For r = 5 To lastRow</t>
        </is>
      </c>
    </row>
    <row r="12">
      <c r="A12" s="32" t="inlineStr">
        <is>
          <t xml:space="preserve">        v = CStr(ws.Cells(r, 2).Value)</t>
        </is>
      </c>
    </row>
    <row r="13">
      <c r="A13" s="32" t="inlineStr">
        <is>
          <t xml:space="preserve">        If InStr(1, v, "Rp", vbTextCompare) &gt; 0 Then</t>
        </is>
      </c>
    </row>
    <row r="14">
      <c r="A14" s="32" t="inlineStr">
        <is>
          <t xml:space="preserve">            v = Trim(Replace(Replace(v, "Rp", ""), ".", ""))</t>
        </is>
      </c>
    </row>
    <row r="15">
      <c r="A15" s="32" t="inlineStr">
        <is>
          <t xml:space="preserve">            If IsNumeric(v) Then ws.Cells(r, 2).Value = CLng(v)</t>
        </is>
      </c>
    </row>
    <row r="16">
      <c r="A16" s="32" t="inlineStr">
        <is>
          <t xml:space="preserve">        End If</t>
        </is>
      </c>
    </row>
    <row r="17">
      <c r="A17" s="32" t="inlineStr">
        <is>
          <t xml:space="preserve">    Next r</t>
        </is>
      </c>
    </row>
    <row r="18">
      <c r="A18" s="32" t="inlineStr">
        <is>
          <t xml:space="preserve">    Application.ScreenUpdating = True</t>
        </is>
      </c>
    </row>
    <row r="19">
      <c r="A19" s="32" t="inlineStr">
        <is>
          <t xml:space="preserve">    MsgBox "Raw data cleaned: " &amp; (lastRow - 4) &amp; " rows processed.", vbInformation</t>
        </is>
      </c>
    </row>
    <row r="20">
      <c r="A20" s="32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2026-06-22T09:32:39Z</dcterms:created>
  <dcterms:modified xmlns:dcterms="http://purl.org/dc/terms/" xmlns:xsi="http://www.w3.org/2001/XMLSchema-instance" xsi:type="dcterms:W3CDTF">2026-06-22T09:32:39Z</dcterms:modified>
</cp:coreProperties>
</file>