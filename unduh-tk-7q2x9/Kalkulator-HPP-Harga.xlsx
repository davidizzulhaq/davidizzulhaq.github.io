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" sheetId="1" state="visible" r:id="rId1"/>
    <sheet xmlns:r="http://schemas.openxmlformats.org/officeDocument/2006/relationships" name="Petunjuk" sheetId="2" state="visible" r:id="rId2"/>
  </sheets>
  <definedNames>
    <definedName name="_xlnm.Print_Area" localSheetId="0">'Kalkulator'!$B$2:$K$35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Rp-421]* #,##0_-;-[$Rp-421]* #,##0_-;_-[$Rp-421]* &quot;-&quot;_-;_-@_-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6B7A73"/>
      <sz val="10"/>
    </font>
    <font>
      <b val="1"/>
      <color rgb="00FFFFFF"/>
      <sz val="9.5"/>
    </font>
    <font>
      <color rgb="001B2420"/>
      <sz val="10"/>
    </font>
    <font>
      <b val="1"/>
      <color rgb="000E3A30"/>
      <sz val="16"/>
    </font>
    <font>
      <color rgb="001B2420"/>
      <sz val="11"/>
    </font>
    <font>
      <color rgb="006B7A73"/>
      <sz val="11"/>
    </font>
    <font>
      <color rgb="00B0822A"/>
      <sz val="10"/>
    </font>
  </fonts>
  <fills count="6">
    <fill>
      <patternFill/>
    </fill>
    <fill>
      <patternFill patternType="gray125"/>
    </fill>
    <fill>
      <patternFill patternType="solid">
        <fgColor rgb="000E3A30"/>
      </patternFill>
    </fill>
    <fill>
      <patternFill patternType="solid">
        <fgColor rgb="00B0822A"/>
      </patternFill>
    </fill>
    <fill>
      <patternFill patternType="solid">
        <fgColor rgb="0014543F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8E0DA"/>
      </left>
      <right style="thin">
        <color rgb="00D8E0DA"/>
      </right>
      <top style="thin">
        <color rgb="00D8E0DA"/>
      </top>
      <bottom style="thin">
        <color rgb="00D8E0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4" fontId="4" fillId="5" borderId="1" pivotButton="0" quotePrefix="0" xfId="0"/>
    <xf numFmtId="164" fontId="4" fillId="0" borderId="1" pivotButton="0" quotePrefix="0" xfId="0"/>
    <xf numFmtId="9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B23A3A"/>
      </font>
      <fill>
        <patternFill patternType="solid">
          <fgColor rgb="00F6D9D5"/>
        </patternFill>
      </fill>
    </dxf>
    <dxf>
      <font>
        <b val="1"/>
        <color rgb="00B0822A"/>
      </font>
    </dxf>
    <dxf>
      <font>
        <color rgb="002E7D5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30" customHeight="1">
      <c r="B2" s="1" t="inlineStr">
        <is>
          <t>KALKULATOR HPP &amp; HARGA JUAL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3" t="inlineStr">
        <is>
          <t>Isi kolom kuning. Dapat HPP, harga jual ideal sesuai margin yang kamu mau, dan cek apakah 'harga teman' masih untung atau malah rugi.</t>
        </is>
      </c>
    </row>
    <row r="5" ht="32" customHeight="1">
      <c r="B5" s="4" t="inlineStr">
        <is>
          <t>Produk</t>
        </is>
      </c>
      <c r="C5" s="4" t="inlineStr">
        <is>
          <t>Biaya Bahan</t>
        </is>
      </c>
      <c r="D5" s="4" t="inlineStr">
        <is>
          <t>Biaya Lain / unit</t>
        </is>
      </c>
      <c r="E5" s="5" t="inlineStr">
        <is>
          <t>HPP Total</t>
        </is>
      </c>
      <c r="F5" s="4" t="inlineStr">
        <is>
          <t>Margin Target %</t>
        </is>
      </c>
      <c r="G5" s="5" t="inlineStr">
        <is>
          <t>Harga Jual Ideal</t>
        </is>
      </c>
      <c r="H5" s="5" t="inlineStr">
        <is>
          <t>Untung / unit</t>
        </is>
      </c>
      <c r="I5" s="4" t="inlineStr">
        <is>
          <t>Harga Teman</t>
        </is>
      </c>
      <c r="J5" s="5" t="inlineStr">
        <is>
          <t>Margin Hrg Teman</t>
        </is>
      </c>
      <c r="K5" s="5" t="inlineStr">
        <is>
          <t>Cek Hrg Teman</t>
        </is>
      </c>
    </row>
    <row r="6">
      <c r="B6" s="6" t="inlineStr">
        <is>
          <t>Kue (per box)</t>
        </is>
      </c>
      <c r="C6" s="7" t="n">
        <v>12000</v>
      </c>
      <c r="D6" s="7" t="n">
        <v>4000</v>
      </c>
      <c r="E6" s="8">
        <f>IF(AND(C6="",D6=""),"",C6+D6)</f>
        <v/>
      </c>
      <c r="F6" s="9" t="n">
        <v>0.4</v>
      </c>
      <c r="G6" s="8">
        <f>IF(OR(E6="",F6=""),"",E6/(1-F6))</f>
        <v/>
      </c>
      <c r="H6" s="8">
        <f>IF(G6="","",G6-E6)</f>
        <v/>
      </c>
      <c r="I6" s="7" t="n">
        <v>22000</v>
      </c>
      <c r="J6" s="10">
        <f>IF(OR(I6="",I6=0),"",(I6-E6)/I6)</f>
        <v/>
      </c>
      <c r="K6" s="11">
        <f>IF(I6="","",IF(I6&lt;E6,"RUGI",IF((I6-E6)/I6&lt;0.1,"TIPIS","OK")))</f>
        <v/>
      </c>
    </row>
    <row r="7">
      <c r="B7" s="6" t="inlineStr">
        <is>
          <t>Jasa desain logo</t>
        </is>
      </c>
      <c r="C7" s="7" t="n">
        <v>0</v>
      </c>
      <c r="D7" s="7" t="n">
        <v>50000</v>
      </c>
      <c r="E7" s="8">
        <f>IF(AND(C7="",D7=""),"",C7+D7)</f>
        <v/>
      </c>
      <c r="F7" s="9" t="n">
        <v>0.5</v>
      </c>
      <c r="G7" s="8">
        <f>IF(OR(E7="",F7=""),"",E7/(1-F7))</f>
        <v/>
      </c>
      <c r="H7" s="8">
        <f>IF(G7="","",G7-E7)</f>
        <v/>
      </c>
      <c r="I7" s="7" t="n">
        <v>60000</v>
      </c>
      <c r="J7" s="10">
        <f>IF(OR(I7="",I7=0),"",(I7-E7)/I7)</f>
        <v/>
      </c>
      <c r="K7" s="11">
        <f>IF(I7="","",IF(I7&lt;E7,"RUGI",IF((I7-E7)/I7&lt;0.1,"TIPIS","OK")))</f>
        <v/>
      </c>
    </row>
    <row r="8">
      <c r="B8" s="6" t="inlineStr">
        <is>
          <t>Kopi (per cup)</t>
        </is>
      </c>
      <c r="C8" s="7" t="n">
        <v>8000</v>
      </c>
      <c r="D8" s="7" t="n">
        <v>3000</v>
      </c>
      <c r="E8" s="8">
        <f>IF(AND(C8="",D8=""),"",C8+D8)</f>
        <v/>
      </c>
      <c r="F8" s="9" t="n">
        <v>0.35</v>
      </c>
      <c r="G8" s="8">
        <f>IF(OR(E8="",F8=""),"",E8/(1-F8))</f>
        <v/>
      </c>
      <c r="H8" s="8">
        <f>IF(G8="","",G8-E8)</f>
        <v/>
      </c>
      <c r="I8" s="7" t="n">
        <v>10000</v>
      </c>
      <c r="J8" s="10">
        <f>IF(OR(I8="",I8=0),"",(I8-E8)/I8)</f>
        <v/>
      </c>
      <c r="K8" s="11">
        <f>IF(I8="","",IF(I8&lt;E8,"RUGI",IF((I8-E8)/I8&lt;0.1,"TIPIS","OK")))</f>
        <v/>
      </c>
    </row>
    <row r="9">
      <c r="B9" s="6" t="n"/>
      <c r="C9" s="7" t="n"/>
      <c r="D9" s="7" t="n"/>
      <c r="E9" s="8">
        <f>IF(AND(C9="",D9=""),"",C9+D9)</f>
        <v/>
      </c>
      <c r="F9" s="9" t="n"/>
      <c r="G9" s="8">
        <f>IF(OR(E9="",F9=""),"",E9/(1-F9))</f>
        <v/>
      </c>
      <c r="H9" s="8">
        <f>IF(G9="","",G9-E9)</f>
        <v/>
      </c>
      <c r="I9" s="7" t="n"/>
      <c r="J9" s="10">
        <f>IF(OR(I9="",I9=0),"",(I9-E9)/I9)</f>
        <v/>
      </c>
      <c r="K9" s="11">
        <f>IF(I9="","",IF(I9&lt;E9,"RUGI",IF((I9-E9)/I9&lt;0.1,"TIPIS","OK")))</f>
        <v/>
      </c>
    </row>
    <row r="10">
      <c r="B10" s="6" t="n"/>
      <c r="C10" s="7" t="n"/>
      <c r="D10" s="7" t="n"/>
      <c r="E10" s="8">
        <f>IF(AND(C10="",D10=""),"",C10+D10)</f>
        <v/>
      </c>
      <c r="F10" s="9" t="n"/>
      <c r="G10" s="8">
        <f>IF(OR(E10="",F10=""),"",E10/(1-F10))</f>
        <v/>
      </c>
      <c r="H10" s="8">
        <f>IF(G10="","",G10-E10)</f>
        <v/>
      </c>
      <c r="I10" s="7" t="n"/>
      <c r="J10" s="10">
        <f>IF(OR(I10="",I10=0),"",(I10-E10)/I10)</f>
        <v/>
      </c>
      <c r="K10" s="11">
        <f>IF(I10="","",IF(I10&lt;E10,"RUGI",IF((I10-E10)/I10&lt;0.1,"TIPIS","OK")))</f>
        <v/>
      </c>
    </row>
    <row r="11">
      <c r="B11" s="6" t="n"/>
      <c r="C11" s="7" t="n"/>
      <c r="D11" s="7" t="n"/>
      <c r="E11" s="8">
        <f>IF(AND(C11="",D11=""),"",C11+D11)</f>
        <v/>
      </c>
      <c r="F11" s="9" t="n"/>
      <c r="G11" s="8">
        <f>IF(OR(E11="",F11=""),"",E11/(1-F11))</f>
        <v/>
      </c>
      <c r="H11" s="8">
        <f>IF(G11="","",G11-E11)</f>
        <v/>
      </c>
      <c r="I11" s="7" t="n"/>
      <c r="J11" s="10">
        <f>IF(OR(I11="",I11=0),"",(I11-E11)/I11)</f>
        <v/>
      </c>
      <c r="K11" s="11">
        <f>IF(I11="","",IF(I11&lt;E11,"RUGI",IF((I11-E11)/I11&lt;0.1,"TIPIS","OK")))</f>
        <v/>
      </c>
    </row>
    <row r="12">
      <c r="B12" s="6" t="n"/>
      <c r="C12" s="7" t="n"/>
      <c r="D12" s="7" t="n"/>
      <c r="E12" s="8">
        <f>IF(AND(C12="",D12=""),"",C12+D12)</f>
        <v/>
      </c>
      <c r="F12" s="9" t="n"/>
      <c r="G12" s="8">
        <f>IF(OR(E12="",F12=""),"",E12/(1-F12))</f>
        <v/>
      </c>
      <c r="H12" s="8">
        <f>IF(G12="","",G12-E12)</f>
        <v/>
      </c>
      <c r="I12" s="7" t="n"/>
      <c r="J12" s="10">
        <f>IF(OR(I12="",I12=0),"",(I12-E12)/I12)</f>
        <v/>
      </c>
      <c r="K12" s="11">
        <f>IF(I12="","",IF(I12&lt;E12,"RUGI",IF((I12-E12)/I12&lt;0.1,"TIPIS","OK")))</f>
        <v/>
      </c>
    </row>
    <row r="13">
      <c r="B13" s="6" t="n"/>
      <c r="C13" s="7" t="n"/>
      <c r="D13" s="7" t="n"/>
      <c r="E13" s="8">
        <f>IF(AND(C13="",D13=""),"",C13+D13)</f>
        <v/>
      </c>
      <c r="F13" s="9" t="n"/>
      <c r="G13" s="8">
        <f>IF(OR(E13="",F13=""),"",E13/(1-F13))</f>
        <v/>
      </c>
      <c r="H13" s="8">
        <f>IF(G13="","",G13-E13)</f>
        <v/>
      </c>
      <c r="I13" s="7" t="n"/>
      <c r="J13" s="10">
        <f>IF(OR(I13="",I13=0),"",(I13-E13)/I13)</f>
        <v/>
      </c>
      <c r="K13" s="11">
        <f>IF(I13="","",IF(I13&lt;E13,"RUGI",IF((I13-E13)/I13&lt;0.1,"TIPIS","OK")))</f>
        <v/>
      </c>
    </row>
    <row r="14">
      <c r="B14" s="6" t="n"/>
      <c r="C14" s="7" t="n"/>
      <c r="D14" s="7" t="n"/>
      <c r="E14" s="8">
        <f>IF(AND(C14="",D14=""),"",C14+D14)</f>
        <v/>
      </c>
      <c r="F14" s="9" t="n"/>
      <c r="G14" s="8">
        <f>IF(OR(E14="",F14=""),"",E14/(1-F14))</f>
        <v/>
      </c>
      <c r="H14" s="8">
        <f>IF(G14="","",G14-E14)</f>
        <v/>
      </c>
      <c r="I14" s="7" t="n"/>
      <c r="J14" s="10">
        <f>IF(OR(I14="",I14=0),"",(I14-E14)/I14)</f>
        <v/>
      </c>
      <c r="K14" s="11">
        <f>IF(I14="","",IF(I14&lt;E14,"RUGI",IF((I14-E14)/I14&lt;0.1,"TIPIS","OK")))</f>
        <v/>
      </c>
    </row>
    <row r="15">
      <c r="B15" s="6" t="n"/>
      <c r="C15" s="7" t="n"/>
      <c r="D15" s="7" t="n"/>
      <c r="E15" s="8">
        <f>IF(AND(C15="",D15=""),"",C15+D15)</f>
        <v/>
      </c>
      <c r="F15" s="9" t="n"/>
      <c r="G15" s="8">
        <f>IF(OR(E15="",F15=""),"",E15/(1-F15))</f>
        <v/>
      </c>
      <c r="H15" s="8">
        <f>IF(G15="","",G15-E15)</f>
        <v/>
      </c>
      <c r="I15" s="7" t="n"/>
      <c r="J15" s="10">
        <f>IF(OR(I15="",I15=0),"",(I15-E15)/I15)</f>
        <v/>
      </c>
      <c r="K15" s="11">
        <f>IF(I15="","",IF(I15&lt;E15,"RUGI",IF((I15-E15)/I15&lt;0.1,"TIPIS","OK")))</f>
        <v/>
      </c>
    </row>
    <row r="16">
      <c r="B16" s="6" t="n"/>
      <c r="C16" s="7" t="n"/>
      <c r="D16" s="7" t="n"/>
      <c r="E16" s="8">
        <f>IF(AND(C16="",D16=""),"",C16+D16)</f>
        <v/>
      </c>
      <c r="F16" s="9" t="n"/>
      <c r="G16" s="8">
        <f>IF(OR(E16="",F16=""),"",E16/(1-F16))</f>
        <v/>
      </c>
      <c r="H16" s="8">
        <f>IF(G16="","",G16-E16)</f>
        <v/>
      </c>
      <c r="I16" s="7" t="n"/>
      <c r="J16" s="10">
        <f>IF(OR(I16="",I16=0),"",(I16-E16)/I16)</f>
        <v/>
      </c>
      <c r="K16" s="11">
        <f>IF(I16="","",IF(I16&lt;E16,"RUGI",IF((I16-E16)/I16&lt;0.1,"TIPIS","OK")))</f>
        <v/>
      </c>
    </row>
    <row r="17">
      <c r="B17" s="6" t="n"/>
      <c r="C17" s="7" t="n"/>
      <c r="D17" s="7" t="n"/>
      <c r="E17" s="8">
        <f>IF(AND(C17="",D17=""),"",C17+D17)</f>
        <v/>
      </c>
      <c r="F17" s="9" t="n"/>
      <c r="G17" s="8">
        <f>IF(OR(E17="",F17=""),"",E17/(1-F17))</f>
        <v/>
      </c>
      <c r="H17" s="8">
        <f>IF(G17="","",G17-E17)</f>
        <v/>
      </c>
      <c r="I17" s="7" t="n"/>
      <c r="J17" s="10">
        <f>IF(OR(I17="",I17=0),"",(I17-E17)/I17)</f>
        <v/>
      </c>
      <c r="K17" s="11">
        <f>IF(I17="","",IF(I17&lt;E17,"RUGI",IF((I17-E17)/I17&lt;0.1,"TIPIS","OK")))</f>
        <v/>
      </c>
    </row>
    <row r="18">
      <c r="B18" s="6" t="n"/>
      <c r="C18" s="7" t="n"/>
      <c r="D18" s="7" t="n"/>
      <c r="E18" s="8">
        <f>IF(AND(C18="",D18=""),"",C18+D18)</f>
        <v/>
      </c>
      <c r="F18" s="9" t="n"/>
      <c r="G18" s="8">
        <f>IF(OR(E18="",F18=""),"",E18/(1-F18))</f>
        <v/>
      </c>
      <c r="H18" s="8">
        <f>IF(G18="","",G18-E18)</f>
        <v/>
      </c>
      <c r="I18" s="7" t="n"/>
      <c r="J18" s="10">
        <f>IF(OR(I18="",I18=0),"",(I18-E18)/I18)</f>
        <v/>
      </c>
      <c r="K18" s="11">
        <f>IF(I18="","",IF(I18&lt;E18,"RUGI",IF((I18-E18)/I18&lt;0.1,"TIPIS","OK")))</f>
        <v/>
      </c>
    </row>
    <row r="19">
      <c r="B19" s="6" t="n"/>
      <c r="C19" s="7" t="n"/>
      <c r="D19" s="7" t="n"/>
      <c r="E19" s="8">
        <f>IF(AND(C19="",D19=""),"",C19+D19)</f>
        <v/>
      </c>
      <c r="F19" s="9" t="n"/>
      <c r="G19" s="8">
        <f>IF(OR(E19="",F19=""),"",E19/(1-F19))</f>
        <v/>
      </c>
      <c r="H19" s="8">
        <f>IF(G19="","",G19-E19)</f>
        <v/>
      </c>
      <c r="I19" s="7" t="n"/>
      <c r="J19" s="10">
        <f>IF(OR(I19="",I19=0),"",(I19-E19)/I19)</f>
        <v/>
      </c>
      <c r="K19" s="11">
        <f>IF(I19="","",IF(I19&lt;E19,"RUGI",IF((I19-E19)/I19&lt;0.1,"TIPIS","OK")))</f>
        <v/>
      </c>
    </row>
    <row r="20">
      <c r="B20" s="6" t="n"/>
      <c r="C20" s="7" t="n"/>
      <c r="D20" s="7" t="n"/>
      <c r="E20" s="8">
        <f>IF(AND(C20="",D20=""),"",C20+D20)</f>
        <v/>
      </c>
      <c r="F20" s="9" t="n"/>
      <c r="G20" s="8">
        <f>IF(OR(E20="",F20=""),"",E20/(1-F20))</f>
        <v/>
      </c>
      <c r="H20" s="8">
        <f>IF(G20="","",G20-E20)</f>
        <v/>
      </c>
      <c r="I20" s="7" t="n"/>
      <c r="J20" s="10">
        <f>IF(OR(I20="",I20=0),"",(I20-E20)/I20)</f>
        <v/>
      </c>
      <c r="K20" s="11">
        <f>IF(I20="","",IF(I20&lt;E20,"RUGI",IF((I20-E20)/I20&lt;0.1,"TIPIS","OK")))</f>
        <v/>
      </c>
    </row>
    <row r="21">
      <c r="B21" s="6" t="n"/>
      <c r="C21" s="7" t="n"/>
      <c r="D21" s="7" t="n"/>
      <c r="E21" s="8">
        <f>IF(AND(C21="",D21=""),"",C21+D21)</f>
        <v/>
      </c>
      <c r="F21" s="9" t="n"/>
      <c r="G21" s="8">
        <f>IF(OR(E21="",F21=""),"",E21/(1-F21))</f>
        <v/>
      </c>
      <c r="H21" s="8">
        <f>IF(G21="","",G21-E21)</f>
        <v/>
      </c>
      <c r="I21" s="7" t="n"/>
      <c r="J21" s="10">
        <f>IF(OR(I21="",I21=0),"",(I21-E21)/I21)</f>
        <v/>
      </c>
      <c r="K21" s="11">
        <f>IF(I21="","",IF(I21&lt;E21,"RUGI",IF((I21-E21)/I21&lt;0.1,"TIPIS","OK")))</f>
        <v/>
      </c>
    </row>
    <row r="22">
      <c r="B22" s="6" t="n"/>
      <c r="C22" s="7" t="n"/>
      <c r="D22" s="7" t="n"/>
      <c r="E22" s="8">
        <f>IF(AND(C22="",D22=""),"",C22+D22)</f>
        <v/>
      </c>
      <c r="F22" s="9" t="n"/>
      <c r="G22" s="8">
        <f>IF(OR(E22="",F22=""),"",E22/(1-F22))</f>
        <v/>
      </c>
      <c r="H22" s="8">
        <f>IF(G22="","",G22-E22)</f>
        <v/>
      </c>
      <c r="I22" s="7" t="n"/>
      <c r="J22" s="10">
        <f>IF(OR(I22="",I22=0),"",(I22-E22)/I22)</f>
        <v/>
      </c>
      <c r="K22" s="11">
        <f>IF(I22="","",IF(I22&lt;E22,"RUGI",IF((I22-E22)/I22&lt;0.1,"TIPIS","OK")))</f>
        <v/>
      </c>
    </row>
    <row r="23">
      <c r="B23" s="6" t="n"/>
      <c r="C23" s="7" t="n"/>
      <c r="D23" s="7" t="n"/>
      <c r="E23" s="8">
        <f>IF(AND(C23="",D23=""),"",C23+D23)</f>
        <v/>
      </c>
      <c r="F23" s="9" t="n"/>
      <c r="G23" s="8">
        <f>IF(OR(E23="",F23=""),"",E23/(1-F23))</f>
        <v/>
      </c>
      <c r="H23" s="8">
        <f>IF(G23="","",G23-E23)</f>
        <v/>
      </c>
      <c r="I23" s="7" t="n"/>
      <c r="J23" s="10">
        <f>IF(OR(I23="",I23=0),"",(I23-E23)/I23)</f>
        <v/>
      </c>
      <c r="K23" s="11">
        <f>IF(I23="","",IF(I23&lt;E23,"RUGI",IF((I23-E23)/I23&lt;0.1,"TIPIS","OK")))</f>
        <v/>
      </c>
    </row>
    <row r="24">
      <c r="B24" s="6" t="n"/>
      <c r="C24" s="7" t="n"/>
      <c r="D24" s="7" t="n"/>
      <c r="E24" s="8">
        <f>IF(AND(C24="",D24=""),"",C24+D24)</f>
        <v/>
      </c>
      <c r="F24" s="9" t="n"/>
      <c r="G24" s="8">
        <f>IF(OR(E24="",F24=""),"",E24/(1-F24))</f>
        <v/>
      </c>
      <c r="H24" s="8">
        <f>IF(G24="","",G24-E24)</f>
        <v/>
      </c>
      <c r="I24" s="7" t="n"/>
      <c r="J24" s="10">
        <f>IF(OR(I24="",I24=0),"",(I24-E24)/I24)</f>
        <v/>
      </c>
      <c r="K24" s="11">
        <f>IF(I24="","",IF(I24&lt;E24,"RUGI",IF((I24-E24)/I24&lt;0.1,"TIPIS","OK")))</f>
        <v/>
      </c>
    </row>
    <row r="25">
      <c r="B25" s="6" t="n"/>
      <c r="C25" s="7" t="n"/>
      <c r="D25" s="7" t="n"/>
      <c r="E25" s="8">
        <f>IF(AND(C25="",D25=""),"",C25+D25)</f>
        <v/>
      </c>
      <c r="F25" s="9" t="n"/>
      <c r="G25" s="8">
        <f>IF(OR(E25="",F25=""),"",E25/(1-F25))</f>
        <v/>
      </c>
      <c r="H25" s="8">
        <f>IF(G25="","",G25-E25)</f>
        <v/>
      </c>
      <c r="I25" s="7" t="n"/>
      <c r="J25" s="10">
        <f>IF(OR(I25="",I25=0),"",(I25-E25)/I25)</f>
        <v/>
      </c>
      <c r="K25" s="11">
        <f>IF(I25="","",IF(I25&lt;E25,"RUGI",IF((I25-E25)/I25&lt;0.1,"TIPIS","OK")))</f>
        <v/>
      </c>
    </row>
    <row r="26">
      <c r="B26" s="6" t="n"/>
      <c r="C26" s="7" t="n"/>
      <c r="D26" s="7" t="n"/>
      <c r="E26" s="8">
        <f>IF(AND(C26="",D26=""),"",C26+D26)</f>
        <v/>
      </c>
      <c r="F26" s="9" t="n"/>
      <c r="G26" s="8">
        <f>IF(OR(E26="",F26=""),"",E26/(1-F26))</f>
        <v/>
      </c>
      <c r="H26" s="8">
        <f>IF(G26="","",G26-E26)</f>
        <v/>
      </c>
      <c r="I26" s="7" t="n"/>
      <c r="J26" s="10">
        <f>IF(OR(I26="",I26=0),"",(I26-E26)/I26)</f>
        <v/>
      </c>
      <c r="K26" s="11">
        <f>IF(I26="","",IF(I26&lt;E26,"RUGI",IF((I26-E26)/I26&lt;0.1,"TIPIS","OK")))</f>
        <v/>
      </c>
    </row>
    <row r="27">
      <c r="B27" s="6" t="n"/>
      <c r="C27" s="7" t="n"/>
      <c r="D27" s="7" t="n"/>
      <c r="E27" s="8">
        <f>IF(AND(C27="",D27=""),"",C27+D27)</f>
        <v/>
      </c>
      <c r="F27" s="9" t="n"/>
      <c r="G27" s="8">
        <f>IF(OR(E27="",F27=""),"",E27/(1-F27))</f>
        <v/>
      </c>
      <c r="H27" s="8">
        <f>IF(G27="","",G27-E27)</f>
        <v/>
      </c>
      <c r="I27" s="7" t="n"/>
      <c r="J27" s="10">
        <f>IF(OR(I27="",I27=0),"",(I27-E27)/I27)</f>
        <v/>
      </c>
      <c r="K27" s="11">
        <f>IF(I27="","",IF(I27&lt;E27,"RUGI",IF((I27-E27)/I27&lt;0.1,"TIPIS","OK")))</f>
        <v/>
      </c>
    </row>
    <row r="28">
      <c r="B28" s="6" t="n"/>
      <c r="C28" s="7" t="n"/>
      <c r="D28" s="7" t="n"/>
      <c r="E28" s="8">
        <f>IF(AND(C28="",D28=""),"",C28+D28)</f>
        <v/>
      </c>
      <c r="F28" s="9" t="n"/>
      <c r="G28" s="8">
        <f>IF(OR(E28="",F28=""),"",E28/(1-F28))</f>
        <v/>
      </c>
      <c r="H28" s="8">
        <f>IF(G28="","",G28-E28)</f>
        <v/>
      </c>
      <c r="I28" s="7" t="n"/>
      <c r="J28" s="10">
        <f>IF(OR(I28="",I28=0),"",(I28-E28)/I28)</f>
        <v/>
      </c>
      <c r="K28" s="11">
        <f>IF(I28="","",IF(I28&lt;E28,"RUGI",IF((I28-E28)/I28&lt;0.1,"TIPIS","OK")))</f>
        <v/>
      </c>
    </row>
    <row r="29">
      <c r="B29" s="6" t="n"/>
      <c r="C29" s="7" t="n"/>
      <c r="D29" s="7" t="n"/>
      <c r="E29" s="8">
        <f>IF(AND(C29="",D29=""),"",C29+D29)</f>
        <v/>
      </c>
      <c r="F29" s="9" t="n"/>
      <c r="G29" s="8">
        <f>IF(OR(E29="",F29=""),"",E29/(1-F29))</f>
        <v/>
      </c>
      <c r="H29" s="8">
        <f>IF(G29="","",G29-E29)</f>
        <v/>
      </c>
      <c r="I29" s="7" t="n"/>
      <c r="J29" s="10">
        <f>IF(OR(I29="",I29=0),"",(I29-E29)/I29)</f>
        <v/>
      </c>
      <c r="K29" s="11">
        <f>IF(I29="","",IF(I29&lt;E29,"RUGI",IF((I29-E29)/I29&lt;0.1,"TIPIS","OK")))</f>
        <v/>
      </c>
    </row>
    <row r="30">
      <c r="B30" s="6" t="n"/>
      <c r="C30" s="7" t="n"/>
      <c r="D30" s="7" t="n"/>
      <c r="E30" s="8">
        <f>IF(AND(C30="",D30=""),"",C30+D30)</f>
        <v/>
      </c>
      <c r="F30" s="9" t="n"/>
      <c r="G30" s="8">
        <f>IF(OR(E30="",F30=""),"",E30/(1-F30))</f>
        <v/>
      </c>
      <c r="H30" s="8">
        <f>IF(G30="","",G30-E30)</f>
        <v/>
      </c>
      <c r="I30" s="7" t="n"/>
      <c r="J30" s="10">
        <f>IF(OR(I30="",I30=0),"",(I30-E30)/I30)</f>
        <v/>
      </c>
      <c r="K30" s="11">
        <f>IF(I30="","",IF(I30&lt;E30,"RUGI",IF((I30-E30)/I30&lt;0.1,"TIPIS","OK")))</f>
        <v/>
      </c>
    </row>
    <row r="31">
      <c r="B31" s="6" t="n"/>
      <c r="C31" s="7" t="n"/>
      <c r="D31" s="7" t="n"/>
      <c r="E31" s="8">
        <f>IF(AND(C31="",D31=""),"",C31+D31)</f>
        <v/>
      </c>
      <c r="F31" s="9" t="n"/>
      <c r="G31" s="8">
        <f>IF(OR(E31="",F31=""),"",E31/(1-F31))</f>
        <v/>
      </c>
      <c r="H31" s="8">
        <f>IF(G31="","",G31-E31)</f>
        <v/>
      </c>
      <c r="I31" s="7" t="n"/>
      <c r="J31" s="10">
        <f>IF(OR(I31="",I31=0),"",(I31-E31)/I31)</f>
        <v/>
      </c>
      <c r="K31" s="11">
        <f>IF(I31="","",IF(I31&lt;E31,"RUGI",IF((I31-E31)/I31&lt;0.1,"TIPIS","OK")))</f>
        <v/>
      </c>
    </row>
    <row r="32">
      <c r="B32" s="6" t="n"/>
      <c r="C32" s="7" t="n"/>
      <c r="D32" s="7" t="n"/>
      <c r="E32" s="8">
        <f>IF(AND(C32="",D32=""),"",C32+D32)</f>
        <v/>
      </c>
      <c r="F32" s="9" t="n"/>
      <c r="G32" s="8">
        <f>IF(OR(E32="",F32=""),"",E32/(1-F32))</f>
        <v/>
      </c>
      <c r="H32" s="8">
        <f>IF(G32="","",G32-E32)</f>
        <v/>
      </c>
      <c r="I32" s="7" t="n"/>
      <c r="J32" s="10">
        <f>IF(OR(I32="",I32=0),"",(I32-E32)/I32)</f>
        <v/>
      </c>
      <c r="K32" s="11">
        <f>IF(I32="","",IF(I32&lt;E32,"RUGI",IF((I32-E32)/I32&lt;0.1,"TIPIS","OK")))</f>
        <v/>
      </c>
    </row>
    <row r="33">
      <c r="B33" s="6" t="n"/>
      <c r="C33" s="7" t="n"/>
      <c r="D33" s="7" t="n"/>
      <c r="E33" s="8">
        <f>IF(AND(C33="",D33=""),"",C33+D33)</f>
        <v/>
      </c>
      <c r="F33" s="9" t="n"/>
      <c r="G33" s="8">
        <f>IF(OR(E33="",F33=""),"",E33/(1-F33))</f>
        <v/>
      </c>
      <c r="H33" s="8">
        <f>IF(G33="","",G33-E33)</f>
        <v/>
      </c>
      <c r="I33" s="7" t="n"/>
      <c r="J33" s="10">
        <f>IF(OR(I33="",I33=0),"",(I33-E33)/I33)</f>
        <v/>
      </c>
      <c r="K33" s="11">
        <f>IF(I33="","",IF(I33&lt;E33,"RUGI",IF((I33-E33)/I33&lt;0.1,"TIPIS","OK")))</f>
        <v/>
      </c>
    </row>
    <row r="34">
      <c r="B34" s="6" t="n"/>
      <c r="C34" s="7" t="n"/>
      <c r="D34" s="7" t="n"/>
      <c r="E34" s="8">
        <f>IF(AND(C34="",D34=""),"",C34+D34)</f>
        <v/>
      </c>
      <c r="F34" s="9" t="n"/>
      <c r="G34" s="8">
        <f>IF(OR(E34="",F34=""),"",E34/(1-F34))</f>
        <v/>
      </c>
      <c r="H34" s="8">
        <f>IF(G34="","",G34-E34)</f>
        <v/>
      </c>
      <c r="I34" s="7" t="n"/>
      <c r="J34" s="10">
        <f>IF(OR(I34="",I34=0),"",(I34-E34)/I34)</f>
        <v/>
      </c>
      <c r="K34" s="11">
        <f>IF(I34="","",IF(I34&lt;E34,"RUGI",IF((I34-E34)/I34&lt;0.1,"TIPIS","OK")))</f>
        <v/>
      </c>
    </row>
    <row r="35">
      <c r="B35" s="6" t="n"/>
      <c r="C35" s="7" t="n"/>
      <c r="D35" s="7" t="n"/>
      <c r="E35" s="8">
        <f>IF(AND(C35="",D35=""),"",C35+D35)</f>
        <v/>
      </c>
      <c r="F35" s="9" t="n"/>
      <c r="G35" s="8">
        <f>IF(OR(E35="",F35=""),"",E35/(1-F35))</f>
        <v/>
      </c>
      <c r="H35" s="8">
        <f>IF(G35="","",G35-E35)</f>
        <v/>
      </c>
      <c r="I35" s="7" t="n"/>
      <c r="J35" s="10">
        <f>IF(OR(I35="",I35=0),"",(I35-E35)/I35)</f>
        <v/>
      </c>
      <c r="K35" s="11">
        <f>IF(I35="","",IF(I35&lt;E35,"RUGI",IF((I35-E35)/I35&lt;0.1,"TIPIS","OK")))</f>
        <v/>
      </c>
    </row>
  </sheetData>
  <mergeCells count="2">
    <mergeCell ref="B3:K3"/>
    <mergeCell ref="B2:K2"/>
  </mergeCells>
  <conditionalFormatting sqref="K6:K35">
    <cfRule type="cellIs" priority="1" operator="equal" dxfId="0">
      <formula>"RUGI"</formula>
    </cfRule>
    <cfRule type="cellIs" priority="2" operator="equal" dxfId="1">
      <formula>"TIPIS"</formula>
    </cfRule>
    <cfRule type="cellIs" priority="3" operator="equal" dxfId="2">
      <formula>"OK"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95" customWidth="1" min="2" max="2"/>
  </cols>
  <sheetData>
    <row r="2">
      <c r="B2" s="12" t="inlineStr">
        <is>
          <t>CARA PAKAI</t>
        </is>
      </c>
    </row>
    <row r="3">
      <c r="B3" s="13" t="inlineStr"/>
    </row>
    <row r="4">
      <c r="B4" s="14" t="inlineStr">
        <is>
          <t>1. Isi Biaya Bahan dan Biaya Lain per unit (tenaga, kemasan, listrik, dll). HPP Total terhitung otomatis.</t>
        </is>
      </c>
    </row>
    <row r="5">
      <c r="B5" s="14" t="inlineStr">
        <is>
          <t>2. Isi Margin Target (mis. 40%). Kolom Harga Jual Ideal langsung memberi harga yang menghasilkan margin itu.</t>
        </is>
      </c>
    </row>
    <row r="6">
      <c r="B6" s="14" t="inlineStr">
        <is>
          <t>3. Mau kasih harga teman? Isi di kolom Harga Teman. Kolom Cek akan bilang OK, TIPIS, atau RUGI (merah).</t>
        </is>
      </c>
    </row>
    <row r="7">
      <c r="B7" s="13" t="inlineStr"/>
    </row>
    <row r="8">
      <c r="B8" s="15" t="inlineStr">
        <is>
          <t>Banyak UMKM rugi karena harga jual cuma 'modal plus dikira-kira', dan harga teman diberi tanpa hitung. Alat ini menutup dua lubang itu.</t>
        </is>
      </c>
    </row>
    <row r="9">
      <c r="B9" s="13" t="inlineStr"/>
    </row>
    <row r="10">
      <c r="B10" s="16" t="inlineStr">
        <is>
          <t>Disusun oleh David Izzulhaq, Analis Data. Toko: lynk.id/studio.karyakita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2026-06-18T03:09:31Z</dcterms:created>
  <dcterms:modified xmlns:dcterms="http://purl.org/dc/terms/" xmlns:xsi="http://www.w3.org/2001/XMLSchema-instance" xsi:type="dcterms:W3CDTF">2026-06-18T03:09:31Z</dcterms:modified>
</cp:coreProperties>
</file>