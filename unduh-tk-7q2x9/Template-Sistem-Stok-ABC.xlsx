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&amp; Hasil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tunjuk" sheetId="3" state="visible" r:id="rId3"/>
  </sheets>
  <definedNames>
    <definedName name="_xlnm.Print_Area" localSheetId="0">'Input &amp; Hasil'!$B$2:$N$45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Rp-421]* #,##0_-;-[$Rp-421]* #,##0_-;_-[$Rp-421]* &quot;-&quot;_-;_-@_-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6B7A73"/>
      <sz val="10"/>
    </font>
    <font>
      <b val="1"/>
      <color rgb="00FFFFFF"/>
      <sz val="9.5"/>
    </font>
    <font>
      <color rgb="001B2420"/>
      <sz val="10"/>
    </font>
    <font>
      <b val="1"/>
      <color rgb="00FFFFFF"/>
      <sz val="14"/>
    </font>
    <font>
      <color rgb="001B2420"/>
      <sz val="11"/>
    </font>
    <font>
      <b val="1"/>
      <color rgb="000E3A30"/>
      <sz val="12"/>
    </font>
    <font>
      <b val="1"/>
      <color rgb="000E3A30"/>
      <sz val="16"/>
    </font>
    <font>
      <b val="1"/>
      <color rgb="000E3A30"/>
      <sz val="13"/>
    </font>
    <font>
      <color rgb="006B7A73"/>
      <sz val="11"/>
    </font>
    <font>
      <color rgb="00B0822A"/>
      <sz val="10"/>
    </font>
  </fonts>
  <fills count="8">
    <fill>
      <patternFill/>
    </fill>
    <fill>
      <patternFill patternType="gray125"/>
    </fill>
    <fill>
      <patternFill patternType="solid">
        <fgColor rgb="000E3A30"/>
      </patternFill>
    </fill>
    <fill>
      <patternFill patternType="solid">
        <fgColor rgb="00B0822A"/>
      </patternFill>
    </fill>
    <fill>
      <patternFill patternType="solid">
        <fgColor rgb="0014543F"/>
      </patternFill>
    </fill>
    <fill>
      <patternFill patternType="solid">
        <fgColor rgb="00FFF8E8"/>
      </patternFill>
    </fill>
    <fill>
      <patternFill patternType="solid">
        <fgColor rgb="00EEF3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E0DA"/>
      </left>
      <right style="thin">
        <color rgb="00D8E0DA"/>
      </right>
      <top style="thin">
        <color rgb="00D8E0DA"/>
      </top>
      <bottom style="thin">
        <color rgb="00D8E0D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2" borderId="0" applyAlignment="1" pivotButton="0" quotePrefix="0" xfId="0">
      <alignment vertical="center" indent="1"/>
    </xf>
    <xf numFmtId="0" fontId="6" fillId="6" borderId="0" applyAlignment="1" pivotButton="0" quotePrefix="0" xfId="0">
      <alignment indent="1"/>
    </xf>
    <xf numFmtId="0" fontId="0" fillId="6" borderId="0" pivotButton="0" quotePrefix="0" xfId="0"/>
    <xf numFmtId="164" fontId="7" fillId="6" borderId="0" pivotButton="0" quotePrefix="0" xfId="0"/>
    <xf numFmtId="0" fontId="6" fillId="7" borderId="0" applyAlignment="1" pivotButton="0" quotePrefix="0" xfId="0">
      <alignment indent="1"/>
    </xf>
    <xf numFmtId="0" fontId="0" fillId="7" borderId="0" pivotButton="0" quotePrefix="0" xfId="0"/>
    <xf numFmtId="1" fontId="7" fillId="7" borderId="0" pivotButton="0" quotePrefix="0" xfId="0"/>
    <xf numFmtId="1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23A3A"/>
      </font>
      <fill>
        <patternFill patternType="solid">
          <fgColor rgb="00F6D9D5"/>
        </patternFill>
      </fill>
    </dxf>
    <dxf>
      <font>
        <color rgb="002E7D5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4" customWidth="1" min="3" max="3"/>
    <col width="13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2" ht="30" customHeight="1">
      <c r="B2" s="1" t="inlineStr">
        <is>
          <t>SISTEM STOK: ABC + TITIK PESAN ULANG OTOMATIS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B3" s="3" t="inlineStr">
        <is>
          <t>Isi kolom kuning (B sampai H). Kolom hijau menghitung otomatis. Tambah baris ke bawah sesuai kebutuhan.</t>
        </is>
      </c>
    </row>
    <row r="5" ht="30" customHeight="1">
      <c r="B5" s="4" t="inlineStr">
        <is>
          <t>SKU</t>
        </is>
      </c>
      <c r="C5" s="4" t="inlineStr">
        <is>
          <t>Nama Produk</t>
        </is>
      </c>
      <c r="D5" s="4" t="inlineStr">
        <is>
          <t>Kategori</t>
        </is>
      </c>
      <c r="E5" s="4" t="inlineStr">
        <is>
          <t>Stok Saat Ini</t>
        </is>
      </c>
      <c r="F5" s="4" t="inlineStr">
        <is>
          <t>HPP / unit</t>
        </is>
      </c>
      <c r="G5" s="4" t="inlineStr">
        <is>
          <t>Permintaan/bln</t>
        </is>
      </c>
      <c r="H5" s="4" t="inlineStr">
        <is>
          <t>Lead Time (mgg)</t>
        </is>
      </c>
      <c r="I5" s="5" t="inlineStr">
        <is>
          <t>Nilai Stok</t>
        </is>
      </c>
      <c r="J5" s="5" t="inlineStr">
        <is>
          <t>Nilai Konsumsi/Thn</t>
        </is>
      </c>
      <c r="K5" s="5" t="inlineStr">
        <is>
          <t>Kelas ABC</t>
        </is>
      </c>
      <c r="L5" s="5" t="inlineStr">
        <is>
          <t>Safety Stock</t>
        </is>
      </c>
      <c r="M5" s="5" t="inlineStr">
        <is>
          <t>Titik Pesan Ulang</t>
        </is>
      </c>
      <c r="N5" s="5" t="inlineStr">
        <is>
          <t>Status</t>
        </is>
      </c>
    </row>
    <row r="6">
      <c r="B6" s="6" t="inlineStr">
        <is>
          <t>BRG-001</t>
        </is>
      </c>
      <c r="C6" s="6" t="inlineStr">
        <is>
          <t>Beras Premium 5kg</t>
        </is>
      </c>
      <c r="D6" s="6" t="inlineStr">
        <is>
          <t>Sembako</t>
        </is>
      </c>
      <c r="E6" s="6" t="n">
        <v>18</v>
      </c>
      <c r="F6" s="6" t="n">
        <v>58000</v>
      </c>
      <c r="G6" s="6" t="n">
        <v>42</v>
      </c>
      <c r="H6" s="6" t="n">
        <v>2</v>
      </c>
      <c r="I6" s="7">
        <f>IF(E6="","",E6*F6)</f>
        <v/>
      </c>
      <c r="J6" s="7">
        <f>IF(G6="","",G6*12*F6)</f>
        <v/>
      </c>
      <c r="K6" s="8">
        <f>IF(G6="","",IF(J6&gt;=PERCENTILE($J$6:$J$45,0.8),"A",IF(J6&gt;=PERCENTILE($J$6:$J$45,0.5),"B","C")))</f>
        <v/>
      </c>
      <c r="L6" s="8">
        <f>IF(G6="","",ROUND(G6/4.33*H6*0.5,0))</f>
        <v/>
      </c>
      <c r="M6" s="8">
        <f>IF(G6="","",ROUND(G6/4.33*H6+L6,0))</f>
        <v/>
      </c>
      <c r="N6" s="9">
        <f>IF(E6="","",IF(E6&lt;=M6,"PESAN ULANG","Aman"))</f>
        <v/>
      </c>
    </row>
    <row r="7">
      <c r="B7" s="6" t="inlineStr">
        <is>
          <t>BRG-002</t>
        </is>
      </c>
      <c r="C7" s="6" t="inlineStr">
        <is>
          <t>Minyak Goreng 2L</t>
        </is>
      </c>
      <c r="D7" s="6" t="inlineStr">
        <is>
          <t>Sembako</t>
        </is>
      </c>
      <c r="E7" s="6" t="n">
        <v>9</v>
      </c>
      <c r="F7" s="6" t="n">
        <v>30000</v>
      </c>
      <c r="G7" s="6" t="n">
        <v>55</v>
      </c>
      <c r="H7" s="6" t="n">
        <v>1</v>
      </c>
      <c r="I7" s="7">
        <f>IF(E7="","",E7*F7)</f>
        <v/>
      </c>
      <c r="J7" s="7">
        <f>IF(G7="","",G7*12*F7)</f>
        <v/>
      </c>
      <c r="K7" s="8">
        <f>IF(G7="","",IF(J7&gt;=PERCENTILE($J$6:$J$45,0.8),"A",IF(J7&gt;=PERCENTILE($J$6:$J$45,0.5),"B","C")))</f>
        <v/>
      </c>
      <c r="L7" s="8">
        <f>IF(G7="","",ROUND(G7/4.33*H7*0.5,0))</f>
        <v/>
      </c>
      <c r="M7" s="8">
        <f>IF(G7="","",ROUND(G7/4.33*H7+L7,0))</f>
        <v/>
      </c>
      <c r="N7" s="9">
        <f>IF(E7="","",IF(E7&lt;=M7,"PESAN ULANG","Aman"))</f>
        <v/>
      </c>
    </row>
    <row r="8">
      <c r="B8" s="6" t="inlineStr">
        <is>
          <t>BRG-003</t>
        </is>
      </c>
      <c r="C8" s="6" t="inlineStr">
        <is>
          <t>Kopi Sachet (dus)</t>
        </is>
      </c>
      <c r="D8" s="6" t="inlineStr">
        <is>
          <t>Minuman</t>
        </is>
      </c>
      <c r="E8" s="6" t="n">
        <v>33</v>
      </c>
      <c r="F8" s="6" t="n">
        <v>95000</v>
      </c>
      <c r="G8" s="6" t="n">
        <v>18</v>
      </c>
      <c r="H8" s="6" t="n">
        <v>3</v>
      </c>
      <c r="I8" s="7">
        <f>IF(E8="","",E8*F8)</f>
        <v/>
      </c>
      <c r="J8" s="7">
        <f>IF(G8="","",G8*12*F8)</f>
        <v/>
      </c>
      <c r="K8" s="8">
        <f>IF(G8="","",IF(J8&gt;=PERCENTILE($J$6:$J$45,0.8),"A",IF(J8&gt;=PERCENTILE($J$6:$J$45,0.5),"B","C")))</f>
        <v/>
      </c>
      <c r="L8" s="8">
        <f>IF(G8="","",ROUND(G8/4.33*H8*0.5,0))</f>
        <v/>
      </c>
      <c r="M8" s="8">
        <f>IF(G8="","",ROUND(G8/4.33*H8+L8,0))</f>
        <v/>
      </c>
      <c r="N8" s="9">
        <f>IF(E8="","",IF(E8&lt;=M8,"PESAN ULANG","Aman"))</f>
        <v/>
      </c>
    </row>
    <row r="9">
      <c r="B9" s="6" t="inlineStr">
        <is>
          <t>BRG-004</t>
        </is>
      </c>
      <c r="C9" s="6" t="inlineStr">
        <is>
          <t>Sabun Mandi</t>
        </is>
      </c>
      <c r="D9" s="6" t="inlineStr">
        <is>
          <t>Perawatan</t>
        </is>
      </c>
      <c r="E9" s="6" t="n">
        <v>70</v>
      </c>
      <c r="F9" s="6" t="n">
        <v>2800</v>
      </c>
      <c r="G9" s="6" t="n">
        <v>180</v>
      </c>
      <c r="H9" s="6" t="n">
        <v>1</v>
      </c>
      <c r="I9" s="7">
        <f>IF(E9="","",E9*F9)</f>
        <v/>
      </c>
      <c r="J9" s="7">
        <f>IF(G9="","",G9*12*F9)</f>
        <v/>
      </c>
      <c r="K9" s="8">
        <f>IF(G9="","",IF(J9&gt;=PERCENTILE($J$6:$J$45,0.8),"A",IF(J9&gt;=PERCENTILE($J$6:$J$45,0.5),"B","C")))</f>
        <v/>
      </c>
      <c r="L9" s="8">
        <f>IF(G9="","",ROUND(G9/4.33*H9*0.5,0))</f>
        <v/>
      </c>
      <c r="M9" s="8">
        <f>IF(G9="","",ROUND(G9/4.33*H9+L9,0))</f>
        <v/>
      </c>
      <c r="N9" s="9">
        <f>IF(E9="","",IF(E9&lt;=M9,"PESAN ULANG","Aman"))</f>
        <v/>
      </c>
    </row>
    <row r="10">
      <c r="B10" s="6" t="inlineStr">
        <is>
          <t>BRG-005</t>
        </is>
      </c>
      <c r="C10" s="6" t="inlineStr">
        <is>
          <t>Aki Kering</t>
        </is>
      </c>
      <c r="D10" s="6" t="inlineStr">
        <is>
          <t>Sparepart</t>
        </is>
      </c>
      <c r="E10" s="6" t="n">
        <v>6</v>
      </c>
      <c r="F10" s="6" t="n">
        <v>420000</v>
      </c>
      <c r="G10" s="6" t="n">
        <v>9</v>
      </c>
      <c r="H10" s="6" t="n">
        <v>3</v>
      </c>
      <c r="I10" s="7">
        <f>IF(E10="","",E10*F10)</f>
        <v/>
      </c>
      <c r="J10" s="7">
        <f>IF(G10="","",G10*12*F10)</f>
        <v/>
      </c>
      <c r="K10" s="8">
        <f>IF(G10="","",IF(J10&gt;=PERCENTILE($J$6:$J$45,0.8),"A",IF(J10&gt;=PERCENTILE($J$6:$J$45,0.5),"B","C")))</f>
        <v/>
      </c>
      <c r="L10" s="8">
        <f>IF(G10="","",ROUND(G10/4.33*H10*0.5,0))</f>
        <v/>
      </c>
      <c r="M10" s="8">
        <f>IF(G10="","",ROUND(G10/4.33*H10+L10,0))</f>
        <v/>
      </c>
      <c r="N10" s="9">
        <f>IF(E10="","",IF(E10&lt;=M10,"PESAN ULANG","Aman"))</f>
        <v/>
      </c>
    </row>
    <row r="11">
      <c r="B11" s="6" t="n"/>
      <c r="C11" s="6" t="n"/>
      <c r="D11" s="6" t="n"/>
      <c r="E11" s="6" t="n"/>
      <c r="F11" s="6" t="n"/>
      <c r="G11" s="6" t="n"/>
      <c r="H11" s="6" t="n"/>
      <c r="I11" s="7">
        <f>IF(E11="","",E11*F11)</f>
        <v/>
      </c>
      <c r="J11" s="7">
        <f>IF(G11="","",G11*12*F11)</f>
        <v/>
      </c>
      <c r="K11" s="8">
        <f>IF(G11="","",IF(J11&gt;=PERCENTILE($J$6:$J$45,0.8),"A",IF(J11&gt;=PERCENTILE($J$6:$J$45,0.5),"B","C")))</f>
        <v/>
      </c>
      <c r="L11" s="8">
        <f>IF(G11="","",ROUND(G11/4.33*H11*0.5,0))</f>
        <v/>
      </c>
      <c r="M11" s="8">
        <f>IF(G11="","",ROUND(G11/4.33*H11+L11,0))</f>
        <v/>
      </c>
      <c r="N11" s="9">
        <f>IF(E11="","",IF(E11&lt;=M11,"PESAN ULANG","Aman"))</f>
        <v/>
      </c>
    </row>
    <row r="12">
      <c r="B12" s="6" t="n"/>
      <c r="C12" s="6" t="n"/>
      <c r="D12" s="6" t="n"/>
      <c r="E12" s="6" t="n"/>
      <c r="F12" s="6" t="n"/>
      <c r="G12" s="6" t="n"/>
      <c r="H12" s="6" t="n"/>
      <c r="I12" s="7">
        <f>IF(E12="","",E12*F12)</f>
        <v/>
      </c>
      <c r="J12" s="7">
        <f>IF(G12="","",G12*12*F12)</f>
        <v/>
      </c>
      <c r="K12" s="8">
        <f>IF(G12="","",IF(J12&gt;=PERCENTILE($J$6:$J$45,0.8),"A",IF(J12&gt;=PERCENTILE($J$6:$J$45,0.5),"B","C")))</f>
        <v/>
      </c>
      <c r="L12" s="8">
        <f>IF(G12="","",ROUND(G12/4.33*H12*0.5,0))</f>
        <v/>
      </c>
      <c r="M12" s="8">
        <f>IF(G12="","",ROUND(G12/4.33*H12+L12,0))</f>
        <v/>
      </c>
      <c r="N12" s="9">
        <f>IF(E12="","",IF(E12&lt;=M12,"PESAN ULANG","Aman"))</f>
        <v/>
      </c>
    </row>
    <row r="13">
      <c r="B13" s="6" t="n"/>
      <c r="C13" s="6" t="n"/>
      <c r="D13" s="6" t="n"/>
      <c r="E13" s="6" t="n"/>
      <c r="F13" s="6" t="n"/>
      <c r="G13" s="6" t="n"/>
      <c r="H13" s="6" t="n"/>
      <c r="I13" s="7">
        <f>IF(E13="","",E13*F13)</f>
        <v/>
      </c>
      <c r="J13" s="7">
        <f>IF(G13="","",G13*12*F13)</f>
        <v/>
      </c>
      <c r="K13" s="8">
        <f>IF(G13="","",IF(J13&gt;=PERCENTILE($J$6:$J$45,0.8),"A",IF(J13&gt;=PERCENTILE($J$6:$J$45,0.5),"B","C")))</f>
        <v/>
      </c>
      <c r="L13" s="8">
        <f>IF(G13="","",ROUND(G13/4.33*H13*0.5,0))</f>
        <v/>
      </c>
      <c r="M13" s="8">
        <f>IF(G13="","",ROUND(G13/4.33*H13+L13,0))</f>
        <v/>
      </c>
      <c r="N13" s="9">
        <f>IF(E13="","",IF(E13&lt;=M13,"PESAN ULANG","Aman"))</f>
        <v/>
      </c>
    </row>
    <row r="14">
      <c r="B14" s="6" t="n"/>
      <c r="C14" s="6" t="n"/>
      <c r="D14" s="6" t="n"/>
      <c r="E14" s="6" t="n"/>
      <c r="F14" s="6" t="n"/>
      <c r="G14" s="6" t="n"/>
      <c r="H14" s="6" t="n"/>
      <c r="I14" s="7">
        <f>IF(E14="","",E14*F14)</f>
        <v/>
      </c>
      <c r="J14" s="7">
        <f>IF(G14="","",G14*12*F14)</f>
        <v/>
      </c>
      <c r="K14" s="8">
        <f>IF(G14="","",IF(J14&gt;=PERCENTILE($J$6:$J$45,0.8),"A",IF(J14&gt;=PERCENTILE($J$6:$J$45,0.5),"B","C")))</f>
        <v/>
      </c>
      <c r="L14" s="8">
        <f>IF(G14="","",ROUND(G14/4.33*H14*0.5,0))</f>
        <v/>
      </c>
      <c r="M14" s="8">
        <f>IF(G14="","",ROUND(G14/4.33*H14+L14,0))</f>
        <v/>
      </c>
      <c r="N14" s="9">
        <f>IF(E14="","",IF(E14&lt;=M14,"PESAN ULANG","Aman"))</f>
        <v/>
      </c>
    </row>
    <row r="15">
      <c r="B15" s="6" t="n"/>
      <c r="C15" s="6" t="n"/>
      <c r="D15" s="6" t="n"/>
      <c r="E15" s="6" t="n"/>
      <c r="F15" s="6" t="n"/>
      <c r="G15" s="6" t="n"/>
      <c r="H15" s="6" t="n"/>
      <c r="I15" s="7">
        <f>IF(E15="","",E15*F15)</f>
        <v/>
      </c>
      <c r="J15" s="7">
        <f>IF(G15="","",G15*12*F15)</f>
        <v/>
      </c>
      <c r="K15" s="8">
        <f>IF(G15="","",IF(J15&gt;=PERCENTILE($J$6:$J$45,0.8),"A",IF(J15&gt;=PERCENTILE($J$6:$J$45,0.5),"B","C")))</f>
        <v/>
      </c>
      <c r="L15" s="8">
        <f>IF(G15="","",ROUND(G15/4.33*H15*0.5,0))</f>
        <v/>
      </c>
      <c r="M15" s="8">
        <f>IF(G15="","",ROUND(G15/4.33*H15+L15,0))</f>
        <v/>
      </c>
      <c r="N15" s="9">
        <f>IF(E15="","",IF(E15&lt;=M15,"PESAN ULANG","Aman"))</f>
        <v/>
      </c>
    </row>
    <row r="16">
      <c r="B16" s="6" t="n"/>
      <c r="C16" s="6" t="n"/>
      <c r="D16" s="6" t="n"/>
      <c r="E16" s="6" t="n"/>
      <c r="F16" s="6" t="n"/>
      <c r="G16" s="6" t="n"/>
      <c r="H16" s="6" t="n"/>
      <c r="I16" s="7">
        <f>IF(E16="","",E16*F16)</f>
        <v/>
      </c>
      <c r="J16" s="7">
        <f>IF(G16="","",G16*12*F16)</f>
        <v/>
      </c>
      <c r="K16" s="8">
        <f>IF(G16="","",IF(J16&gt;=PERCENTILE($J$6:$J$45,0.8),"A",IF(J16&gt;=PERCENTILE($J$6:$J$45,0.5),"B","C")))</f>
        <v/>
      </c>
      <c r="L16" s="8">
        <f>IF(G16="","",ROUND(G16/4.33*H16*0.5,0))</f>
        <v/>
      </c>
      <c r="M16" s="8">
        <f>IF(G16="","",ROUND(G16/4.33*H16+L16,0))</f>
        <v/>
      </c>
      <c r="N16" s="9">
        <f>IF(E16="","",IF(E16&lt;=M16,"PESAN ULANG","Aman"))</f>
        <v/>
      </c>
    </row>
    <row r="17">
      <c r="B17" s="6" t="n"/>
      <c r="C17" s="6" t="n"/>
      <c r="D17" s="6" t="n"/>
      <c r="E17" s="6" t="n"/>
      <c r="F17" s="6" t="n"/>
      <c r="G17" s="6" t="n"/>
      <c r="H17" s="6" t="n"/>
      <c r="I17" s="7">
        <f>IF(E17="","",E17*F17)</f>
        <v/>
      </c>
      <c r="J17" s="7">
        <f>IF(G17="","",G17*12*F17)</f>
        <v/>
      </c>
      <c r="K17" s="8">
        <f>IF(G17="","",IF(J17&gt;=PERCENTILE($J$6:$J$45,0.8),"A",IF(J17&gt;=PERCENTILE($J$6:$J$45,0.5),"B","C")))</f>
        <v/>
      </c>
      <c r="L17" s="8">
        <f>IF(G17="","",ROUND(G17/4.33*H17*0.5,0))</f>
        <v/>
      </c>
      <c r="M17" s="8">
        <f>IF(G17="","",ROUND(G17/4.33*H17+L17,0))</f>
        <v/>
      </c>
      <c r="N17" s="9">
        <f>IF(E17="","",IF(E17&lt;=M17,"PESAN ULANG","Aman"))</f>
        <v/>
      </c>
    </row>
    <row r="18">
      <c r="B18" s="6" t="n"/>
      <c r="C18" s="6" t="n"/>
      <c r="D18" s="6" t="n"/>
      <c r="E18" s="6" t="n"/>
      <c r="F18" s="6" t="n"/>
      <c r="G18" s="6" t="n"/>
      <c r="H18" s="6" t="n"/>
      <c r="I18" s="7">
        <f>IF(E18="","",E18*F18)</f>
        <v/>
      </c>
      <c r="J18" s="7">
        <f>IF(G18="","",G18*12*F18)</f>
        <v/>
      </c>
      <c r="K18" s="8">
        <f>IF(G18="","",IF(J18&gt;=PERCENTILE($J$6:$J$45,0.8),"A",IF(J18&gt;=PERCENTILE($J$6:$J$45,0.5),"B","C")))</f>
        <v/>
      </c>
      <c r="L18" s="8">
        <f>IF(G18="","",ROUND(G18/4.33*H18*0.5,0))</f>
        <v/>
      </c>
      <c r="M18" s="8">
        <f>IF(G18="","",ROUND(G18/4.33*H18+L18,0))</f>
        <v/>
      </c>
      <c r="N18" s="9">
        <f>IF(E18="","",IF(E18&lt;=M18,"PESAN ULANG","Aman"))</f>
        <v/>
      </c>
    </row>
    <row r="19">
      <c r="B19" s="6" t="n"/>
      <c r="C19" s="6" t="n"/>
      <c r="D19" s="6" t="n"/>
      <c r="E19" s="6" t="n"/>
      <c r="F19" s="6" t="n"/>
      <c r="G19" s="6" t="n"/>
      <c r="H19" s="6" t="n"/>
      <c r="I19" s="7">
        <f>IF(E19="","",E19*F19)</f>
        <v/>
      </c>
      <c r="J19" s="7">
        <f>IF(G19="","",G19*12*F19)</f>
        <v/>
      </c>
      <c r="K19" s="8">
        <f>IF(G19="","",IF(J19&gt;=PERCENTILE($J$6:$J$45,0.8),"A",IF(J19&gt;=PERCENTILE($J$6:$J$45,0.5),"B","C")))</f>
        <v/>
      </c>
      <c r="L19" s="8">
        <f>IF(G19="","",ROUND(G19/4.33*H19*0.5,0))</f>
        <v/>
      </c>
      <c r="M19" s="8">
        <f>IF(G19="","",ROUND(G19/4.33*H19+L19,0))</f>
        <v/>
      </c>
      <c r="N19" s="9">
        <f>IF(E19="","",IF(E19&lt;=M19,"PESAN ULANG","Aman"))</f>
        <v/>
      </c>
    </row>
    <row r="20">
      <c r="B20" s="6" t="n"/>
      <c r="C20" s="6" t="n"/>
      <c r="D20" s="6" t="n"/>
      <c r="E20" s="6" t="n"/>
      <c r="F20" s="6" t="n"/>
      <c r="G20" s="6" t="n"/>
      <c r="H20" s="6" t="n"/>
      <c r="I20" s="7">
        <f>IF(E20="","",E20*F20)</f>
        <v/>
      </c>
      <c r="J20" s="7">
        <f>IF(G20="","",G20*12*F20)</f>
        <v/>
      </c>
      <c r="K20" s="8">
        <f>IF(G20="","",IF(J20&gt;=PERCENTILE($J$6:$J$45,0.8),"A",IF(J20&gt;=PERCENTILE($J$6:$J$45,0.5),"B","C")))</f>
        <v/>
      </c>
      <c r="L20" s="8">
        <f>IF(G20="","",ROUND(G20/4.33*H20*0.5,0))</f>
        <v/>
      </c>
      <c r="M20" s="8">
        <f>IF(G20="","",ROUND(G20/4.33*H20+L20,0))</f>
        <v/>
      </c>
      <c r="N20" s="9">
        <f>IF(E20="","",IF(E20&lt;=M20,"PESAN ULANG","Aman"))</f>
        <v/>
      </c>
    </row>
    <row r="21">
      <c r="B21" s="6" t="n"/>
      <c r="C21" s="6" t="n"/>
      <c r="D21" s="6" t="n"/>
      <c r="E21" s="6" t="n"/>
      <c r="F21" s="6" t="n"/>
      <c r="G21" s="6" t="n"/>
      <c r="H21" s="6" t="n"/>
      <c r="I21" s="7">
        <f>IF(E21="","",E21*F21)</f>
        <v/>
      </c>
      <c r="J21" s="7">
        <f>IF(G21="","",G21*12*F21)</f>
        <v/>
      </c>
      <c r="K21" s="8">
        <f>IF(G21="","",IF(J21&gt;=PERCENTILE($J$6:$J$45,0.8),"A",IF(J21&gt;=PERCENTILE($J$6:$J$45,0.5),"B","C")))</f>
        <v/>
      </c>
      <c r="L21" s="8">
        <f>IF(G21="","",ROUND(G21/4.33*H21*0.5,0))</f>
        <v/>
      </c>
      <c r="M21" s="8">
        <f>IF(G21="","",ROUND(G21/4.33*H21+L21,0))</f>
        <v/>
      </c>
      <c r="N21" s="9">
        <f>IF(E21="","",IF(E21&lt;=M21,"PESAN ULANG","Aman"))</f>
        <v/>
      </c>
    </row>
    <row r="22">
      <c r="B22" s="6" t="n"/>
      <c r="C22" s="6" t="n"/>
      <c r="D22" s="6" t="n"/>
      <c r="E22" s="6" t="n"/>
      <c r="F22" s="6" t="n"/>
      <c r="G22" s="6" t="n"/>
      <c r="H22" s="6" t="n"/>
      <c r="I22" s="7">
        <f>IF(E22="","",E22*F22)</f>
        <v/>
      </c>
      <c r="J22" s="7">
        <f>IF(G22="","",G22*12*F22)</f>
        <v/>
      </c>
      <c r="K22" s="8">
        <f>IF(G22="","",IF(J22&gt;=PERCENTILE($J$6:$J$45,0.8),"A",IF(J22&gt;=PERCENTILE($J$6:$J$45,0.5),"B","C")))</f>
        <v/>
      </c>
      <c r="L22" s="8">
        <f>IF(G22="","",ROUND(G22/4.33*H22*0.5,0))</f>
        <v/>
      </c>
      <c r="M22" s="8">
        <f>IF(G22="","",ROUND(G22/4.33*H22+L22,0))</f>
        <v/>
      </c>
      <c r="N22" s="9">
        <f>IF(E22="","",IF(E22&lt;=M22,"PESAN ULANG","Aman"))</f>
        <v/>
      </c>
    </row>
    <row r="23">
      <c r="B23" s="6" t="n"/>
      <c r="C23" s="6" t="n"/>
      <c r="D23" s="6" t="n"/>
      <c r="E23" s="6" t="n"/>
      <c r="F23" s="6" t="n"/>
      <c r="G23" s="6" t="n"/>
      <c r="H23" s="6" t="n"/>
      <c r="I23" s="7">
        <f>IF(E23="","",E23*F23)</f>
        <v/>
      </c>
      <c r="J23" s="7">
        <f>IF(G23="","",G23*12*F23)</f>
        <v/>
      </c>
      <c r="K23" s="8">
        <f>IF(G23="","",IF(J23&gt;=PERCENTILE($J$6:$J$45,0.8),"A",IF(J23&gt;=PERCENTILE($J$6:$J$45,0.5),"B","C")))</f>
        <v/>
      </c>
      <c r="L23" s="8">
        <f>IF(G23="","",ROUND(G23/4.33*H23*0.5,0))</f>
        <v/>
      </c>
      <c r="M23" s="8">
        <f>IF(G23="","",ROUND(G23/4.33*H23+L23,0))</f>
        <v/>
      </c>
      <c r="N23" s="9">
        <f>IF(E23="","",IF(E23&lt;=M23,"PESAN ULANG","Aman"))</f>
        <v/>
      </c>
    </row>
    <row r="24">
      <c r="B24" s="6" t="n"/>
      <c r="C24" s="6" t="n"/>
      <c r="D24" s="6" t="n"/>
      <c r="E24" s="6" t="n"/>
      <c r="F24" s="6" t="n"/>
      <c r="G24" s="6" t="n"/>
      <c r="H24" s="6" t="n"/>
      <c r="I24" s="7">
        <f>IF(E24="","",E24*F24)</f>
        <v/>
      </c>
      <c r="J24" s="7">
        <f>IF(G24="","",G24*12*F24)</f>
        <v/>
      </c>
      <c r="K24" s="8">
        <f>IF(G24="","",IF(J24&gt;=PERCENTILE($J$6:$J$45,0.8),"A",IF(J24&gt;=PERCENTILE($J$6:$J$45,0.5),"B","C")))</f>
        <v/>
      </c>
      <c r="L24" s="8">
        <f>IF(G24="","",ROUND(G24/4.33*H24*0.5,0))</f>
        <v/>
      </c>
      <c r="M24" s="8">
        <f>IF(G24="","",ROUND(G24/4.33*H24+L24,0))</f>
        <v/>
      </c>
      <c r="N24" s="9">
        <f>IF(E24="","",IF(E24&lt;=M24,"PESAN ULANG","Aman"))</f>
        <v/>
      </c>
    </row>
    <row r="25">
      <c r="B25" s="6" t="n"/>
      <c r="C25" s="6" t="n"/>
      <c r="D25" s="6" t="n"/>
      <c r="E25" s="6" t="n"/>
      <c r="F25" s="6" t="n"/>
      <c r="G25" s="6" t="n"/>
      <c r="H25" s="6" t="n"/>
      <c r="I25" s="7">
        <f>IF(E25="","",E25*F25)</f>
        <v/>
      </c>
      <c r="J25" s="7">
        <f>IF(G25="","",G25*12*F25)</f>
        <v/>
      </c>
      <c r="K25" s="8">
        <f>IF(G25="","",IF(J25&gt;=PERCENTILE($J$6:$J$45,0.8),"A",IF(J25&gt;=PERCENTILE($J$6:$J$45,0.5),"B","C")))</f>
        <v/>
      </c>
      <c r="L25" s="8">
        <f>IF(G25="","",ROUND(G25/4.33*H25*0.5,0))</f>
        <v/>
      </c>
      <c r="M25" s="8">
        <f>IF(G25="","",ROUND(G25/4.33*H25+L25,0))</f>
        <v/>
      </c>
      <c r="N25" s="9">
        <f>IF(E25="","",IF(E25&lt;=M25,"PESAN ULANG","Aman"))</f>
        <v/>
      </c>
    </row>
    <row r="26">
      <c r="B26" s="6" t="n"/>
      <c r="C26" s="6" t="n"/>
      <c r="D26" s="6" t="n"/>
      <c r="E26" s="6" t="n"/>
      <c r="F26" s="6" t="n"/>
      <c r="G26" s="6" t="n"/>
      <c r="H26" s="6" t="n"/>
      <c r="I26" s="7">
        <f>IF(E26="","",E26*F26)</f>
        <v/>
      </c>
      <c r="J26" s="7">
        <f>IF(G26="","",G26*12*F26)</f>
        <v/>
      </c>
      <c r="K26" s="8">
        <f>IF(G26="","",IF(J26&gt;=PERCENTILE($J$6:$J$45,0.8),"A",IF(J26&gt;=PERCENTILE($J$6:$J$45,0.5),"B","C")))</f>
        <v/>
      </c>
      <c r="L26" s="8">
        <f>IF(G26="","",ROUND(G26/4.33*H26*0.5,0))</f>
        <v/>
      </c>
      <c r="M26" s="8">
        <f>IF(G26="","",ROUND(G26/4.33*H26+L26,0))</f>
        <v/>
      </c>
      <c r="N26" s="9">
        <f>IF(E26="","",IF(E26&lt;=M26,"PESAN ULANG","Aman"))</f>
        <v/>
      </c>
    </row>
    <row r="27">
      <c r="B27" s="6" t="n"/>
      <c r="C27" s="6" t="n"/>
      <c r="D27" s="6" t="n"/>
      <c r="E27" s="6" t="n"/>
      <c r="F27" s="6" t="n"/>
      <c r="G27" s="6" t="n"/>
      <c r="H27" s="6" t="n"/>
      <c r="I27" s="7">
        <f>IF(E27="","",E27*F27)</f>
        <v/>
      </c>
      <c r="J27" s="7">
        <f>IF(G27="","",G27*12*F27)</f>
        <v/>
      </c>
      <c r="K27" s="8">
        <f>IF(G27="","",IF(J27&gt;=PERCENTILE($J$6:$J$45,0.8),"A",IF(J27&gt;=PERCENTILE($J$6:$J$45,0.5),"B","C")))</f>
        <v/>
      </c>
      <c r="L27" s="8">
        <f>IF(G27="","",ROUND(G27/4.33*H27*0.5,0))</f>
        <v/>
      </c>
      <c r="M27" s="8">
        <f>IF(G27="","",ROUND(G27/4.33*H27+L27,0))</f>
        <v/>
      </c>
      <c r="N27" s="9">
        <f>IF(E27="","",IF(E27&lt;=M27,"PESAN ULANG","Aman"))</f>
        <v/>
      </c>
    </row>
    <row r="28">
      <c r="B28" s="6" t="n"/>
      <c r="C28" s="6" t="n"/>
      <c r="D28" s="6" t="n"/>
      <c r="E28" s="6" t="n"/>
      <c r="F28" s="6" t="n"/>
      <c r="G28" s="6" t="n"/>
      <c r="H28" s="6" t="n"/>
      <c r="I28" s="7">
        <f>IF(E28="","",E28*F28)</f>
        <v/>
      </c>
      <c r="J28" s="7">
        <f>IF(G28="","",G28*12*F28)</f>
        <v/>
      </c>
      <c r="K28" s="8">
        <f>IF(G28="","",IF(J28&gt;=PERCENTILE($J$6:$J$45,0.8),"A",IF(J28&gt;=PERCENTILE($J$6:$J$45,0.5),"B","C")))</f>
        <v/>
      </c>
      <c r="L28" s="8">
        <f>IF(G28="","",ROUND(G28/4.33*H28*0.5,0))</f>
        <v/>
      </c>
      <c r="M28" s="8">
        <f>IF(G28="","",ROUND(G28/4.33*H28+L28,0))</f>
        <v/>
      </c>
      <c r="N28" s="9">
        <f>IF(E28="","",IF(E28&lt;=M28,"PESAN ULANG","Aman"))</f>
        <v/>
      </c>
    </row>
    <row r="29">
      <c r="B29" s="6" t="n"/>
      <c r="C29" s="6" t="n"/>
      <c r="D29" s="6" t="n"/>
      <c r="E29" s="6" t="n"/>
      <c r="F29" s="6" t="n"/>
      <c r="G29" s="6" t="n"/>
      <c r="H29" s="6" t="n"/>
      <c r="I29" s="7">
        <f>IF(E29="","",E29*F29)</f>
        <v/>
      </c>
      <c r="J29" s="7">
        <f>IF(G29="","",G29*12*F29)</f>
        <v/>
      </c>
      <c r="K29" s="8">
        <f>IF(G29="","",IF(J29&gt;=PERCENTILE($J$6:$J$45,0.8),"A",IF(J29&gt;=PERCENTILE($J$6:$J$45,0.5),"B","C")))</f>
        <v/>
      </c>
      <c r="L29" s="8">
        <f>IF(G29="","",ROUND(G29/4.33*H29*0.5,0))</f>
        <v/>
      </c>
      <c r="M29" s="8">
        <f>IF(G29="","",ROUND(G29/4.33*H29+L29,0))</f>
        <v/>
      </c>
      <c r="N29" s="9">
        <f>IF(E29="","",IF(E29&lt;=M29,"PESAN ULANG","Aman"))</f>
        <v/>
      </c>
    </row>
    <row r="30">
      <c r="B30" s="6" t="n"/>
      <c r="C30" s="6" t="n"/>
      <c r="D30" s="6" t="n"/>
      <c r="E30" s="6" t="n"/>
      <c r="F30" s="6" t="n"/>
      <c r="G30" s="6" t="n"/>
      <c r="H30" s="6" t="n"/>
      <c r="I30" s="7">
        <f>IF(E30="","",E30*F30)</f>
        <v/>
      </c>
      <c r="J30" s="7">
        <f>IF(G30="","",G30*12*F30)</f>
        <v/>
      </c>
      <c r="K30" s="8">
        <f>IF(G30="","",IF(J30&gt;=PERCENTILE($J$6:$J$45,0.8),"A",IF(J30&gt;=PERCENTILE($J$6:$J$45,0.5),"B","C")))</f>
        <v/>
      </c>
      <c r="L30" s="8">
        <f>IF(G30="","",ROUND(G30/4.33*H30*0.5,0))</f>
        <v/>
      </c>
      <c r="M30" s="8">
        <f>IF(G30="","",ROUND(G30/4.33*H30+L30,0))</f>
        <v/>
      </c>
      <c r="N30" s="9">
        <f>IF(E30="","",IF(E30&lt;=M30,"PESAN ULANG","Aman"))</f>
        <v/>
      </c>
    </row>
    <row r="31">
      <c r="B31" s="6" t="n"/>
      <c r="C31" s="6" t="n"/>
      <c r="D31" s="6" t="n"/>
      <c r="E31" s="6" t="n"/>
      <c r="F31" s="6" t="n"/>
      <c r="G31" s="6" t="n"/>
      <c r="H31" s="6" t="n"/>
      <c r="I31" s="7">
        <f>IF(E31="","",E31*F31)</f>
        <v/>
      </c>
      <c r="J31" s="7">
        <f>IF(G31="","",G31*12*F31)</f>
        <v/>
      </c>
      <c r="K31" s="8">
        <f>IF(G31="","",IF(J31&gt;=PERCENTILE($J$6:$J$45,0.8),"A",IF(J31&gt;=PERCENTILE($J$6:$J$45,0.5),"B","C")))</f>
        <v/>
      </c>
      <c r="L31" s="8">
        <f>IF(G31="","",ROUND(G31/4.33*H31*0.5,0))</f>
        <v/>
      </c>
      <c r="M31" s="8">
        <f>IF(G31="","",ROUND(G31/4.33*H31+L31,0))</f>
        <v/>
      </c>
      <c r="N31" s="9">
        <f>IF(E31="","",IF(E31&lt;=M31,"PESAN ULANG","Aman"))</f>
        <v/>
      </c>
    </row>
    <row r="32">
      <c r="B32" s="6" t="n"/>
      <c r="C32" s="6" t="n"/>
      <c r="D32" s="6" t="n"/>
      <c r="E32" s="6" t="n"/>
      <c r="F32" s="6" t="n"/>
      <c r="G32" s="6" t="n"/>
      <c r="H32" s="6" t="n"/>
      <c r="I32" s="7">
        <f>IF(E32="","",E32*F32)</f>
        <v/>
      </c>
      <c r="J32" s="7">
        <f>IF(G32="","",G32*12*F32)</f>
        <v/>
      </c>
      <c r="K32" s="8">
        <f>IF(G32="","",IF(J32&gt;=PERCENTILE($J$6:$J$45,0.8),"A",IF(J32&gt;=PERCENTILE($J$6:$J$45,0.5),"B","C")))</f>
        <v/>
      </c>
      <c r="L32" s="8">
        <f>IF(G32="","",ROUND(G32/4.33*H32*0.5,0))</f>
        <v/>
      </c>
      <c r="M32" s="8">
        <f>IF(G32="","",ROUND(G32/4.33*H32+L32,0))</f>
        <v/>
      </c>
      <c r="N32" s="9">
        <f>IF(E32="","",IF(E32&lt;=M32,"PESAN ULANG","Aman"))</f>
        <v/>
      </c>
    </row>
    <row r="33">
      <c r="B33" s="6" t="n"/>
      <c r="C33" s="6" t="n"/>
      <c r="D33" s="6" t="n"/>
      <c r="E33" s="6" t="n"/>
      <c r="F33" s="6" t="n"/>
      <c r="G33" s="6" t="n"/>
      <c r="H33" s="6" t="n"/>
      <c r="I33" s="7">
        <f>IF(E33="","",E33*F33)</f>
        <v/>
      </c>
      <c r="J33" s="7">
        <f>IF(G33="","",G33*12*F33)</f>
        <v/>
      </c>
      <c r="K33" s="8">
        <f>IF(G33="","",IF(J33&gt;=PERCENTILE($J$6:$J$45,0.8),"A",IF(J33&gt;=PERCENTILE($J$6:$J$45,0.5),"B","C")))</f>
        <v/>
      </c>
      <c r="L33" s="8">
        <f>IF(G33="","",ROUND(G33/4.33*H33*0.5,0))</f>
        <v/>
      </c>
      <c r="M33" s="8">
        <f>IF(G33="","",ROUND(G33/4.33*H33+L33,0))</f>
        <v/>
      </c>
      <c r="N33" s="9">
        <f>IF(E33="","",IF(E33&lt;=M33,"PESAN ULANG","Aman"))</f>
        <v/>
      </c>
    </row>
    <row r="34">
      <c r="B34" s="6" t="n"/>
      <c r="C34" s="6" t="n"/>
      <c r="D34" s="6" t="n"/>
      <c r="E34" s="6" t="n"/>
      <c r="F34" s="6" t="n"/>
      <c r="G34" s="6" t="n"/>
      <c r="H34" s="6" t="n"/>
      <c r="I34" s="7">
        <f>IF(E34="","",E34*F34)</f>
        <v/>
      </c>
      <c r="J34" s="7">
        <f>IF(G34="","",G34*12*F34)</f>
        <v/>
      </c>
      <c r="K34" s="8">
        <f>IF(G34="","",IF(J34&gt;=PERCENTILE($J$6:$J$45,0.8),"A",IF(J34&gt;=PERCENTILE($J$6:$J$45,0.5),"B","C")))</f>
        <v/>
      </c>
      <c r="L34" s="8">
        <f>IF(G34="","",ROUND(G34/4.33*H34*0.5,0))</f>
        <v/>
      </c>
      <c r="M34" s="8">
        <f>IF(G34="","",ROUND(G34/4.33*H34+L34,0))</f>
        <v/>
      </c>
      <c r="N34" s="9">
        <f>IF(E34="","",IF(E34&lt;=M34,"PESAN ULANG","Aman"))</f>
        <v/>
      </c>
    </row>
    <row r="35">
      <c r="B35" s="6" t="n"/>
      <c r="C35" s="6" t="n"/>
      <c r="D35" s="6" t="n"/>
      <c r="E35" s="6" t="n"/>
      <c r="F35" s="6" t="n"/>
      <c r="G35" s="6" t="n"/>
      <c r="H35" s="6" t="n"/>
      <c r="I35" s="7">
        <f>IF(E35="","",E35*F35)</f>
        <v/>
      </c>
      <c r="J35" s="7">
        <f>IF(G35="","",G35*12*F35)</f>
        <v/>
      </c>
      <c r="K35" s="8">
        <f>IF(G35="","",IF(J35&gt;=PERCENTILE($J$6:$J$45,0.8),"A",IF(J35&gt;=PERCENTILE($J$6:$J$45,0.5),"B","C")))</f>
        <v/>
      </c>
      <c r="L35" s="8">
        <f>IF(G35="","",ROUND(G35/4.33*H35*0.5,0))</f>
        <v/>
      </c>
      <c r="M35" s="8">
        <f>IF(G35="","",ROUND(G35/4.33*H35+L35,0))</f>
        <v/>
      </c>
      <c r="N35" s="9">
        <f>IF(E35="","",IF(E35&lt;=M35,"PESAN ULANG","Aman"))</f>
        <v/>
      </c>
    </row>
    <row r="36">
      <c r="B36" s="6" t="n"/>
      <c r="C36" s="6" t="n"/>
      <c r="D36" s="6" t="n"/>
      <c r="E36" s="6" t="n"/>
      <c r="F36" s="6" t="n"/>
      <c r="G36" s="6" t="n"/>
      <c r="H36" s="6" t="n"/>
      <c r="I36" s="7">
        <f>IF(E36="","",E36*F36)</f>
        <v/>
      </c>
      <c r="J36" s="7">
        <f>IF(G36="","",G36*12*F36)</f>
        <v/>
      </c>
      <c r="K36" s="8">
        <f>IF(G36="","",IF(J36&gt;=PERCENTILE($J$6:$J$45,0.8),"A",IF(J36&gt;=PERCENTILE($J$6:$J$45,0.5),"B","C")))</f>
        <v/>
      </c>
      <c r="L36" s="8">
        <f>IF(G36="","",ROUND(G36/4.33*H36*0.5,0))</f>
        <v/>
      </c>
      <c r="M36" s="8">
        <f>IF(G36="","",ROUND(G36/4.33*H36+L36,0))</f>
        <v/>
      </c>
      <c r="N36" s="9">
        <f>IF(E36="","",IF(E36&lt;=M36,"PESAN ULANG","Aman"))</f>
        <v/>
      </c>
    </row>
    <row r="37">
      <c r="B37" s="6" t="n"/>
      <c r="C37" s="6" t="n"/>
      <c r="D37" s="6" t="n"/>
      <c r="E37" s="6" t="n"/>
      <c r="F37" s="6" t="n"/>
      <c r="G37" s="6" t="n"/>
      <c r="H37" s="6" t="n"/>
      <c r="I37" s="7">
        <f>IF(E37="","",E37*F37)</f>
        <v/>
      </c>
      <c r="J37" s="7">
        <f>IF(G37="","",G37*12*F37)</f>
        <v/>
      </c>
      <c r="K37" s="8">
        <f>IF(G37="","",IF(J37&gt;=PERCENTILE($J$6:$J$45,0.8),"A",IF(J37&gt;=PERCENTILE($J$6:$J$45,0.5),"B","C")))</f>
        <v/>
      </c>
      <c r="L37" s="8">
        <f>IF(G37="","",ROUND(G37/4.33*H37*0.5,0))</f>
        <v/>
      </c>
      <c r="M37" s="8">
        <f>IF(G37="","",ROUND(G37/4.33*H37+L37,0))</f>
        <v/>
      </c>
      <c r="N37" s="9">
        <f>IF(E37="","",IF(E37&lt;=M37,"PESAN ULANG","Aman"))</f>
        <v/>
      </c>
    </row>
    <row r="38">
      <c r="B38" s="6" t="n"/>
      <c r="C38" s="6" t="n"/>
      <c r="D38" s="6" t="n"/>
      <c r="E38" s="6" t="n"/>
      <c r="F38" s="6" t="n"/>
      <c r="G38" s="6" t="n"/>
      <c r="H38" s="6" t="n"/>
      <c r="I38" s="7">
        <f>IF(E38="","",E38*F38)</f>
        <v/>
      </c>
      <c r="J38" s="7">
        <f>IF(G38="","",G38*12*F38)</f>
        <v/>
      </c>
      <c r="K38" s="8">
        <f>IF(G38="","",IF(J38&gt;=PERCENTILE($J$6:$J$45,0.8),"A",IF(J38&gt;=PERCENTILE($J$6:$J$45,0.5),"B","C")))</f>
        <v/>
      </c>
      <c r="L38" s="8">
        <f>IF(G38="","",ROUND(G38/4.33*H38*0.5,0))</f>
        <v/>
      </c>
      <c r="M38" s="8">
        <f>IF(G38="","",ROUND(G38/4.33*H38+L38,0))</f>
        <v/>
      </c>
      <c r="N38" s="9">
        <f>IF(E38="","",IF(E38&lt;=M38,"PESAN ULANG","Aman"))</f>
        <v/>
      </c>
    </row>
    <row r="39">
      <c r="B39" s="6" t="n"/>
      <c r="C39" s="6" t="n"/>
      <c r="D39" s="6" t="n"/>
      <c r="E39" s="6" t="n"/>
      <c r="F39" s="6" t="n"/>
      <c r="G39" s="6" t="n"/>
      <c r="H39" s="6" t="n"/>
      <c r="I39" s="7">
        <f>IF(E39="","",E39*F39)</f>
        <v/>
      </c>
      <c r="J39" s="7">
        <f>IF(G39="","",G39*12*F39)</f>
        <v/>
      </c>
      <c r="K39" s="8">
        <f>IF(G39="","",IF(J39&gt;=PERCENTILE($J$6:$J$45,0.8),"A",IF(J39&gt;=PERCENTILE($J$6:$J$45,0.5),"B","C")))</f>
        <v/>
      </c>
      <c r="L39" s="8">
        <f>IF(G39="","",ROUND(G39/4.33*H39*0.5,0))</f>
        <v/>
      </c>
      <c r="M39" s="8">
        <f>IF(G39="","",ROUND(G39/4.33*H39+L39,0))</f>
        <v/>
      </c>
      <c r="N39" s="9">
        <f>IF(E39="","",IF(E39&lt;=M39,"PESAN ULANG","Aman"))</f>
        <v/>
      </c>
    </row>
    <row r="40">
      <c r="B40" s="6" t="n"/>
      <c r="C40" s="6" t="n"/>
      <c r="D40" s="6" t="n"/>
      <c r="E40" s="6" t="n"/>
      <c r="F40" s="6" t="n"/>
      <c r="G40" s="6" t="n"/>
      <c r="H40" s="6" t="n"/>
      <c r="I40" s="7">
        <f>IF(E40="","",E40*F40)</f>
        <v/>
      </c>
      <c r="J40" s="7">
        <f>IF(G40="","",G40*12*F40)</f>
        <v/>
      </c>
      <c r="K40" s="8">
        <f>IF(G40="","",IF(J40&gt;=PERCENTILE($J$6:$J$45,0.8),"A",IF(J40&gt;=PERCENTILE($J$6:$J$45,0.5),"B","C")))</f>
        <v/>
      </c>
      <c r="L40" s="8">
        <f>IF(G40="","",ROUND(G40/4.33*H40*0.5,0))</f>
        <v/>
      </c>
      <c r="M40" s="8">
        <f>IF(G40="","",ROUND(G40/4.33*H40+L40,0))</f>
        <v/>
      </c>
      <c r="N40" s="9">
        <f>IF(E40="","",IF(E40&lt;=M40,"PESAN ULANG","Aman"))</f>
        <v/>
      </c>
    </row>
    <row r="41">
      <c r="B41" s="6" t="n"/>
      <c r="C41" s="6" t="n"/>
      <c r="D41" s="6" t="n"/>
      <c r="E41" s="6" t="n"/>
      <c r="F41" s="6" t="n"/>
      <c r="G41" s="6" t="n"/>
      <c r="H41" s="6" t="n"/>
      <c r="I41" s="7">
        <f>IF(E41="","",E41*F41)</f>
        <v/>
      </c>
      <c r="J41" s="7">
        <f>IF(G41="","",G41*12*F41)</f>
        <v/>
      </c>
      <c r="K41" s="8">
        <f>IF(G41="","",IF(J41&gt;=PERCENTILE($J$6:$J$45,0.8),"A",IF(J41&gt;=PERCENTILE($J$6:$J$45,0.5),"B","C")))</f>
        <v/>
      </c>
      <c r="L41" s="8">
        <f>IF(G41="","",ROUND(G41/4.33*H41*0.5,0))</f>
        <v/>
      </c>
      <c r="M41" s="8">
        <f>IF(G41="","",ROUND(G41/4.33*H41+L41,0))</f>
        <v/>
      </c>
      <c r="N41" s="9">
        <f>IF(E41="","",IF(E41&lt;=M41,"PESAN ULANG","Aman"))</f>
        <v/>
      </c>
    </row>
    <row r="42">
      <c r="B42" s="6" t="n"/>
      <c r="C42" s="6" t="n"/>
      <c r="D42" s="6" t="n"/>
      <c r="E42" s="6" t="n"/>
      <c r="F42" s="6" t="n"/>
      <c r="G42" s="6" t="n"/>
      <c r="H42" s="6" t="n"/>
      <c r="I42" s="7">
        <f>IF(E42="","",E42*F42)</f>
        <v/>
      </c>
      <c r="J42" s="7">
        <f>IF(G42="","",G42*12*F42)</f>
        <v/>
      </c>
      <c r="K42" s="8">
        <f>IF(G42="","",IF(J42&gt;=PERCENTILE($J$6:$J$45,0.8),"A",IF(J42&gt;=PERCENTILE($J$6:$J$45,0.5),"B","C")))</f>
        <v/>
      </c>
      <c r="L42" s="8">
        <f>IF(G42="","",ROUND(G42/4.33*H42*0.5,0))</f>
        <v/>
      </c>
      <c r="M42" s="8">
        <f>IF(G42="","",ROUND(G42/4.33*H42+L42,0))</f>
        <v/>
      </c>
      <c r="N42" s="9">
        <f>IF(E42="","",IF(E42&lt;=M42,"PESAN ULANG","Aman"))</f>
        <v/>
      </c>
    </row>
    <row r="43">
      <c r="B43" s="6" t="n"/>
      <c r="C43" s="6" t="n"/>
      <c r="D43" s="6" t="n"/>
      <c r="E43" s="6" t="n"/>
      <c r="F43" s="6" t="n"/>
      <c r="G43" s="6" t="n"/>
      <c r="H43" s="6" t="n"/>
      <c r="I43" s="7">
        <f>IF(E43="","",E43*F43)</f>
        <v/>
      </c>
      <c r="J43" s="7">
        <f>IF(G43="","",G43*12*F43)</f>
        <v/>
      </c>
      <c r="K43" s="8">
        <f>IF(G43="","",IF(J43&gt;=PERCENTILE($J$6:$J$45,0.8),"A",IF(J43&gt;=PERCENTILE($J$6:$J$45,0.5),"B","C")))</f>
        <v/>
      </c>
      <c r="L43" s="8">
        <f>IF(G43="","",ROUND(G43/4.33*H43*0.5,0))</f>
        <v/>
      </c>
      <c r="M43" s="8">
        <f>IF(G43="","",ROUND(G43/4.33*H43+L43,0))</f>
        <v/>
      </c>
      <c r="N43" s="9">
        <f>IF(E43="","",IF(E43&lt;=M43,"PESAN ULANG","Aman"))</f>
        <v/>
      </c>
    </row>
    <row r="44">
      <c r="B44" s="6" t="n"/>
      <c r="C44" s="6" t="n"/>
      <c r="D44" s="6" t="n"/>
      <c r="E44" s="6" t="n"/>
      <c r="F44" s="6" t="n"/>
      <c r="G44" s="6" t="n"/>
      <c r="H44" s="6" t="n"/>
      <c r="I44" s="7">
        <f>IF(E44="","",E44*F44)</f>
        <v/>
      </c>
      <c r="J44" s="7">
        <f>IF(G44="","",G44*12*F44)</f>
        <v/>
      </c>
      <c r="K44" s="8">
        <f>IF(G44="","",IF(J44&gt;=PERCENTILE($J$6:$J$45,0.8),"A",IF(J44&gt;=PERCENTILE($J$6:$J$45,0.5),"B","C")))</f>
        <v/>
      </c>
      <c r="L44" s="8">
        <f>IF(G44="","",ROUND(G44/4.33*H44*0.5,0))</f>
        <v/>
      </c>
      <c r="M44" s="8">
        <f>IF(G44="","",ROUND(G44/4.33*H44+L44,0))</f>
        <v/>
      </c>
      <c r="N44" s="9">
        <f>IF(E44="","",IF(E44&lt;=M44,"PESAN ULANG","Aman"))</f>
        <v/>
      </c>
    </row>
    <row r="45">
      <c r="B45" s="6" t="n"/>
      <c r="C45" s="6" t="n"/>
      <c r="D45" s="6" t="n"/>
      <c r="E45" s="6" t="n"/>
      <c r="F45" s="6" t="n"/>
      <c r="G45" s="6" t="n"/>
      <c r="H45" s="6" t="n"/>
      <c r="I45" s="7">
        <f>IF(E45="","",E45*F45)</f>
        <v/>
      </c>
      <c r="J45" s="7">
        <f>IF(G45="","",G45*12*F45)</f>
        <v/>
      </c>
      <c r="K45" s="8">
        <f>IF(G45="","",IF(J45&gt;=PERCENTILE($J$6:$J$45,0.8),"A",IF(J45&gt;=PERCENTILE($J$6:$J$45,0.5),"B","C")))</f>
        <v/>
      </c>
      <c r="L45" s="8">
        <f>IF(G45="","",ROUND(G45/4.33*H45*0.5,0))</f>
        <v/>
      </c>
      <c r="M45" s="8">
        <f>IF(G45="","",ROUND(G45/4.33*H45+L45,0))</f>
        <v/>
      </c>
      <c r="N45" s="9">
        <f>IF(E45="","",IF(E45&lt;=M45,"PESAN ULANG","Aman"))</f>
        <v/>
      </c>
    </row>
  </sheetData>
  <mergeCells count="2">
    <mergeCell ref="B3:M3"/>
    <mergeCell ref="B2:M2"/>
  </mergeCells>
  <conditionalFormatting sqref="N6:N45">
    <cfRule type="cellIs" priority="1" operator="equal" dxfId="0">
      <formula>"PESAN ULANG"</formula>
    </cfRule>
    <cfRule type="cellIs" priority="2" operator="equal" dxfId="1">
      <formula>"Aman"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6" customWidth="1" min="3" max="3"/>
    <col width="6" customWidth="1" min="4" max="4"/>
    <col width="18" customWidth="1" min="5" max="5"/>
  </cols>
  <sheetData>
    <row r="2" ht="28" customHeight="1">
      <c r="B2" s="10" t="inlineStr">
        <is>
          <t>RINGKASAN OTOMATIS</t>
        </is>
      </c>
      <c r="C2" s="2" t="n"/>
      <c r="D2" s="2" t="n"/>
      <c r="E2" s="2" t="n"/>
      <c r="F2" s="2" t="n"/>
    </row>
    <row r="4">
      <c r="B4" s="11" t="inlineStr">
        <is>
          <t>Total nilai stok</t>
        </is>
      </c>
      <c r="C4" s="12" t="n"/>
      <c r="D4" s="12" t="n"/>
      <c r="E4" s="13">
        <f>SUM('Input &amp; Hasil'!I6:I45)</f>
        <v/>
      </c>
    </row>
    <row r="5">
      <c r="B5" s="14" t="inlineStr">
        <is>
          <t>Jumlah SKU</t>
        </is>
      </c>
      <c r="C5" s="15" t="n"/>
      <c r="D5" s="15" t="n"/>
      <c r="E5" s="16">
        <f>COUNTA('Input &amp; Hasil'!B6:B45)</f>
        <v/>
      </c>
    </row>
    <row r="6">
      <c r="B6" s="11" t="inlineStr">
        <is>
          <t>Perlu pesan ulang</t>
        </is>
      </c>
      <c r="C6" s="12" t="n"/>
      <c r="D6" s="12" t="n"/>
      <c r="E6" s="17">
        <f>COUNTIF('Input &amp; Hasil'!N6:N45,"PESAN ULANG")</f>
        <v/>
      </c>
    </row>
    <row r="7">
      <c r="B7" s="14" t="inlineStr">
        <is>
          <t>SKU kelas A</t>
        </is>
      </c>
      <c r="C7" s="15" t="n"/>
      <c r="D7" s="15" t="n"/>
      <c r="E7" s="16">
        <f>COUNTIF('Input &amp; Hasil'!K6:K45,"A")</f>
        <v/>
      </c>
    </row>
    <row r="8">
      <c r="B8" s="11" t="inlineStr">
        <is>
          <t>Nilai stok kelas A</t>
        </is>
      </c>
      <c r="C8" s="12" t="n"/>
      <c r="D8" s="12" t="n"/>
      <c r="E8" s="13">
        <f>SUMIF('Input &amp; Hasil'!K6:K45,"A",'Input &amp; Hasil'!I6:I45)</f>
        <v/>
      </c>
    </row>
  </sheetData>
  <mergeCells count="6">
    <mergeCell ref="B5:D5"/>
    <mergeCell ref="B2:F2"/>
    <mergeCell ref="B8:D8"/>
    <mergeCell ref="B4:D4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95" customWidth="1" min="2" max="2"/>
  </cols>
  <sheetData>
    <row r="2">
      <c r="B2" s="18" t="inlineStr">
        <is>
          <t>CARA PAKAI TEMPLATE INI</t>
        </is>
      </c>
    </row>
    <row r="3">
      <c r="B3" s="19" t="inlineStr"/>
    </row>
    <row r="4">
      <c r="B4" s="20" t="inlineStr">
        <is>
          <t>1. Buka sheet 'Input &amp; Hasil'. Isi HANYA kolom kuning (SKU, Nama, Kategori, Stok, HPP, Permintaan per bulan, Lead time minggu).</t>
        </is>
      </c>
    </row>
    <row r="5">
      <c r="B5" s="20" t="inlineStr">
        <is>
          <t>2. Kolom hijau menghitung sendiri: Nilai stok, Kelas ABC, Safety stock, Titik pesan ulang, dan Status.</t>
        </is>
      </c>
    </row>
    <row r="6">
      <c r="B6" s="20" t="inlineStr">
        <is>
          <t>3. Baris berstatus 'PESAN ULANG' (merah) berarti stok sudah di bawah titik aman. Segera pesan.</t>
        </is>
      </c>
    </row>
    <row r="7">
      <c r="B7" s="20" t="inlineStr">
        <is>
          <t>4. Sheet 'Ringkasan' merangkum total nilai stok, jumlah SKU, dan berapa yang perlu dipesan ulang.</t>
        </is>
      </c>
    </row>
    <row r="8">
      <c r="B8" s="19" t="inlineStr"/>
    </row>
    <row r="9">
      <c r="B9" s="21" t="inlineStr">
        <is>
          <t>APA ITU KELAS ABC?</t>
        </is>
      </c>
    </row>
    <row r="10">
      <c r="B10" s="22" t="inlineStr">
        <is>
          <t>Kelas A = produk paling bernilai (kelola paling ketat). B = menengah. C = nilai kecil. Aturan: fokuskan modal dan perhatian ke kelas A.</t>
        </is>
      </c>
    </row>
    <row r="11">
      <c r="B11" s="19" t="inlineStr"/>
    </row>
    <row r="12">
      <c r="B12" s="21" t="inlineStr">
        <is>
          <t>CATATAN</t>
        </is>
      </c>
    </row>
    <row r="13">
      <c r="B13" s="22" t="inlineStr">
        <is>
          <t>Safety stock memakai asumsi sederhana (separuh permintaan selama lead time). Anda bisa menyesuaikan angka pengali di kolom Safety Stock bila punya data variasi permintaan.</t>
        </is>
      </c>
    </row>
    <row r="14">
      <c r="B14" s="19" t="inlineStr"/>
    </row>
    <row r="15">
      <c r="B15" s="23" t="inlineStr">
        <is>
          <t>Disusun oleh David Izzulhaq, Analis Data.  davidizzulhaq.github.io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2026-06-17T04:44:25Z</dcterms:created>
  <dcterms:modified xmlns:dcterms="http://purl.org/dc/terms/" xmlns:xsi="http://www.w3.org/2001/XMLSchema-instance" xsi:type="dcterms:W3CDTF">2026-06-17T04:44:26Z</dcterms:modified>
</cp:coreProperties>
</file>