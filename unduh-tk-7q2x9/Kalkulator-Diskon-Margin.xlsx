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lkulator" sheetId="1" state="visible" r:id="rId1"/>
    <sheet xmlns:r="http://schemas.openxmlformats.org/officeDocument/2006/relationships" name="Petunjuk" sheetId="2" state="visible" r:id="rId2"/>
  </sheets>
  <definedNames>
    <definedName name="_xlnm.Print_Area" localSheetId="0">'Kalkulator'!$B$2:$K$35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_-[$Rp-421]* #,##0_-;-[$Rp-421]* #,##0_-;_-[$Rp-421]* &quot;-&quot;_-;_-@_-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i val="1"/>
      <color rgb="006B7A73"/>
      <sz val="10"/>
    </font>
    <font>
      <b val="1"/>
      <color rgb="00FFFFFF"/>
      <sz val="9.5"/>
    </font>
    <font>
      <color rgb="001B2420"/>
      <sz val="10"/>
    </font>
    <font>
      <b val="1"/>
      <color rgb="000E3A30"/>
      <sz val="16"/>
    </font>
    <font>
      <color rgb="001B2420"/>
      <sz val="11"/>
    </font>
    <font>
      <color rgb="006B7A73"/>
      <sz val="11"/>
    </font>
    <font>
      <color rgb="00B0822A"/>
      <sz val="10"/>
    </font>
  </fonts>
  <fills count="6">
    <fill>
      <patternFill/>
    </fill>
    <fill>
      <patternFill patternType="gray125"/>
    </fill>
    <fill>
      <patternFill patternType="solid">
        <fgColor rgb="000E3A30"/>
      </patternFill>
    </fill>
    <fill>
      <patternFill patternType="solid">
        <fgColor rgb="00B0822A"/>
      </patternFill>
    </fill>
    <fill>
      <patternFill patternType="solid">
        <fgColor rgb="0014543F"/>
      </patternFill>
    </fill>
    <fill>
      <patternFill patternType="solid">
        <fgColor rgb="00FFF8E8"/>
      </patternFill>
    </fill>
  </fills>
  <borders count="2">
    <border>
      <left/>
      <right/>
      <top/>
      <bottom/>
      <diagonal/>
    </border>
    <border>
      <left style="thin">
        <color rgb="00D8E0DA"/>
      </left>
      <right style="thin">
        <color rgb="00D8E0DA"/>
      </right>
      <top style="thin">
        <color rgb="00D8E0DA"/>
      </top>
      <bottom style="thin">
        <color rgb="00D8E0DA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pivotButton="0" quotePrefix="0" xfId="0"/>
    <xf numFmtId="164" fontId="4" fillId="5" borderId="1" pivotButton="0" quotePrefix="0" xfId="0"/>
    <xf numFmtId="9" fontId="4" fillId="5" borderId="1" applyAlignment="1" pivotButton="0" quotePrefix="0" xfId="0">
      <alignment horizontal="center"/>
    </xf>
    <xf numFmtId="164" fontId="4" fillId="0" borderId="1" pivotButton="0" quotePrefix="0" xfId="0"/>
    <xf numFmtId="9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5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ont>
        <b val="1"/>
        <color rgb="00B23A3A"/>
      </font>
      <fill>
        <patternFill patternType="solid">
          <fgColor rgb="00F6D9D5"/>
        </patternFill>
      </fill>
    </dxf>
    <dxf>
      <font>
        <b val="1"/>
        <color rgb="00B0822A"/>
      </font>
    </dxf>
    <dxf>
      <font>
        <color rgb="002E7D52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K3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2" max="2"/>
    <col width="12" customWidth="1" min="3" max="3"/>
    <col width="12" customWidth="1" min="4" max="4"/>
    <col width="10" customWidth="1" min="5" max="5"/>
    <col width="13" customWidth="1" min="6" max="6"/>
    <col width="13" customWidth="1" min="7" max="7"/>
    <col width="13" customWidth="1" min="8" max="8"/>
    <col width="11" customWidth="1" min="9" max="9"/>
    <col width="13" customWidth="1" min="10" max="10"/>
    <col width="12" customWidth="1" min="11" max="11"/>
  </cols>
  <sheetData>
    <row r="2" ht="30" customHeight="1">
      <c r="B2" s="1" t="inlineStr">
        <is>
          <t>KALKULATOR DISKON &amp; MARGIN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B3" s="3" t="inlineStr">
        <is>
          <t>Isi kolom kuning (modal, harga jual, diskon). Kolom hijau hitung otomatis: untung sebelum/sesudah, seberapa anjlok, dan diskon maksimum yang masih aman.</t>
        </is>
      </c>
    </row>
    <row r="5" ht="30" customHeight="1">
      <c r="B5" s="4" t="inlineStr">
        <is>
          <t>Produk</t>
        </is>
      </c>
      <c r="C5" s="4" t="inlineStr">
        <is>
          <t>Modal / HPP</t>
        </is>
      </c>
      <c r="D5" s="4" t="inlineStr">
        <is>
          <t>Harga Jual</t>
        </is>
      </c>
      <c r="E5" s="4" t="inlineStr">
        <is>
          <t>Diskon %</t>
        </is>
      </c>
      <c r="F5" s="5" t="inlineStr">
        <is>
          <t>Harga Stlh Diskon</t>
        </is>
      </c>
      <c r="G5" s="5" t="inlineStr">
        <is>
          <t>Untung Sebelum</t>
        </is>
      </c>
      <c r="H5" s="5" t="inlineStr">
        <is>
          <t>Untung Setelah</t>
        </is>
      </c>
      <c r="I5" s="5" t="inlineStr">
        <is>
          <t>Untung Turun</t>
        </is>
      </c>
      <c r="J5" s="5" t="inlineStr">
        <is>
          <t>Diskon Maks Aman</t>
        </is>
      </c>
      <c r="K5" s="5" t="inlineStr">
        <is>
          <t>Status</t>
        </is>
      </c>
    </row>
    <row r="6">
      <c r="B6" s="6" t="inlineStr">
        <is>
          <t>Contoh: Kaos</t>
        </is>
      </c>
      <c r="C6" s="7" t="n">
        <v>70000</v>
      </c>
      <c r="D6" s="7" t="n">
        <v>100000</v>
      </c>
      <c r="E6" s="8" t="n">
        <v>0.2</v>
      </c>
      <c r="F6" s="9">
        <f>IF(D6="","",D6*(1-E6))</f>
        <v/>
      </c>
      <c r="G6" s="9">
        <f>IF(D6="","",D6-C6)</f>
        <v/>
      </c>
      <c r="H6" s="9">
        <f>IF(D6="","",F6-C6)</f>
        <v/>
      </c>
      <c r="I6" s="10">
        <f>IF(OR(D6="",G6=0),"",(G6-H6)/G6)</f>
        <v/>
      </c>
      <c r="J6" s="10">
        <f>IF(D6="","",1-C6/D6)</f>
        <v/>
      </c>
      <c r="K6" s="11">
        <f>IF(D6="","",IF(H6&lt;=0,"BUNTUNG",IF(H6&lt;G6*0.5,"TIPIS","AMAN")))</f>
        <v/>
      </c>
    </row>
    <row r="7">
      <c r="B7" s="6" t="inlineStr">
        <is>
          <t>Beras 5kg</t>
        </is>
      </c>
      <c r="C7" s="7" t="n">
        <v>58000</v>
      </c>
      <c r="D7" s="7" t="n">
        <v>67000</v>
      </c>
      <c r="E7" s="8" t="n">
        <v>0.1</v>
      </c>
      <c r="F7" s="9">
        <f>IF(D7="","",D7*(1-E7))</f>
        <v/>
      </c>
      <c r="G7" s="9">
        <f>IF(D7="","",D7-C7)</f>
        <v/>
      </c>
      <c r="H7" s="9">
        <f>IF(D7="","",F7-C7)</f>
        <v/>
      </c>
      <c r="I7" s="10">
        <f>IF(OR(D7="",G7=0),"",(G7-H7)/G7)</f>
        <v/>
      </c>
      <c r="J7" s="10">
        <f>IF(D7="","",1-C7/D7)</f>
        <v/>
      </c>
      <c r="K7" s="11">
        <f>IF(D7="","",IF(H7&lt;=0,"BUNTUNG",IF(H7&lt;G7*0.5,"TIPIS","AMAN")))</f>
        <v/>
      </c>
    </row>
    <row r="8">
      <c r="B8" s="6" t="inlineStr">
        <is>
          <t>Kopi Sachet (dus)</t>
        </is>
      </c>
      <c r="C8" s="7" t="n">
        <v>95000</v>
      </c>
      <c r="D8" s="7" t="n">
        <v>118000</v>
      </c>
      <c r="E8" s="8" t="n">
        <v>0.15</v>
      </c>
      <c r="F8" s="9">
        <f>IF(D8="","",D8*(1-E8))</f>
        <v/>
      </c>
      <c r="G8" s="9">
        <f>IF(D8="","",D8-C8)</f>
        <v/>
      </c>
      <c r="H8" s="9">
        <f>IF(D8="","",F8-C8)</f>
        <v/>
      </c>
      <c r="I8" s="10">
        <f>IF(OR(D8="",G8=0),"",(G8-H8)/G8)</f>
        <v/>
      </c>
      <c r="J8" s="10">
        <f>IF(D8="","",1-C8/D8)</f>
        <v/>
      </c>
      <c r="K8" s="11">
        <f>IF(D8="","",IF(H8&lt;=0,"BUNTUNG",IF(H8&lt;G8*0.5,"TIPIS","AMAN")))</f>
        <v/>
      </c>
    </row>
    <row r="9">
      <c r="B9" s="6" t="n"/>
      <c r="C9" s="7" t="n"/>
      <c r="D9" s="7" t="n"/>
      <c r="E9" s="8" t="n"/>
      <c r="F9" s="9">
        <f>IF(D9="","",D9*(1-E9))</f>
        <v/>
      </c>
      <c r="G9" s="9">
        <f>IF(D9="","",D9-C9)</f>
        <v/>
      </c>
      <c r="H9" s="9">
        <f>IF(D9="","",F9-C9)</f>
        <v/>
      </c>
      <c r="I9" s="10">
        <f>IF(OR(D9="",G9=0),"",(G9-H9)/G9)</f>
        <v/>
      </c>
      <c r="J9" s="10">
        <f>IF(D9="","",1-C9/D9)</f>
        <v/>
      </c>
      <c r="K9" s="11">
        <f>IF(D9="","",IF(H9&lt;=0,"BUNTUNG",IF(H9&lt;G9*0.5,"TIPIS","AMAN")))</f>
        <v/>
      </c>
    </row>
    <row r="10">
      <c r="B10" s="6" t="n"/>
      <c r="C10" s="7" t="n"/>
      <c r="D10" s="7" t="n"/>
      <c r="E10" s="8" t="n"/>
      <c r="F10" s="9">
        <f>IF(D10="","",D10*(1-E10))</f>
        <v/>
      </c>
      <c r="G10" s="9">
        <f>IF(D10="","",D10-C10)</f>
        <v/>
      </c>
      <c r="H10" s="9">
        <f>IF(D10="","",F10-C10)</f>
        <v/>
      </c>
      <c r="I10" s="10">
        <f>IF(OR(D10="",G10=0),"",(G10-H10)/G10)</f>
        <v/>
      </c>
      <c r="J10" s="10">
        <f>IF(D10="","",1-C10/D10)</f>
        <v/>
      </c>
      <c r="K10" s="11">
        <f>IF(D10="","",IF(H10&lt;=0,"BUNTUNG",IF(H10&lt;G10*0.5,"TIPIS","AMAN")))</f>
        <v/>
      </c>
    </row>
    <row r="11">
      <c r="B11" s="6" t="n"/>
      <c r="C11" s="7" t="n"/>
      <c r="D11" s="7" t="n"/>
      <c r="E11" s="8" t="n"/>
      <c r="F11" s="9">
        <f>IF(D11="","",D11*(1-E11))</f>
        <v/>
      </c>
      <c r="G11" s="9">
        <f>IF(D11="","",D11-C11)</f>
        <v/>
      </c>
      <c r="H11" s="9">
        <f>IF(D11="","",F11-C11)</f>
        <v/>
      </c>
      <c r="I11" s="10">
        <f>IF(OR(D11="",G11=0),"",(G11-H11)/G11)</f>
        <v/>
      </c>
      <c r="J11" s="10">
        <f>IF(D11="","",1-C11/D11)</f>
        <v/>
      </c>
      <c r="K11" s="11">
        <f>IF(D11="","",IF(H11&lt;=0,"BUNTUNG",IF(H11&lt;G11*0.5,"TIPIS","AMAN")))</f>
        <v/>
      </c>
    </row>
    <row r="12">
      <c r="B12" s="6" t="n"/>
      <c r="C12" s="7" t="n"/>
      <c r="D12" s="7" t="n"/>
      <c r="E12" s="8" t="n"/>
      <c r="F12" s="9">
        <f>IF(D12="","",D12*(1-E12))</f>
        <v/>
      </c>
      <c r="G12" s="9">
        <f>IF(D12="","",D12-C12)</f>
        <v/>
      </c>
      <c r="H12" s="9">
        <f>IF(D12="","",F12-C12)</f>
        <v/>
      </c>
      <c r="I12" s="10">
        <f>IF(OR(D12="",G12=0),"",(G12-H12)/G12)</f>
        <v/>
      </c>
      <c r="J12" s="10">
        <f>IF(D12="","",1-C12/D12)</f>
        <v/>
      </c>
      <c r="K12" s="11">
        <f>IF(D12="","",IF(H12&lt;=0,"BUNTUNG",IF(H12&lt;G12*0.5,"TIPIS","AMAN")))</f>
        <v/>
      </c>
    </row>
    <row r="13">
      <c r="B13" s="6" t="n"/>
      <c r="C13" s="7" t="n"/>
      <c r="D13" s="7" t="n"/>
      <c r="E13" s="8" t="n"/>
      <c r="F13" s="9">
        <f>IF(D13="","",D13*(1-E13))</f>
        <v/>
      </c>
      <c r="G13" s="9">
        <f>IF(D13="","",D13-C13)</f>
        <v/>
      </c>
      <c r="H13" s="9">
        <f>IF(D13="","",F13-C13)</f>
        <v/>
      </c>
      <c r="I13" s="10">
        <f>IF(OR(D13="",G13=0),"",(G13-H13)/G13)</f>
        <v/>
      </c>
      <c r="J13" s="10">
        <f>IF(D13="","",1-C13/D13)</f>
        <v/>
      </c>
      <c r="K13" s="11">
        <f>IF(D13="","",IF(H13&lt;=0,"BUNTUNG",IF(H13&lt;G13*0.5,"TIPIS","AMAN")))</f>
        <v/>
      </c>
    </row>
    <row r="14">
      <c r="B14" s="6" t="n"/>
      <c r="C14" s="7" t="n"/>
      <c r="D14" s="7" t="n"/>
      <c r="E14" s="8" t="n"/>
      <c r="F14" s="9">
        <f>IF(D14="","",D14*(1-E14))</f>
        <v/>
      </c>
      <c r="G14" s="9">
        <f>IF(D14="","",D14-C14)</f>
        <v/>
      </c>
      <c r="H14" s="9">
        <f>IF(D14="","",F14-C14)</f>
        <v/>
      </c>
      <c r="I14" s="10">
        <f>IF(OR(D14="",G14=0),"",(G14-H14)/G14)</f>
        <v/>
      </c>
      <c r="J14" s="10">
        <f>IF(D14="","",1-C14/D14)</f>
        <v/>
      </c>
      <c r="K14" s="11">
        <f>IF(D14="","",IF(H14&lt;=0,"BUNTUNG",IF(H14&lt;G14*0.5,"TIPIS","AMAN")))</f>
        <v/>
      </c>
    </row>
    <row r="15">
      <c r="B15" s="6" t="n"/>
      <c r="C15" s="7" t="n"/>
      <c r="D15" s="7" t="n"/>
      <c r="E15" s="8" t="n"/>
      <c r="F15" s="9">
        <f>IF(D15="","",D15*(1-E15))</f>
        <v/>
      </c>
      <c r="G15" s="9">
        <f>IF(D15="","",D15-C15)</f>
        <v/>
      </c>
      <c r="H15" s="9">
        <f>IF(D15="","",F15-C15)</f>
        <v/>
      </c>
      <c r="I15" s="10">
        <f>IF(OR(D15="",G15=0),"",(G15-H15)/G15)</f>
        <v/>
      </c>
      <c r="J15" s="10">
        <f>IF(D15="","",1-C15/D15)</f>
        <v/>
      </c>
      <c r="K15" s="11">
        <f>IF(D15="","",IF(H15&lt;=0,"BUNTUNG",IF(H15&lt;G15*0.5,"TIPIS","AMAN")))</f>
        <v/>
      </c>
    </row>
    <row r="16">
      <c r="B16" s="6" t="n"/>
      <c r="C16" s="7" t="n"/>
      <c r="D16" s="7" t="n"/>
      <c r="E16" s="8" t="n"/>
      <c r="F16" s="9">
        <f>IF(D16="","",D16*(1-E16))</f>
        <v/>
      </c>
      <c r="G16" s="9">
        <f>IF(D16="","",D16-C16)</f>
        <v/>
      </c>
      <c r="H16" s="9">
        <f>IF(D16="","",F16-C16)</f>
        <v/>
      </c>
      <c r="I16" s="10">
        <f>IF(OR(D16="",G16=0),"",(G16-H16)/G16)</f>
        <v/>
      </c>
      <c r="J16" s="10">
        <f>IF(D16="","",1-C16/D16)</f>
        <v/>
      </c>
      <c r="K16" s="11">
        <f>IF(D16="","",IF(H16&lt;=0,"BUNTUNG",IF(H16&lt;G16*0.5,"TIPIS","AMAN")))</f>
        <v/>
      </c>
    </row>
    <row r="17">
      <c r="B17" s="6" t="n"/>
      <c r="C17" s="7" t="n"/>
      <c r="D17" s="7" t="n"/>
      <c r="E17" s="8" t="n"/>
      <c r="F17" s="9">
        <f>IF(D17="","",D17*(1-E17))</f>
        <v/>
      </c>
      <c r="G17" s="9">
        <f>IF(D17="","",D17-C17)</f>
        <v/>
      </c>
      <c r="H17" s="9">
        <f>IF(D17="","",F17-C17)</f>
        <v/>
      </c>
      <c r="I17" s="10">
        <f>IF(OR(D17="",G17=0),"",(G17-H17)/G17)</f>
        <v/>
      </c>
      <c r="J17" s="10">
        <f>IF(D17="","",1-C17/D17)</f>
        <v/>
      </c>
      <c r="K17" s="11">
        <f>IF(D17="","",IF(H17&lt;=0,"BUNTUNG",IF(H17&lt;G17*0.5,"TIPIS","AMAN")))</f>
        <v/>
      </c>
    </row>
    <row r="18">
      <c r="B18" s="6" t="n"/>
      <c r="C18" s="7" t="n"/>
      <c r="D18" s="7" t="n"/>
      <c r="E18" s="8" t="n"/>
      <c r="F18" s="9">
        <f>IF(D18="","",D18*(1-E18))</f>
        <v/>
      </c>
      <c r="G18" s="9">
        <f>IF(D18="","",D18-C18)</f>
        <v/>
      </c>
      <c r="H18" s="9">
        <f>IF(D18="","",F18-C18)</f>
        <v/>
      </c>
      <c r="I18" s="10">
        <f>IF(OR(D18="",G18=0),"",(G18-H18)/G18)</f>
        <v/>
      </c>
      <c r="J18" s="10">
        <f>IF(D18="","",1-C18/D18)</f>
        <v/>
      </c>
      <c r="K18" s="11">
        <f>IF(D18="","",IF(H18&lt;=0,"BUNTUNG",IF(H18&lt;G18*0.5,"TIPIS","AMAN")))</f>
        <v/>
      </c>
    </row>
    <row r="19">
      <c r="B19" s="6" t="n"/>
      <c r="C19" s="7" t="n"/>
      <c r="D19" s="7" t="n"/>
      <c r="E19" s="8" t="n"/>
      <c r="F19" s="9">
        <f>IF(D19="","",D19*(1-E19))</f>
        <v/>
      </c>
      <c r="G19" s="9">
        <f>IF(D19="","",D19-C19)</f>
        <v/>
      </c>
      <c r="H19" s="9">
        <f>IF(D19="","",F19-C19)</f>
        <v/>
      </c>
      <c r="I19" s="10">
        <f>IF(OR(D19="",G19=0),"",(G19-H19)/G19)</f>
        <v/>
      </c>
      <c r="J19" s="10">
        <f>IF(D19="","",1-C19/D19)</f>
        <v/>
      </c>
      <c r="K19" s="11">
        <f>IF(D19="","",IF(H19&lt;=0,"BUNTUNG",IF(H19&lt;G19*0.5,"TIPIS","AMAN")))</f>
        <v/>
      </c>
    </row>
    <row r="20">
      <c r="B20" s="6" t="n"/>
      <c r="C20" s="7" t="n"/>
      <c r="D20" s="7" t="n"/>
      <c r="E20" s="8" t="n"/>
      <c r="F20" s="9">
        <f>IF(D20="","",D20*(1-E20))</f>
        <v/>
      </c>
      <c r="G20" s="9">
        <f>IF(D20="","",D20-C20)</f>
        <v/>
      </c>
      <c r="H20" s="9">
        <f>IF(D20="","",F20-C20)</f>
        <v/>
      </c>
      <c r="I20" s="10">
        <f>IF(OR(D20="",G20=0),"",(G20-H20)/G20)</f>
        <v/>
      </c>
      <c r="J20" s="10">
        <f>IF(D20="","",1-C20/D20)</f>
        <v/>
      </c>
      <c r="K20" s="11">
        <f>IF(D20="","",IF(H20&lt;=0,"BUNTUNG",IF(H20&lt;G20*0.5,"TIPIS","AMAN")))</f>
        <v/>
      </c>
    </row>
    <row r="21">
      <c r="B21" s="6" t="n"/>
      <c r="C21" s="7" t="n"/>
      <c r="D21" s="7" t="n"/>
      <c r="E21" s="8" t="n"/>
      <c r="F21" s="9">
        <f>IF(D21="","",D21*(1-E21))</f>
        <v/>
      </c>
      <c r="G21" s="9">
        <f>IF(D21="","",D21-C21)</f>
        <v/>
      </c>
      <c r="H21" s="9">
        <f>IF(D21="","",F21-C21)</f>
        <v/>
      </c>
      <c r="I21" s="10">
        <f>IF(OR(D21="",G21=0),"",(G21-H21)/G21)</f>
        <v/>
      </c>
      <c r="J21" s="10">
        <f>IF(D21="","",1-C21/D21)</f>
        <v/>
      </c>
      <c r="K21" s="11">
        <f>IF(D21="","",IF(H21&lt;=0,"BUNTUNG",IF(H21&lt;G21*0.5,"TIPIS","AMAN")))</f>
        <v/>
      </c>
    </row>
    <row r="22">
      <c r="B22" s="6" t="n"/>
      <c r="C22" s="7" t="n"/>
      <c r="D22" s="7" t="n"/>
      <c r="E22" s="8" t="n"/>
      <c r="F22" s="9">
        <f>IF(D22="","",D22*(1-E22))</f>
        <v/>
      </c>
      <c r="G22" s="9">
        <f>IF(D22="","",D22-C22)</f>
        <v/>
      </c>
      <c r="H22" s="9">
        <f>IF(D22="","",F22-C22)</f>
        <v/>
      </c>
      <c r="I22" s="10">
        <f>IF(OR(D22="",G22=0),"",(G22-H22)/G22)</f>
        <v/>
      </c>
      <c r="J22" s="10">
        <f>IF(D22="","",1-C22/D22)</f>
        <v/>
      </c>
      <c r="K22" s="11">
        <f>IF(D22="","",IF(H22&lt;=0,"BUNTUNG",IF(H22&lt;G22*0.5,"TIPIS","AMAN")))</f>
        <v/>
      </c>
    </row>
    <row r="23">
      <c r="B23" s="6" t="n"/>
      <c r="C23" s="7" t="n"/>
      <c r="D23" s="7" t="n"/>
      <c r="E23" s="8" t="n"/>
      <c r="F23" s="9">
        <f>IF(D23="","",D23*(1-E23))</f>
        <v/>
      </c>
      <c r="G23" s="9">
        <f>IF(D23="","",D23-C23)</f>
        <v/>
      </c>
      <c r="H23" s="9">
        <f>IF(D23="","",F23-C23)</f>
        <v/>
      </c>
      <c r="I23" s="10">
        <f>IF(OR(D23="",G23=0),"",(G23-H23)/G23)</f>
        <v/>
      </c>
      <c r="J23" s="10">
        <f>IF(D23="","",1-C23/D23)</f>
        <v/>
      </c>
      <c r="K23" s="11">
        <f>IF(D23="","",IF(H23&lt;=0,"BUNTUNG",IF(H23&lt;G23*0.5,"TIPIS","AMAN")))</f>
        <v/>
      </c>
    </row>
    <row r="24">
      <c r="B24" s="6" t="n"/>
      <c r="C24" s="7" t="n"/>
      <c r="D24" s="7" t="n"/>
      <c r="E24" s="8" t="n"/>
      <c r="F24" s="9">
        <f>IF(D24="","",D24*(1-E24))</f>
        <v/>
      </c>
      <c r="G24" s="9">
        <f>IF(D24="","",D24-C24)</f>
        <v/>
      </c>
      <c r="H24" s="9">
        <f>IF(D24="","",F24-C24)</f>
        <v/>
      </c>
      <c r="I24" s="10">
        <f>IF(OR(D24="",G24=0),"",(G24-H24)/G24)</f>
        <v/>
      </c>
      <c r="J24" s="10">
        <f>IF(D24="","",1-C24/D24)</f>
        <v/>
      </c>
      <c r="K24" s="11">
        <f>IF(D24="","",IF(H24&lt;=0,"BUNTUNG",IF(H24&lt;G24*0.5,"TIPIS","AMAN")))</f>
        <v/>
      </c>
    </row>
    <row r="25">
      <c r="B25" s="6" t="n"/>
      <c r="C25" s="7" t="n"/>
      <c r="D25" s="7" t="n"/>
      <c r="E25" s="8" t="n"/>
      <c r="F25" s="9">
        <f>IF(D25="","",D25*(1-E25))</f>
        <v/>
      </c>
      <c r="G25" s="9">
        <f>IF(D25="","",D25-C25)</f>
        <v/>
      </c>
      <c r="H25" s="9">
        <f>IF(D25="","",F25-C25)</f>
        <v/>
      </c>
      <c r="I25" s="10">
        <f>IF(OR(D25="",G25=0),"",(G25-H25)/G25)</f>
        <v/>
      </c>
      <c r="J25" s="10">
        <f>IF(D25="","",1-C25/D25)</f>
        <v/>
      </c>
      <c r="K25" s="11">
        <f>IF(D25="","",IF(H25&lt;=0,"BUNTUNG",IF(H25&lt;G25*0.5,"TIPIS","AMAN")))</f>
        <v/>
      </c>
    </row>
    <row r="26">
      <c r="B26" s="6" t="n"/>
      <c r="C26" s="7" t="n"/>
      <c r="D26" s="7" t="n"/>
      <c r="E26" s="8" t="n"/>
      <c r="F26" s="9">
        <f>IF(D26="","",D26*(1-E26))</f>
        <v/>
      </c>
      <c r="G26" s="9">
        <f>IF(D26="","",D26-C26)</f>
        <v/>
      </c>
      <c r="H26" s="9">
        <f>IF(D26="","",F26-C26)</f>
        <v/>
      </c>
      <c r="I26" s="10">
        <f>IF(OR(D26="",G26=0),"",(G26-H26)/G26)</f>
        <v/>
      </c>
      <c r="J26" s="10">
        <f>IF(D26="","",1-C26/D26)</f>
        <v/>
      </c>
      <c r="K26" s="11">
        <f>IF(D26="","",IF(H26&lt;=0,"BUNTUNG",IF(H26&lt;G26*0.5,"TIPIS","AMAN")))</f>
        <v/>
      </c>
    </row>
    <row r="27">
      <c r="B27" s="6" t="n"/>
      <c r="C27" s="7" t="n"/>
      <c r="D27" s="7" t="n"/>
      <c r="E27" s="8" t="n"/>
      <c r="F27" s="9">
        <f>IF(D27="","",D27*(1-E27))</f>
        <v/>
      </c>
      <c r="G27" s="9">
        <f>IF(D27="","",D27-C27)</f>
        <v/>
      </c>
      <c r="H27" s="9">
        <f>IF(D27="","",F27-C27)</f>
        <v/>
      </c>
      <c r="I27" s="10">
        <f>IF(OR(D27="",G27=0),"",(G27-H27)/G27)</f>
        <v/>
      </c>
      <c r="J27" s="10">
        <f>IF(D27="","",1-C27/D27)</f>
        <v/>
      </c>
      <c r="K27" s="11">
        <f>IF(D27="","",IF(H27&lt;=0,"BUNTUNG",IF(H27&lt;G27*0.5,"TIPIS","AMAN")))</f>
        <v/>
      </c>
    </row>
    <row r="28">
      <c r="B28" s="6" t="n"/>
      <c r="C28" s="7" t="n"/>
      <c r="D28" s="7" t="n"/>
      <c r="E28" s="8" t="n"/>
      <c r="F28" s="9">
        <f>IF(D28="","",D28*(1-E28))</f>
        <v/>
      </c>
      <c r="G28" s="9">
        <f>IF(D28="","",D28-C28)</f>
        <v/>
      </c>
      <c r="H28" s="9">
        <f>IF(D28="","",F28-C28)</f>
        <v/>
      </c>
      <c r="I28" s="10">
        <f>IF(OR(D28="",G28=0),"",(G28-H28)/G28)</f>
        <v/>
      </c>
      <c r="J28" s="10">
        <f>IF(D28="","",1-C28/D28)</f>
        <v/>
      </c>
      <c r="K28" s="11">
        <f>IF(D28="","",IF(H28&lt;=0,"BUNTUNG",IF(H28&lt;G28*0.5,"TIPIS","AMAN")))</f>
        <v/>
      </c>
    </row>
    <row r="29">
      <c r="B29" s="6" t="n"/>
      <c r="C29" s="7" t="n"/>
      <c r="D29" s="7" t="n"/>
      <c r="E29" s="8" t="n"/>
      <c r="F29" s="9">
        <f>IF(D29="","",D29*(1-E29))</f>
        <v/>
      </c>
      <c r="G29" s="9">
        <f>IF(D29="","",D29-C29)</f>
        <v/>
      </c>
      <c r="H29" s="9">
        <f>IF(D29="","",F29-C29)</f>
        <v/>
      </c>
      <c r="I29" s="10">
        <f>IF(OR(D29="",G29=0),"",(G29-H29)/G29)</f>
        <v/>
      </c>
      <c r="J29" s="10">
        <f>IF(D29="","",1-C29/D29)</f>
        <v/>
      </c>
      <c r="K29" s="11">
        <f>IF(D29="","",IF(H29&lt;=0,"BUNTUNG",IF(H29&lt;G29*0.5,"TIPIS","AMAN")))</f>
        <v/>
      </c>
    </row>
    <row r="30">
      <c r="B30" s="6" t="n"/>
      <c r="C30" s="7" t="n"/>
      <c r="D30" s="7" t="n"/>
      <c r="E30" s="8" t="n"/>
      <c r="F30" s="9">
        <f>IF(D30="","",D30*(1-E30))</f>
        <v/>
      </c>
      <c r="G30" s="9">
        <f>IF(D30="","",D30-C30)</f>
        <v/>
      </c>
      <c r="H30" s="9">
        <f>IF(D30="","",F30-C30)</f>
        <v/>
      </c>
      <c r="I30" s="10">
        <f>IF(OR(D30="",G30=0),"",(G30-H30)/G30)</f>
        <v/>
      </c>
      <c r="J30" s="10">
        <f>IF(D30="","",1-C30/D30)</f>
        <v/>
      </c>
      <c r="K30" s="11">
        <f>IF(D30="","",IF(H30&lt;=0,"BUNTUNG",IF(H30&lt;G30*0.5,"TIPIS","AMAN")))</f>
        <v/>
      </c>
    </row>
    <row r="31">
      <c r="B31" s="6" t="n"/>
      <c r="C31" s="7" t="n"/>
      <c r="D31" s="7" t="n"/>
      <c r="E31" s="8" t="n"/>
      <c r="F31" s="9">
        <f>IF(D31="","",D31*(1-E31))</f>
        <v/>
      </c>
      <c r="G31" s="9">
        <f>IF(D31="","",D31-C31)</f>
        <v/>
      </c>
      <c r="H31" s="9">
        <f>IF(D31="","",F31-C31)</f>
        <v/>
      </c>
      <c r="I31" s="10">
        <f>IF(OR(D31="",G31=0),"",(G31-H31)/G31)</f>
        <v/>
      </c>
      <c r="J31" s="10">
        <f>IF(D31="","",1-C31/D31)</f>
        <v/>
      </c>
      <c r="K31" s="11">
        <f>IF(D31="","",IF(H31&lt;=0,"BUNTUNG",IF(H31&lt;G31*0.5,"TIPIS","AMAN")))</f>
        <v/>
      </c>
    </row>
    <row r="32">
      <c r="B32" s="6" t="n"/>
      <c r="C32" s="7" t="n"/>
      <c r="D32" s="7" t="n"/>
      <c r="E32" s="8" t="n"/>
      <c r="F32" s="9">
        <f>IF(D32="","",D32*(1-E32))</f>
        <v/>
      </c>
      <c r="G32" s="9">
        <f>IF(D32="","",D32-C32)</f>
        <v/>
      </c>
      <c r="H32" s="9">
        <f>IF(D32="","",F32-C32)</f>
        <v/>
      </c>
      <c r="I32" s="10">
        <f>IF(OR(D32="",G32=0),"",(G32-H32)/G32)</f>
        <v/>
      </c>
      <c r="J32" s="10">
        <f>IF(D32="","",1-C32/D32)</f>
        <v/>
      </c>
      <c r="K32" s="11">
        <f>IF(D32="","",IF(H32&lt;=0,"BUNTUNG",IF(H32&lt;G32*0.5,"TIPIS","AMAN")))</f>
        <v/>
      </c>
    </row>
    <row r="33">
      <c r="B33" s="6" t="n"/>
      <c r="C33" s="7" t="n"/>
      <c r="D33" s="7" t="n"/>
      <c r="E33" s="8" t="n"/>
      <c r="F33" s="9">
        <f>IF(D33="","",D33*(1-E33))</f>
        <v/>
      </c>
      <c r="G33" s="9">
        <f>IF(D33="","",D33-C33)</f>
        <v/>
      </c>
      <c r="H33" s="9">
        <f>IF(D33="","",F33-C33)</f>
        <v/>
      </c>
      <c r="I33" s="10">
        <f>IF(OR(D33="",G33=0),"",(G33-H33)/G33)</f>
        <v/>
      </c>
      <c r="J33" s="10">
        <f>IF(D33="","",1-C33/D33)</f>
        <v/>
      </c>
      <c r="K33" s="11">
        <f>IF(D33="","",IF(H33&lt;=0,"BUNTUNG",IF(H33&lt;G33*0.5,"TIPIS","AMAN")))</f>
        <v/>
      </c>
    </row>
    <row r="34">
      <c r="B34" s="6" t="n"/>
      <c r="C34" s="7" t="n"/>
      <c r="D34" s="7" t="n"/>
      <c r="E34" s="8" t="n"/>
      <c r="F34" s="9">
        <f>IF(D34="","",D34*(1-E34))</f>
        <v/>
      </c>
      <c r="G34" s="9">
        <f>IF(D34="","",D34-C34)</f>
        <v/>
      </c>
      <c r="H34" s="9">
        <f>IF(D34="","",F34-C34)</f>
        <v/>
      </c>
      <c r="I34" s="10">
        <f>IF(OR(D34="",G34=0),"",(G34-H34)/G34)</f>
        <v/>
      </c>
      <c r="J34" s="10">
        <f>IF(D34="","",1-C34/D34)</f>
        <v/>
      </c>
      <c r="K34" s="11">
        <f>IF(D34="","",IF(H34&lt;=0,"BUNTUNG",IF(H34&lt;G34*0.5,"TIPIS","AMAN")))</f>
        <v/>
      </c>
    </row>
    <row r="35">
      <c r="B35" s="6" t="n"/>
      <c r="C35" s="7" t="n"/>
      <c r="D35" s="7" t="n"/>
      <c r="E35" s="8" t="n"/>
      <c r="F35" s="9">
        <f>IF(D35="","",D35*(1-E35))</f>
        <v/>
      </c>
      <c r="G35" s="9">
        <f>IF(D35="","",D35-C35)</f>
        <v/>
      </c>
      <c r="H35" s="9">
        <f>IF(D35="","",F35-C35)</f>
        <v/>
      </c>
      <c r="I35" s="10">
        <f>IF(OR(D35="",G35=0),"",(G35-H35)/G35)</f>
        <v/>
      </c>
      <c r="J35" s="10">
        <f>IF(D35="","",1-C35/D35)</f>
        <v/>
      </c>
      <c r="K35" s="11">
        <f>IF(D35="","",IF(H35&lt;=0,"BUNTUNG",IF(H35&lt;G35*0.5,"TIPIS","AMAN")))</f>
        <v/>
      </c>
    </row>
  </sheetData>
  <mergeCells count="2">
    <mergeCell ref="B3:K3"/>
    <mergeCell ref="B2:K2"/>
  </mergeCells>
  <conditionalFormatting sqref="K6:K35">
    <cfRule type="cellIs" priority="1" operator="equal" dxfId="0">
      <formula>"BUNTUNG"</formula>
    </cfRule>
    <cfRule type="cellIs" priority="2" operator="equal" dxfId="1">
      <formula>"TIPIS"</formula>
    </cfRule>
    <cfRule type="cellIs" priority="3" operator="equal" dxfId="2">
      <formula>"AMAN"</formula>
    </cfRule>
  </conditionalFormatting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B10"/>
  <sheetViews>
    <sheetView showGridLines="0" workbookViewId="0">
      <selection activeCell="A1" sqref="A1"/>
    </sheetView>
  </sheetViews>
  <sheetFormatPr baseColWidth="8" defaultRowHeight="15"/>
  <cols>
    <col width="95" customWidth="1" min="2" max="2"/>
  </cols>
  <sheetData>
    <row r="2">
      <c r="B2" s="12" t="inlineStr">
        <is>
          <t>CARA PAKAI</t>
        </is>
      </c>
    </row>
    <row r="3">
      <c r="B3" s="13" t="inlineStr"/>
    </row>
    <row r="4">
      <c r="B4" s="14" t="inlineStr">
        <is>
          <t>1. Isi kolom kuning: nama produk, modal (HPP), harga jual, dan rencana diskon (persen).</t>
        </is>
      </c>
    </row>
    <row r="5">
      <c r="B5" s="14" t="inlineStr">
        <is>
          <t>2. Kolom hijau menghitung sendiri untung sebelum dan sesudah diskon, seberapa persen untungmu anjlok, dan batas diskon maksimum yang masih aman.</t>
        </is>
      </c>
    </row>
    <row r="6">
      <c r="B6" s="14" t="inlineStr">
        <is>
          <t>3. Status BUNTUNG (merah) = diskonmu bikin rugi. TIPIS = untung tinggal separuh atau kurang. AMAN = masih sehat.</t>
        </is>
      </c>
    </row>
    <row r="7">
      <c r="B7" s="13" t="inlineStr"/>
    </row>
    <row r="8">
      <c r="B8" s="15" t="inlineStr">
        <is>
          <t>Diskon Maks Aman = batas diskon sebelum kamu mulai jual rugi. Sama dengan margin asalmu. Lewat angka itu, kamu bayar sendiri diskonnya.</t>
        </is>
      </c>
    </row>
    <row r="9">
      <c r="B9" s="13" t="inlineStr"/>
    </row>
    <row r="10">
      <c r="B10" s="16" t="inlineStr">
        <is>
          <t>Disusun oleh David Izzulhaq, Analis Data. Toko: lynk.id/studio.karyakita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2026-06-18T03:03:47Z</dcterms:created>
  <dcterms:modified xmlns:dcterms="http://purl.org/dc/terms/" xmlns:xsi="http://www.w3.org/2001/XMLSchema-instance" xsi:type="dcterms:W3CDTF">2026-06-18T03:03:47Z</dcterms:modified>
</cp:coreProperties>
</file>